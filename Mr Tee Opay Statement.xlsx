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3EB4A5D0-27C5-4260-B258-88FDA27431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4" r:id="rId1"/>
    <sheet name="Summary" sheetId="1" r:id="rId2"/>
    <sheet name="Wallet Transactions" sheetId="2" r:id="rId3"/>
    <sheet name="Savings Transactions" sheetId="3" r:id="rId4"/>
    <sheet name="Explanation" sheetId="5" r:id="rId5"/>
  </sheets>
  <definedNames>
    <definedName name="_xlnm._FilterDatabase" localSheetId="3" hidden="1">'Savings Transactions'!$A$1:$L$1</definedName>
    <definedName name="_xlnm._FilterDatabase" localSheetId="2" hidden="1">'Wallet Transactions'!$A$1:$L$1</definedName>
    <definedName name="_xlnm.Print_Area" localSheetId="0">Dashboard!$A$1:$K$70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4" l="1"/>
  <c r="W5" i="4"/>
  <c r="X4" i="4"/>
  <c r="W4" i="4"/>
  <c r="X3" i="4"/>
  <c r="W3" i="4"/>
  <c r="X2" i="4"/>
  <c r="W2" i="4"/>
  <c r="U7" i="4"/>
  <c r="T7" i="4"/>
  <c r="U6" i="4"/>
  <c r="T6" i="4"/>
  <c r="U5" i="4"/>
  <c r="T5" i="4"/>
  <c r="U4" i="4"/>
  <c r="T4" i="4"/>
  <c r="U3" i="4"/>
  <c r="T3" i="4"/>
  <c r="U2" i="4"/>
  <c r="T2" i="4"/>
  <c r="R15" i="4"/>
  <c r="Q15" i="4"/>
  <c r="P15" i="4"/>
  <c r="O15" i="4"/>
  <c r="N15" i="4"/>
  <c r="Y15" i="4" s="1"/>
  <c r="R14" i="4"/>
  <c r="Q14" i="4"/>
  <c r="P14" i="4"/>
  <c r="O14" i="4"/>
  <c r="N14" i="4"/>
  <c r="Y14" i="4" s="1"/>
  <c r="R13" i="4"/>
  <c r="Q13" i="4"/>
  <c r="P13" i="4"/>
  <c r="O13" i="4"/>
  <c r="N13" i="4"/>
  <c r="Y13" i="4" s="1"/>
  <c r="R12" i="4"/>
  <c r="Q12" i="4"/>
  <c r="P12" i="4"/>
  <c r="O12" i="4"/>
  <c r="N12" i="4"/>
  <c r="Y12" i="4" s="1"/>
  <c r="R11" i="4"/>
  <c r="Q11" i="4"/>
  <c r="P11" i="4"/>
  <c r="O11" i="4"/>
  <c r="N11" i="4"/>
  <c r="Y11" i="4" s="1"/>
  <c r="R10" i="4"/>
  <c r="Q10" i="4"/>
  <c r="P10" i="4"/>
  <c r="O10" i="4"/>
  <c r="N10" i="4"/>
  <c r="Y10" i="4" s="1"/>
  <c r="R9" i="4"/>
  <c r="Q9" i="4"/>
  <c r="P9" i="4"/>
  <c r="O9" i="4"/>
  <c r="N9" i="4"/>
  <c r="Y9" i="4" s="1"/>
  <c r="R8" i="4"/>
  <c r="Q8" i="4"/>
  <c r="P8" i="4"/>
  <c r="O8" i="4"/>
  <c r="N8" i="4"/>
  <c r="Y8" i="4" s="1"/>
  <c r="R7" i="4"/>
  <c r="Q7" i="4"/>
  <c r="P7" i="4"/>
  <c r="O7" i="4"/>
  <c r="N7" i="4"/>
  <c r="Y7" i="4" s="1"/>
  <c r="R6" i="4"/>
  <c r="Q6" i="4"/>
  <c r="P6" i="4"/>
  <c r="O6" i="4"/>
  <c r="N6" i="4"/>
  <c r="Y6" i="4" s="1"/>
  <c r="R5" i="4"/>
  <c r="Q5" i="4"/>
  <c r="P5" i="4"/>
  <c r="O5" i="4"/>
  <c r="N5" i="4"/>
  <c r="Y5" i="4" s="1"/>
  <c r="R4" i="4"/>
  <c r="Q4" i="4"/>
  <c r="P4" i="4"/>
  <c r="O4" i="4"/>
  <c r="N4" i="4"/>
  <c r="Y4" i="4" s="1"/>
  <c r="R3" i="4"/>
  <c r="Q3" i="4"/>
  <c r="P3" i="4"/>
  <c r="O3" i="4"/>
  <c r="N3" i="4"/>
  <c r="Y3" i="4" s="1"/>
  <c r="R2" i="4"/>
  <c r="Q2" i="4"/>
  <c r="P2" i="4"/>
  <c r="AA2" i="4" s="1"/>
  <c r="O2" i="4"/>
  <c r="Z2" i="4" s="1"/>
  <c r="N2" i="4"/>
  <c r="Y2" i="4" s="1"/>
  <c r="I8" i="4"/>
  <c r="D8" i="4"/>
  <c r="B8" i="4"/>
  <c r="D7" i="4"/>
  <c r="B7" i="4"/>
  <c r="Z3" i="4" l="1"/>
  <c r="Z4" i="4" s="1"/>
  <c r="Z5" i="4" s="1"/>
  <c r="Z6" i="4" s="1"/>
  <c r="Z7" i="4" s="1"/>
  <c r="Z8" i="4" s="1"/>
  <c r="Z9" i="4" s="1"/>
  <c r="Z10" i="4" s="1"/>
  <c r="Z11" i="4" s="1"/>
  <c r="Z12" i="4" s="1"/>
  <c r="Z13" i="4" s="1"/>
  <c r="Z14" i="4" s="1"/>
  <c r="Z15" i="4" s="1"/>
  <c r="AA3" i="4"/>
  <c r="AA4" i="4" s="1"/>
  <c r="AA5" i="4" s="1"/>
  <c r="AA6" i="4" s="1"/>
  <c r="AA7" i="4" s="1"/>
  <c r="AA8" i="4" s="1"/>
  <c r="AA9" i="4" s="1"/>
  <c r="AA10" i="4" s="1"/>
  <c r="AA11" i="4" s="1"/>
  <c r="AA12" i="4" s="1"/>
  <c r="AA13" i="4" s="1"/>
  <c r="AA14" i="4" s="1"/>
  <c r="AA15" i="4" s="1"/>
  <c r="S2" i="4"/>
  <c r="I7" i="4"/>
  <c r="S4" i="4"/>
  <c r="G7" i="4"/>
</calcChain>
</file>

<file path=xl/sharedStrings.xml><?xml version="1.0" encoding="utf-8"?>
<sst xmlns="http://schemas.openxmlformats.org/spreadsheetml/2006/main" count="18315" uniqueCount="2956">
  <si>
    <t>Period: 01 Feb 2025-07 Mar 2026   |   TOBECHUKWU DANIEL EZEUKO (Acc: 8144409727)</t>
  </si>
  <si>
    <t>Metric</t>
  </si>
  <si>
    <t>Wallet Account</t>
  </si>
  <si>
    <t>Savings Account</t>
  </si>
  <si>
    <t>Opening Balance (₦)</t>
  </si>
  <si>
    <t>Closing Balance (₦)</t>
  </si>
  <si>
    <t>Total Debit (₦)</t>
  </si>
  <si>
    <t>Total Credit (₦)</t>
  </si>
  <si>
    <t>Debit Count</t>
  </si>
  <si>
    <t>Credit Count</t>
  </si>
  <si>
    <t>Total Transactions</t>
  </si>
  <si>
    <t>Month</t>
  </si>
  <si>
    <t>Net (₦)</t>
  </si>
  <si>
    <t>Tx Count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</si>
  <si>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</si>
  <si>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</si>
  <si>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</si>
  <si>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</si>
  <si>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</si>
  <si>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</si>
  <si>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</si>
  <si>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</si>
  <si>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</si>
  <si>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</si>
  <si>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</si>
  <si>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</si>
  <si>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</si>
  <si>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</si>
  <si>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Category (Debits)</t>
  </si>
  <si>
    <t>Category (Credits)</t>
  </si>
  <si>
    <t>Transfer Out</t>
  </si>
  <si>
    <t>Transfer In</t>
  </si>
  <si>
    <t>OWealth</t>
  </si>
  <si>
    <t>POS</t>
  </si>
  <si>
    <t>Payment</t>
  </si>
  <si>
    <t>Reversal</t>
  </si>
  <si>
    <t>Other</t>
  </si>
  <si>
    <t>Airtime/Data</t>
  </si>
  <si>
    <t>#</t>
  </si>
  <si>
    <t>Trans Date</t>
  </si>
  <si>
    <t>Value Date</t>
  </si>
  <si>
    <t>Description</t>
  </si>
  <si>
    <t>Debit (₦)</t>
  </si>
  <si>
    <t>Credit (₦)</t>
  </si>
  <si>
    <t>Balance After (₦)</t>
  </si>
  <si>
    <t>Channel</t>
  </si>
  <si>
    <t>Transaction Type</t>
  </si>
  <si>
    <t>Category</t>
  </si>
  <si>
    <t>Month-Year</t>
  </si>
  <si>
    <t>Transaction Reference</t>
  </si>
  <si>
    <t xml:space="preserve">Transfer to POS Transfer-FELICIA IDIKWU | MONIE POINT | 5801641866 </t>
  </si>
  <si>
    <t>Mobile</t>
  </si>
  <si>
    <t>Debit</t>
  </si>
  <si>
    <t>100004250201080757126420099842</t>
  </si>
  <si>
    <t xml:space="preserve">Transfer to AKASE  RUTH | Fidelity Bank | 6160298120 </t>
  </si>
  <si>
    <t>100004250201210854126471763011</t>
  </si>
  <si>
    <t xml:space="preserve">Transfer to OLUWASHEDA TAYE SUNDAY | Guaranty Trust Bank | 0618667245 </t>
  </si>
  <si>
    <t>100004250201220300126473094651</t>
  </si>
  <si>
    <t xml:space="preserve">Transfer to  SAS ENTERPRISE  | MONIE POINT | 8313484172 </t>
  </si>
  <si>
    <t>100004250202092923126485190876</t>
  </si>
  <si>
    <t xml:space="preserve">Transfer to NDORENYIN UYOBONG UMOETUK | OPay | 8098764551 </t>
  </si>
  <si>
    <t>250202010100073474572450</t>
  </si>
  <si>
    <t xml:space="preserve">Transfer to SIDIDEB GLOBAL SERVICES   | OPay | 8053308586 </t>
  </si>
  <si>
    <t>250203180100081968455460</t>
  </si>
  <si>
    <t xml:space="preserve">Transfer to JUSTIN AMOS | OPay | 8063625287 </t>
  </si>
  <si>
    <t>250203010100082575100274</t>
  </si>
  <si>
    <t xml:space="preserve">Transfer to POS Transfer-EMMANUEL CHINONYE NNABU | MONIE POINT | 5870533604 </t>
  </si>
  <si>
    <t>100004250203123419126549790800</t>
  </si>
  <si>
    <t xml:space="preserve">Transfer to IYANU KIRK OJO | OPay | 8164102558 </t>
  </si>
  <si>
    <t>250203010100091084166497</t>
  </si>
  <si>
    <t xml:space="preserve">Transfer from TOBECHUKWU DANIEL EZEUKO | Wema Bank PLC | 041****864 | Opay-945 Transfer to Opay Digital Services Limited </t>
  </si>
  <si>
    <t>Credit</t>
  </si>
  <si>
    <t>000017250203191111550171757604</t>
  </si>
  <si>
    <t xml:space="preserve">Transfer to ADAMA IBRAHIM | Momo Payment Service Bank | 7043786615 </t>
  </si>
  <si>
    <t>100004250203204838126584971078</t>
  </si>
  <si>
    <t xml:space="preserve">Transfer to POS Transfer- EGBO MAUREEN OGECHUKWU | MONIE POINT | 5932663494 </t>
  </si>
  <si>
    <t>100004250204120243126611719778</t>
  </si>
  <si>
    <t xml:space="preserve">Transfer from TOBECHUKWU DANIEL EZEUKO | Fidelity Bank | 615****342 | ONB TRF FROM TOBECHUKWU **4342 FBP </t>
  </si>
  <si>
    <t>000007250204185438620957525972</t>
  </si>
  <si>
    <t xml:space="preserve">Electronic Money Transfer Levy </t>
  </si>
  <si>
    <t>250204140200106704007577</t>
  </si>
  <si>
    <t xml:space="preserve">Transfer to  Mummy Wa Kitchen and grills | MONIE POINT | 8257908660 </t>
  </si>
  <si>
    <t>100004250204184807126639328774</t>
  </si>
  <si>
    <t xml:space="preserve">Transfer to DORCAS TAIWO | OPay | 9112479889 </t>
  </si>
  <si>
    <t>250205010100115622466192</t>
  </si>
  <si>
    <t xml:space="preserve">Transfer to Nankin Kromgin | OPay | 7042146091 </t>
  </si>
  <si>
    <t>250205010100117601229035</t>
  </si>
  <si>
    <t xml:space="preserve">Transfer to CHINEDU AUGUSTINE OKONGWU | OPay | 8100012433 </t>
  </si>
  <si>
    <t>250205010100117651788536</t>
  </si>
  <si>
    <t xml:space="preserve">Transfer to ANTHONIA CHINYERE OFFOR | OPay | 7065208707 </t>
  </si>
  <si>
    <t>250205010100120172015988</t>
  </si>
  <si>
    <t>100004250205185522126702051320</t>
  </si>
  <si>
    <t xml:space="preserve">Transfer to HENRY DEBORAH | OPay | 7061560681 </t>
  </si>
  <si>
    <t>250205010100124762791749</t>
  </si>
  <si>
    <t>100004250205205218126709268959</t>
  </si>
  <si>
    <t>100004250205205405126709283885</t>
  </si>
  <si>
    <t xml:space="preserve">Transfer to JOHN EDACHE PRINCE | United Bank For Africa | 2077176965 </t>
  </si>
  <si>
    <t>100004250206124839126737020828</t>
  </si>
  <si>
    <t xml:space="preserve">USSD Charge </t>
  </si>
  <si>
    <t>USSD</t>
  </si>
  <si>
    <t>250206140200135723785132</t>
  </si>
  <si>
    <t xml:space="preserve">Transfer to LYDIA ODUNAYO OMOJESU | OPay | 8104008465 </t>
  </si>
  <si>
    <t>250206010100135677071918</t>
  </si>
  <si>
    <t xml:space="preserve">Transfer to CHUKWUJEKWU ROWLAND UFELLE | OPay | 7015265062 </t>
  </si>
  <si>
    <t>250206010100137518251792</t>
  </si>
  <si>
    <t>100004250206204449126770302509</t>
  </si>
  <si>
    <t>100004250207071118126778816562</t>
  </si>
  <si>
    <t xml:space="preserve">Transfer to  MAMA LOLO'S GLOBAL KITCHEN 2 | MONIE POINT | 5713846724 </t>
  </si>
  <si>
    <t>100004250207074525126781156324</t>
  </si>
  <si>
    <t xml:space="preserve">Transfer to SHERIFAT JIMOH | OPay | 8138643841 </t>
  </si>
  <si>
    <t>250207010100144890869009</t>
  </si>
  <si>
    <t>100004250207120528126797107865</t>
  </si>
  <si>
    <t xml:space="preserve">Transfer to BLESSING ABU | OPay | 8116879818 </t>
  </si>
  <si>
    <t>250207010100151517825248</t>
  </si>
  <si>
    <t>250207010100154232330256</t>
  </si>
  <si>
    <t>100004250207200527126830787097</t>
  </si>
  <si>
    <t>250207010100155482959188</t>
  </si>
  <si>
    <t>250208010100157548468742</t>
  </si>
  <si>
    <t xml:space="preserve">Transfer to FRIDAY DOGO MICHAEL | OPay | 9065417924 </t>
  </si>
  <si>
    <t>250208010100157743549372</t>
  </si>
  <si>
    <t>100004250208064856126840926544</t>
  </si>
  <si>
    <t>100004250208075324126843971295</t>
  </si>
  <si>
    <t xml:space="preserve">Transfer to GALI GARBA | OPay | 8039477083 </t>
  </si>
  <si>
    <t>250208010100158491631194</t>
  </si>
  <si>
    <t xml:space="preserve">Transfer to CELINA AMOS MICHAEL | United Bank For Africa | 2234000205 </t>
  </si>
  <si>
    <t>100004250208112957126858195957</t>
  </si>
  <si>
    <t>250208140200165627753088</t>
  </si>
  <si>
    <t>250208140200166475839229</t>
  </si>
  <si>
    <t>000007250208185338033091787700</t>
  </si>
  <si>
    <t>100004250208175253126884368528</t>
  </si>
  <si>
    <t>250208010100167936945847</t>
  </si>
  <si>
    <t>100004250208193502126891606786</t>
  </si>
  <si>
    <t>250208010100169235962886</t>
  </si>
  <si>
    <t>250208010100170715723627</t>
  </si>
  <si>
    <t xml:space="preserve">Transfer to SIXTUS CHIDERA AGBO | OPay | 9133576814 </t>
  </si>
  <si>
    <t>250209010100173482599527</t>
  </si>
  <si>
    <t>000017250209133348319104574754</t>
  </si>
  <si>
    <t>250209140200176886106151</t>
  </si>
  <si>
    <t xml:space="preserve">Transfer to QUEEN KUHI FIDELIS | OPay | 8110791153 </t>
  </si>
  <si>
    <t>250209010100179236635468</t>
  </si>
  <si>
    <t xml:space="preserve">Transfer to FUNMILAYO SUZY KAYODE | OPay | 8066051764 </t>
  </si>
  <si>
    <t>250209010100181729767421</t>
  </si>
  <si>
    <t>100004250209183342126940031803</t>
  </si>
  <si>
    <t>100004250209185806126941605464</t>
  </si>
  <si>
    <t>250209010100182778149636</t>
  </si>
  <si>
    <t>100004250209204806126947118192</t>
  </si>
  <si>
    <t>100004250209205251126947911145</t>
  </si>
  <si>
    <t>100004250210080709126959143555</t>
  </si>
  <si>
    <t>250210010100189492235426</t>
  </si>
  <si>
    <t xml:space="preserve">Transfer to AYAKA VICTOR DANASEBE | OPay | 9080047241 </t>
  </si>
  <si>
    <t>250210010100193087872749</t>
  </si>
  <si>
    <t>250210010100193807713749</t>
  </si>
  <si>
    <t>250210010100194536374957</t>
  </si>
  <si>
    <t>100004250210190701127002420430</t>
  </si>
  <si>
    <t>250210010100197064530260</t>
  </si>
  <si>
    <t>100004250210204752127008827795</t>
  </si>
  <si>
    <t>100004250210205201127007130137</t>
  </si>
  <si>
    <t>250210010100198896369085</t>
  </si>
  <si>
    <t>100004250210205700127009432796</t>
  </si>
  <si>
    <t>100004250211064404127016324425</t>
  </si>
  <si>
    <t xml:space="preserve">Transfer to QUEEN KUHI FIDELIS | United Bank For Africa | 2051515807 </t>
  </si>
  <si>
    <t>100004250211090150127023441736</t>
  </si>
  <si>
    <t xml:space="preserve">Mobile Data | 8144409727 | DataMtn </t>
  </si>
  <si>
    <t>250211110100207089167674</t>
  </si>
  <si>
    <t>250212140200222898189674</t>
  </si>
  <si>
    <t xml:space="preserve">Mobile Data | 08144409727 | DataMtn </t>
  </si>
  <si>
    <t>250212110100222950358842</t>
  </si>
  <si>
    <t>250212140200224364884780</t>
  </si>
  <si>
    <t>250212140200224264811250</t>
  </si>
  <si>
    <t>250212110100224367147694</t>
  </si>
  <si>
    <t>250212140200224791772121</t>
  </si>
  <si>
    <t>250212110100224742131172</t>
  </si>
  <si>
    <t>250212140200228224996753</t>
  </si>
  <si>
    <t>250212110100228289592956</t>
  </si>
  <si>
    <t>250212140200230730317695</t>
  </si>
  <si>
    <t>250212140200230974273973</t>
  </si>
  <si>
    <t>250212110100230925183812</t>
  </si>
  <si>
    <t>250212140200230888332571</t>
  </si>
  <si>
    <t>250212110100230939740240</t>
  </si>
  <si>
    <t>250212110100230990167112</t>
  </si>
  <si>
    <t>250214140200249295255754</t>
  </si>
  <si>
    <t>250214110100249121943556</t>
  </si>
  <si>
    <t xml:space="preserve">Transfer to Afolabi Omosowoni | Fairmoney MFB | 6833776184 </t>
  </si>
  <si>
    <t>100004250214161128127236177152</t>
  </si>
  <si>
    <t>250215140200272494017554</t>
  </si>
  <si>
    <t>250215110100272443984108</t>
  </si>
  <si>
    <t xml:space="preserve">Airtime | 9164435155 | MTN </t>
  </si>
  <si>
    <t>250215100100277100067356</t>
  </si>
  <si>
    <t xml:space="preserve">Airtime | 8144409727 | MTN </t>
  </si>
  <si>
    <t>250215100100278687561260</t>
  </si>
  <si>
    <t xml:space="preserve">Transfer to  HOTEL CHARVID - CHARVID DIGITAL PRINTING PRESS | MONIE POINT | 5752630232 </t>
  </si>
  <si>
    <t>100004250218104211127454818471</t>
  </si>
  <si>
    <t>250220140200343222147981</t>
  </si>
  <si>
    <t>250220110100343354325125</t>
  </si>
  <si>
    <t>250220140200349079855551</t>
  </si>
  <si>
    <t xml:space="preserve">Transfer to  Upshot inter biz | MONIE POINT | 8236097620 </t>
  </si>
  <si>
    <t>100004250220144456127591714306</t>
  </si>
  <si>
    <t>250221140200359994736924</t>
  </si>
  <si>
    <t>250221140200359767527278</t>
  </si>
  <si>
    <t>250221110100359768594181</t>
  </si>
  <si>
    <t xml:space="preserve">Transfer from IDOWU FOLAHAN JOHNSON | Stanbic-ibtc Bank Plc | 003****789 | TOBECHUKWU DANIEL EZ </t>
  </si>
  <si>
    <t>000012250221102041978417972765</t>
  </si>
  <si>
    <t>250221140200360117504528</t>
  </si>
  <si>
    <t xml:space="preserve">Transfer to  Ahlul Bait Global Enterprise | MONIE POINT | 5482055211 </t>
  </si>
  <si>
    <t>100004250221124457127647283295</t>
  </si>
  <si>
    <t>250223140200388598493290</t>
  </si>
  <si>
    <t>250223100100388667730761</t>
  </si>
  <si>
    <t>000007250224045339497402294013</t>
  </si>
  <si>
    <t>250224140200402032086676</t>
  </si>
  <si>
    <t>250224140200403687698334</t>
  </si>
  <si>
    <t xml:space="preserve">Airtime | 08144409727 | MTN </t>
  </si>
  <si>
    <t>250224100100403565651164</t>
  </si>
  <si>
    <t>250224140200403688938260</t>
  </si>
  <si>
    <t>250224100100403739975077</t>
  </si>
  <si>
    <t>250224140200403639808705</t>
  </si>
  <si>
    <t>250224100100403792007596</t>
  </si>
  <si>
    <t xml:space="preserve">Transfer to SUNDAY EBILOMA | OPay | 9056760880 </t>
  </si>
  <si>
    <t>250224010100409590406857</t>
  </si>
  <si>
    <t>000007250224211929204746860429</t>
  </si>
  <si>
    <t>250224140200415157735712</t>
  </si>
  <si>
    <t>000007250225155947980239933785</t>
  </si>
  <si>
    <t>250225140200424913392179</t>
  </si>
  <si>
    <t xml:space="preserve">Transfer to FATAI ISMAILA | OPay | 8039282484 </t>
  </si>
  <si>
    <t>250226010100436069857054</t>
  </si>
  <si>
    <t xml:space="preserve">Transfer to BLESSING OWOICHO | OPay | 7064759337 </t>
  </si>
  <si>
    <t>250226010100437442254574</t>
  </si>
  <si>
    <t xml:space="preserve">Transfer to JABO LITE SUYA SPOT | MONIE POINT | 5776998822 </t>
  </si>
  <si>
    <t>100004250226133228127946758038</t>
  </si>
  <si>
    <t xml:space="preserve">Transfer to FAVOUR OJODEJU ONATE | OPay | 8144158874 </t>
  </si>
  <si>
    <t>250226010100439808411657</t>
  </si>
  <si>
    <t xml:space="preserve">Transfer to ZIAULHAQ SIDI-ALI | OPay | 8133380890 </t>
  </si>
  <si>
    <t>250226010100440440374416</t>
  </si>
  <si>
    <t xml:space="preserve">Transfer to ELIZABETH UCHENNA CHIBUGWU | Zenith Bank | 2270601194 </t>
  </si>
  <si>
    <t>100004250227073529127986796929</t>
  </si>
  <si>
    <t xml:space="preserve">Transfer to MARKUS ANDREW IWUAN | OPay | 8036728258 </t>
  </si>
  <si>
    <t>250227010100456782505317</t>
  </si>
  <si>
    <t xml:space="preserve">Transfer to TOBECHUKWU DANIEL EZEUKO | Fidelity Bank | 6151304342 </t>
  </si>
  <si>
    <t>100004250305073721128361934174</t>
  </si>
  <si>
    <t>100004250305125452128379503894</t>
  </si>
  <si>
    <t xml:space="preserve">Transfer to ALIYU SANI | OPay | 7042799333 </t>
  </si>
  <si>
    <t>250305010100555335285711</t>
  </si>
  <si>
    <t xml:space="preserve">Transfer to BASHIR SANI AMINU | MONIE POINT | 5876857229 </t>
  </si>
  <si>
    <t>100004250306163142128456633891</t>
  </si>
  <si>
    <t>250308110100598560235840</t>
  </si>
  <si>
    <t>100004250308111254128561207068</t>
  </si>
  <si>
    <t xml:space="preserve">Transfer to  GMG BEAUTY SALON | MONIE POINT | 5325592257 </t>
  </si>
  <si>
    <t>100004250308123549128568604810</t>
  </si>
  <si>
    <t xml:space="preserve">Transfer to ORJI FELICIA EGOAMAKA | FCMB(First City Monument Bank PLC) | 1004863966 </t>
  </si>
  <si>
    <t>100004250308124018128567629281</t>
  </si>
  <si>
    <t xml:space="preserve">Transfer to MUHAMMED ADEMU | Access Bank | 1473506525 </t>
  </si>
  <si>
    <t>100004250308125222128569283793</t>
  </si>
  <si>
    <t>250310100100628007132953</t>
  </si>
  <si>
    <t>250311100100645897935476</t>
  </si>
  <si>
    <t>250311110100645769535306</t>
  </si>
  <si>
    <t xml:space="preserve">Transfer to CHINECHEREM KINDNESS OBIAKOR | OPay | 8133478005 </t>
  </si>
  <si>
    <t>250311010100650182330336</t>
  </si>
  <si>
    <t xml:space="preserve">Transfer to AMINU ABDULLAHI | OPay | 8033748869 </t>
  </si>
  <si>
    <t>250312010100664263719340</t>
  </si>
  <si>
    <t xml:space="preserve">Transfer to SAMUEL CHIEMERIE NZEKWE | OPay | 8081049254 </t>
  </si>
  <si>
    <t>250312010100666466397156</t>
  </si>
  <si>
    <t xml:space="preserve">Transfer to ELIZABETH PETER | United Bank For Africa | 2087660360 </t>
  </si>
  <si>
    <t>100004250312180028128822315356</t>
  </si>
  <si>
    <t xml:space="preserve">Transfer to SAMUEL MAKANJU ADEBAYO | OPay | 8036196449 </t>
  </si>
  <si>
    <t>250313010100674601852950</t>
  </si>
  <si>
    <t xml:space="preserve">Transfer to  JENNYOMA VENTURES | MONIE POINT | 5332464057 </t>
  </si>
  <si>
    <t>100004250313095736128853652233</t>
  </si>
  <si>
    <t>250314100100694918588976</t>
  </si>
  <si>
    <t>250314100100695864170269</t>
  </si>
  <si>
    <t xml:space="preserve">Mobile Data | 8144409727 | DataMtn | 1GB Daily Plan + 3mins. </t>
  </si>
  <si>
    <t>250316110100720435879078</t>
  </si>
  <si>
    <t>250316100100720558876687</t>
  </si>
  <si>
    <t>250317140200736246814788</t>
  </si>
  <si>
    <t>250317140200736146209082</t>
  </si>
  <si>
    <t>250317110100736369895643</t>
  </si>
  <si>
    <t xml:space="preserve">Transfer to CHRISTOPHER TSAFA | OPay | 7063739035 </t>
  </si>
  <si>
    <t>250317010100738139447760</t>
  </si>
  <si>
    <t xml:space="preserve">Mobile Data | 8144409727 | DataMtn | 2.5GB 2 Day Plan </t>
  </si>
  <si>
    <t>250317110100738437949976</t>
  </si>
  <si>
    <t xml:space="preserve">Transfer to MAPLE SUPERMARKET 2 | OPay | 9552075401 </t>
  </si>
  <si>
    <t>250317010100742962983293</t>
  </si>
  <si>
    <t xml:space="preserve">Transfer to  Glory of god | MONIE POINT | 8185245880 </t>
  </si>
  <si>
    <t>100004250317155507129112973966</t>
  </si>
  <si>
    <t xml:space="preserve">Transfer to  FAXX STORES AND TRADING 4 | MONIE POINT | 8223064682 </t>
  </si>
  <si>
    <t>100004250318160551129172040590</t>
  </si>
  <si>
    <t xml:space="preserve">Transfer to SPICE CANOPY LIMITED - ADEWOLE ADENIRAN ONI | MONIE POINT | 5869150027 </t>
  </si>
  <si>
    <t>100004250320110926129272409922</t>
  </si>
  <si>
    <t xml:space="preserve">Transfer from BONAVENTURE UCHECHUKWU UGWU | Palmpay | 903****530 | BONAVENTURE UCHECHUKWU UGWU:9038213530 </t>
  </si>
  <si>
    <t>100033250323070151090120934113</t>
  </si>
  <si>
    <t xml:space="preserve">Mobile Data | 8144409727 | DataMtn | 1GB Daily Plan + 3mins </t>
  </si>
  <si>
    <t>250323110100829165896455</t>
  </si>
  <si>
    <t xml:space="preserve">Transfer to NAZIRU ZARUMI KABIRU | MONIE POINT | 8024009906 </t>
  </si>
  <si>
    <t>100004250324085910129496989714</t>
  </si>
  <si>
    <t xml:space="preserve">Transfer to SANMI VICTOR ONIPEDE | OPay | 8143334042 </t>
  </si>
  <si>
    <t>250324010100844920383135</t>
  </si>
  <si>
    <t xml:space="preserve">Transfer to ALMUSTAPHA IBRAHIM | OPay | 9163949160 </t>
  </si>
  <si>
    <t>250324010100845275562794</t>
  </si>
  <si>
    <t xml:space="preserve">Transfer to PATRICIA ONYOCHE ABAH | OPay | 8125839335 </t>
  </si>
  <si>
    <t>250324010100845360853904</t>
  </si>
  <si>
    <t xml:space="preserve">Transfer to  IDRIS PLAZA | MONIE POINT | 5489774139 </t>
  </si>
  <si>
    <t>100004250324104519129504461563</t>
  </si>
  <si>
    <t>100004250324121737129508211790</t>
  </si>
  <si>
    <t xml:space="preserve">TV | 7528006784 | gotv | GOtv Jinja_1 Month </t>
  </si>
  <si>
    <t>250324120100853858221236</t>
  </si>
  <si>
    <t>250324100100856352205639</t>
  </si>
  <si>
    <t xml:space="preserve">Transfer to PATIENCE AYIKPO AUTA | OPay | 9122714585 </t>
  </si>
  <si>
    <t>250325010100866227445137</t>
  </si>
  <si>
    <t xml:space="preserve">Airtime | 8050630907 | GLO </t>
  </si>
  <si>
    <t>250326100100883229751621</t>
  </si>
  <si>
    <t xml:space="preserve">Transfer to BASHIRA OLUWATOYIN OLUWATOYIN IBRAHIM | OPay | 8136002114 </t>
  </si>
  <si>
    <t>250326010100884887935352</t>
  </si>
  <si>
    <t xml:space="preserve">Transfer to ONYEABOR SAMUEL OBIORAH | OPay | 9058399709 </t>
  </si>
  <si>
    <t>250326180100885953220992</t>
  </si>
  <si>
    <t>250328110100907463527513</t>
  </si>
  <si>
    <t xml:space="preserve">Transfer from JOHNSON+IDOWU+FOLAHAN | Providus Bank Plc | 650****141 | JOHNSON IDOWU FOLAHAN|MOB: TO OPAY DIGIT </t>
  </si>
  <si>
    <t>09FG25032818033902690T46N</t>
  </si>
  <si>
    <t>250328140200917260042368</t>
  </si>
  <si>
    <t>100004250328181204129782426993</t>
  </si>
  <si>
    <t>250328100100921254726289</t>
  </si>
  <si>
    <t>100004250329090927129810893813</t>
  </si>
  <si>
    <t xml:space="preserve">Transfer to DAVID IFEANYI ODOGWU | OPay | 7058800682 </t>
  </si>
  <si>
    <t>250329010100933990452651</t>
  </si>
  <si>
    <t xml:space="preserve">Transfer to aliyu  ahmad | Access Bank | 1409664914 </t>
  </si>
  <si>
    <t>100004250330122643129888096179</t>
  </si>
  <si>
    <t xml:space="preserve">Transfer to EBIAGOR SUNDAY | United Bank For Africa | 2001337938 </t>
  </si>
  <si>
    <t>100004250330154434129899642458</t>
  </si>
  <si>
    <t xml:space="preserve">Transfer to  Gleetel Communication Ltd | MONIE POINT | 8162446259 </t>
  </si>
  <si>
    <t>100004250330155321129899719041</t>
  </si>
  <si>
    <t xml:space="preserve">Third-Party Merchant Order | OPay Payment Gateway </t>
  </si>
  <si>
    <t>WEB</t>
  </si>
  <si>
    <t>250401140200978071383921</t>
  </si>
  <si>
    <t xml:space="preserve">Transfer to BABATOPE OLAJIDE KAREEM | OPay | 8034258249 </t>
  </si>
  <si>
    <t>250402010100990142891064</t>
  </si>
  <si>
    <t>100004250402085640130050627990</t>
  </si>
  <si>
    <t>100004250402123251130063700313</t>
  </si>
  <si>
    <t xml:space="preserve">Transfer to ONUEGBULEM BENNETH CHUKWUEMEKA | First Bank Of Nigeria | 3114272716 </t>
  </si>
  <si>
    <t>100004250402143428130071831675</t>
  </si>
  <si>
    <t>100004250403130816130125879060</t>
  </si>
  <si>
    <t xml:space="preserve">Mobile Data | 9024432845 | DataAir | 5GB 2-Daily Plan </t>
  </si>
  <si>
    <t>250403110100016747323488</t>
  </si>
  <si>
    <t xml:space="preserve">Mobile Data | 8144409727 | DataMtn | 1GB Daily Plan + 1.5mins </t>
  </si>
  <si>
    <t>250406110100058611602447</t>
  </si>
  <si>
    <t>000007250406122343889859019826</t>
  </si>
  <si>
    <t xml:space="preserve">Targets Deposit </t>
  </si>
  <si>
    <t>250406140200061851279660</t>
  </si>
  <si>
    <t>000007250407073942383580346690</t>
  </si>
  <si>
    <t>250407140200073217166351</t>
  </si>
  <si>
    <t>250408140200089290927032</t>
  </si>
  <si>
    <t>250408140200092324773598</t>
  </si>
  <si>
    <t>100004250408090914130420329289</t>
  </si>
  <si>
    <t>250408140200096697517009</t>
  </si>
  <si>
    <t>100004250408135411130438254455</t>
  </si>
  <si>
    <t>250409140200105903067826</t>
  </si>
  <si>
    <t>000007250410073312817246533102</t>
  </si>
  <si>
    <t>250410140200122792031106</t>
  </si>
  <si>
    <t>250411140200138457132108</t>
  </si>
  <si>
    <t xml:space="preserve">Transfer from AYOKUNNU IBUKUN OJENIYI | OPay | 803****832 </t>
  </si>
  <si>
    <t>250411010100144408730156</t>
  </si>
  <si>
    <t>250411140200144314919064</t>
  </si>
  <si>
    <t>250411140200144724796806</t>
  </si>
  <si>
    <t>250411140200144583981235</t>
  </si>
  <si>
    <t>100004250411123554130620735735</t>
  </si>
  <si>
    <t>250411140200144972643792</t>
  </si>
  <si>
    <t>250411140200144923165322</t>
  </si>
  <si>
    <t xml:space="preserve">Transfer to MUHAMMAD DANJUMA AMINU | OPay | 8138532972 </t>
  </si>
  <si>
    <t>250411010100144874418025</t>
  </si>
  <si>
    <t>250412140200155281690710</t>
  </si>
  <si>
    <t>250413140200172336398059</t>
  </si>
  <si>
    <t>250414140200187264307626</t>
  </si>
  <si>
    <t>000007250416154259707531520434</t>
  </si>
  <si>
    <t>250416140200228546409798</t>
  </si>
  <si>
    <t>250417140200236928550928</t>
  </si>
  <si>
    <t>000007250418074648621047829165</t>
  </si>
  <si>
    <t>250418140200254626467842</t>
  </si>
  <si>
    <t>250419140200270023527323</t>
  </si>
  <si>
    <t>250420140200286722871968</t>
  </si>
  <si>
    <t>250421140200301580326740</t>
  </si>
  <si>
    <t>000007250421161254432429221346</t>
  </si>
  <si>
    <t>250422140200317120338781</t>
  </si>
  <si>
    <t>250423140200332856697695</t>
  </si>
  <si>
    <t>250424140200349135745186</t>
  </si>
  <si>
    <t xml:space="preserve">Transfer from GLORIA YAKUBU | OPay | 907****162 </t>
  </si>
  <si>
    <t>250425170100367041508452</t>
  </si>
  <si>
    <t xml:space="preserve">Transfer to EZEUKO, ESTHER CHIAMAKA | Kuda MFB | 2066492683 </t>
  </si>
  <si>
    <t>100004250425075800131474672510</t>
  </si>
  <si>
    <t xml:space="preserve">Transfer to EMMANUEL CHUKWUKADIBIA EZEUKO | MONIE POINT | 9164435155 </t>
  </si>
  <si>
    <t>100004250425075843131474277616</t>
  </si>
  <si>
    <t xml:space="preserve">Transfer to EHIMEME SOLOMON EHIREMHEN | Kuda MFB | 2026953720 </t>
  </si>
  <si>
    <t>100004250425110049131488742239</t>
  </si>
  <si>
    <t xml:space="preserve">Transfer to CHIMEZIE DANIEL OGBONNA | Access Bank | 1780646095 </t>
  </si>
  <si>
    <t>100004250425170222131512514172</t>
  </si>
  <si>
    <t>250426140200382556134601</t>
  </si>
  <si>
    <t>100004250426074143131538248380</t>
  </si>
  <si>
    <t xml:space="preserve">Transfer to EJIM SUNDAY EMMANUEL | Ecobank Nigeria Plc | 0481039358 </t>
  </si>
  <si>
    <t>100004250428080517131658387212</t>
  </si>
  <si>
    <t xml:space="preserve">OWealth Withdrawal(Transaction Payment) </t>
  </si>
  <si>
    <t>250428010200415812394286</t>
  </si>
  <si>
    <t xml:space="preserve">Mobile Data | 8144409727 | DataMtn | 500MB Daily Plan </t>
  </si>
  <si>
    <t>250501110100473487450986</t>
  </si>
  <si>
    <t>250501010200473590162763</t>
  </si>
  <si>
    <t>100004250501161546131886203686</t>
  </si>
  <si>
    <t>250501010200474102985426</t>
  </si>
  <si>
    <t xml:space="preserve">Mobile Data | 8144409727 | DataMtn | 2GB 2 Days Plan </t>
  </si>
  <si>
    <t>250502110100483932251263</t>
  </si>
  <si>
    <t>250502010200484178199935</t>
  </si>
  <si>
    <t xml:space="preserve">Transfer to MARY MIMI ISAH | PalmPay | 8900030849 </t>
  </si>
  <si>
    <t>100004250502110303131931934979</t>
  </si>
  <si>
    <t>250502010200486751117256</t>
  </si>
  <si>
    <t>250505110100539607586407</t>
  </si>
  <si>
    <t>250505010200539512041777</t>
  </si>
  <si>
    <t>000007250507093517324961791729</t>
  </si>
  <si>
    <t>250507140200575393104532</t>
  </si>
  <si>
    <t>250507140200575409480695</t>
  </si>
  <si>
    <t>250507010200575615771727</t>
  </si>
  <si>
    <t>250509010200608647239060</t>
  </si>
  <si>
    <t>250509140200608545751676</t>
  </si>
  <si>
    <t>250509100100608366600632</t>
  </si>
  <si>
    <t>250509010200608498796235</t>
  </si>
  <si>
    <t>000007250509073825931184877074</t>
  </si>
  <si>
    <t>250509140200608562032663</t>
  </si>
  <si>
    <t>000007250509131341471548465996</t>
  </si>
  <si>
    <t>250509140200614291989679</t>
  </si>
  <si>
    <t>250509140200614194022235</t>
  </si>
  <si>
    <t xml:space="preserve">Transfer from ELISHA OKOR EKONG | OPay | 703****427 </t>
  </si>
  <si>
    <t>250509010100623174060878</t>
  </si>
  <si>
    <t>250509140200623174373215</t>
  </si>
  <si>
    <t>250509140200623745153696</t>
  </si>
  <si>
    <t xml:space="preserve">Auto-save to OWealth Balance </t>
  </si>
  <si>
    <t>250509140200624141353128</t>
  </si>
  <si>
    <t>250510110100627741470253</t>
  </si>
  <si>
    <t>250510010200627742203837</t>
  </si>
  <si>
    <t xml:space="preserve">Transfer to A Y M SHAFA GUDU | OPay | 9552501414 </t>
  </si>
  <si>
    <t>250510010100628974161123</t>
  </si>
  <si>
    <t>250510010200628834733361</t>
  </si>
  <si>
    <t xml:space="preserve">Transfer to AA RANO NIGERIA LIMITED - AA Rano NIG Limited | MONIE POINT | 5382477380 </t>
  </si>
  <si>
    <t>100004250510144750132484364676</t>
  </si>
  <si>
    <t>250510010200634794632474</t>
  </si>
  <si>
    <t xml:space="preserve">Transfer to POS Transfer - BASHIR BAKOJI | MONIE POINT | 8177467489 </t>
  </si>
  <si>
    <t>100004250512075245132578695149</t>
  </si>
  <si>
    <t>250512010200661745367800</t>
  </si>
  <si>
    <t xml:space="preserve">Transfer to ABDULFATAH SAHABI | Access Bank | 1766635659 </t>
  </si>
  <si>
    <t>100004250512090835132583575089</t>
  </si>
  <si>
    <t>250512010200662864774331</t>
  </si>
  <si>
    <t xml:space="preserve">Transfer to nazifi hassan abdullahi | OPay | 7016694412 </t>
  </si>
  <si>
    <t>250512010100665746960279</t>
  </si>
  <si>
    <t>250512010200665797403979</t>
  </si>
  <si>
    <t>100004250512164703132612958596</t>
  </si>
  <si>
    <t>250512010200670631232317</t>
  </si>
  <si>
    <t xml:space="preserve">Transfer to ZUBAIRU ALIYU DABARANI | FCMB(First City Monument Bank PLC) | 1006921916 </t>
  </si>
  <si>
    <t>100004250513074005132641379544</t>
  </si>
  <si>
    <t>250513010200678976939653</t>
  </si>
  <si>
    <t xml:space="preserve">Transfer from TOBECHUKWU DANIEL EZEUKO | Wema Bank PLC | 041****864 | Opay- </t>
  </si>
  <si>
    <t>000017250513123509799274894090</t>
  </si>
  <si>
    <t>250513140200682978214300</t>
  </si>
  <si>
    <t>250513140200682723357075</t>
  </si>
  <si>
    <t xml:space="preserve">Merchant consumption </t>
  </si>
  <si>
    <t>250513140200683297407270</t>
  </si>
  <si>
    <t>250513140200683299522395</t>
  </si>
  <si>
    <t>250513140200692925318567</t>
  </si>
  <si>
    <t xml:space="preserve">Transfer to IBRAHIM AYOBAMI ABDULKAREEM | OPay | 7033670222 </t>
  </si>
  <si>
    <t>250514010100701368280253</t>
  </si>
  <si>
    <t>250514010200701368450833</t>
  </si>
  <si>
    <t xml:space="preserve">Transfer to POS Transfer - SUCCESS UGOCHUKWU | MONIE POINT | 8236097620 </t>
  </si>
  <si>
    <t>100004250514135936132728374334</t>
  </si>
  <si>
    <t>250514010200702109304751</t>
  </si>
  <si>
    <t xml:space="preserve">Transfer to  IBRAHIM SHAMSUDEEN | MONIE POINT | 6976702408 </t>
  </si>
  <si>
    <t>100004250514162636132738933735</t>
  </si>
  <si>
    <t>250514010200704553450817</t>
  </si>
  <si>
    <t>250515140200712747579900</t>
  </si>
  <si>
    <t>250515010200713060401954</t>
  </si>
  <si>
    <t xml:space="preserve">Transfer to Monnify Checkout | MONIE POINT | 6857448959 </t>
  </si>
  <si>
    <t>100004250515201126132818802434</t>
  </si>
  <si>
    <t>250515010200726466548152</t>
  </si>
  <si>
    <t xml:space="preserve">Transfer to Monnify Checkout | MONIE POINT | 6860063655 </t>
  </si>
  <si>
    <t>100004250515201704132817939074</t>
  </si>
  <si>
    <t>250515010200726441084975</t>
  </si>
  <si>
    <t xml:space="preserve">Transfer from EZEUKOH, OGIDI EBUBECHUKWU | Kuda MFB | 200****057 | ppp </t>
  </si>
  <si>
    <t>090267250515205117678000750057</t>
  </si>
  <si>
    <t>250515140200727473420357</t>
  </si>
  <si>
    <t>250516010200728971119498</t>
  </si>
  <si>
    <t>250516140200728995768331</t>
  </si>
  <si>
    <t xml:space="preserve">Transfer to PAYSTACK CHECKOUT | PAYSTACK-TITAN | 9991264629 </t>
  </si>
  <si>
    <t>100004250516082712132834410979</t>
  </si>
  <si>
    <t>250516010200731546035722</t>
  </si>
  <si>
    <t>250517010200747073404308</t>
  </si>
  <si>
    <t>250517140200747073401637</t>
  </si>
  <si>
    <t xml:space="preserve">Mobile Data | 8144409727 | DataMtn | 500MB Weekly Plan </t>
  </si>
  <si>
    <t>250517110100751294158715</t>
  </si>
  <si>
    <t>250517010200751294831878</t>
  </si>
  <si>
    <t xml:space="preserve">Transfer to TOBECHUKWU DANIEL EZEUKO | Wema Bank PLC | 0419620864 </t>
  </si>
  <si>
    <t>100004250517101144132907534849</t>
  </si>
  <si>
    <t>250517010200751058544931</t>
  </si>
  <si>
    <t xml:space="preserve">Transfer to FAXX STORES AND TRADING - FAXX 4 | MONIE POINT | 8223064682 </t>
  </si>
  <si>
    <t>100004250517104203132912329809</t>
  </si>
  <si>
    <t>250517010200751780215582</t>
  </si>
  <si>
    <t>100004250518075642132962916664</t>
  </si>
  <si>
    <t>250518010200766034318248</t>
  </si>
  <si>
    <t>100004250519085736133023349418</t>
  </si>
  <si>
    <t>250519010200783337421382</t>
  </si>
  <si>
    <t>100004250521070030133144510434</t>
  </si>
  <si>
    <t>250521010200815700251805</t>
  </si>
  <si>
    <t xml:space="preserve">Transfer to AISHA MUKHTAR IBRAHIM | Access Bank | 0070019895 </t>
  </si>
  <si>
    <t>100004250522080842133211880305</t>
  </si>
  <si>
    <t>250522010200834353345105</t>
  </si>
  <si>
    <t>250523110100851337447978</t>
  </si>
  <si>
    <t>250523010200851185243047</t>
  </si>
  <si>
    <t>000007250524111643757680818742</t>
  </si>
  <si>
    <t>250524140200871777346785</t>
  </si>
  <si>
    <t>250524100100871854152700</t>
  </si>
  <si>
    <t>250524140200883478821894</t>
  </si>
  <si>
    <t>250525110100886510697716</t>
  </si>
  <si>
    <t>250525010200886511085169</t>
  </si>
  <si>
    <t xml:space="preserve">Transfer to VINCENT OKOH | OPay | 7053441992 </t>
  </si>
  <si>
    <t>250525010100890559178956</t>
  </si>
  <si>
    <t>250525010200890667026647</t>
  </si>
  <si>
    <t>250525140200892741892801</t>
  </si>
  <si>
    <t>250525010200892593359517</t>
  </si>
  <si>
    <t>250525110100892792747405</t>
  </si>
  <si>
    <t>250525010200892742979928</t>
  </si>
  <si>
    <t xml:space="preserve">Transfer from OLADOTUN DAVID OYELOWO | Access Bank | 078****932 | TRFRide to hangoutFRM OLADOTUN DAVID OYELOWO TO TOBECHUKWU DANIEL EZEUKO </t>
  </si>
  <si>
    <t>000014250525193001239658746270</t>
  </si>
  <si>
    <t>250525140200899707615498</t>
  </si>
  <si>
    <t>250527110100919553436772</t>
  </si>
  <si>
    <t>250527010200919445717057</t>
  </si>
  <si>
    <t xml:space="preserve">Transfer to CHPABUJA CONTINENTAL HOTEL | Guaranty Trust Bank | 0106940276 </t>
  </si>
  <si>
    <t>100004250527072136133527128905</t>
  </si>
  <si>
    <t>250527010200920405030018</t>
  </si>
  <si>
    <t xml:space="preserve">Transfer to GERALD AHAMEFULA ALARIBE | OPay | 7065604781 </t>
  </si>
  <si>
    <t>250527010100920338296734</t>
  </si>
  <si>
    <t>250527010200920472574492</t>
  </si>
  <si>
    <t>100004250527155650133561325564</t>
  </si>
  <si>
    <t>250527010200928768687213</t>
  </si>
  <si>
    <t>250527110100929540704068</t>
  </si>
  <si>
    <t>250527010200929725129980</t>
  </si>
  <si>
    <t xml:space="preserve">Transfer from HYDROGENCO - FINCRA |  | 189****361 | Taptap Send/payment </t>
  </si>
  <si>
    <t>110068250528101816334642501852</t>
  </si>
  <si>
    <t>250528140200941037220099</t>
  </si>
  <si>
    <t xml:space="preserve">Transfer to FRANKLYN CHISOM ANEKWE | MONIE POINT | 8134168886 </t>
  </si>
  <si>
    <t>100004250528105739133606531060</t>
  </si>
  <si>
    <t>250528140200941718707095</t>
  </si>
  <si>
    <t>250528010200941667569623</t>
  </si>
  <si>
    <t xml:space="preserve">Airtime | 8067778008 | MTN </t>
  </si>
  <si>
    <t>250528100100943679363967</t>
  </si>
  <si>
    <t>250528010200943780576083</t>
  </si>
  <si>
    <t>250529140200954260292591</t>
  </si>
  <si>
    <t>250529010200954247680539</t>
  </si>
  <si>
    <t>250529010100955586333519</t>
  </si>
  <si>
    <t>250529010200955752652483</t>
  </si>
  <si>
    <t xml:space="preserve">Transfer from Upshot inter biz | MONIE POINT | 823****139 | AT129TRF|2MPTxdan|1927995882447446016AT129TRF|2MPTxdan|1927995882447446016Upshot inter Trf for C </t>
  </si>
  <si>
    <t>090405250529085013711129779673</t>
  </si>
  <si>
    <t>250529140200956078277339</t>
  </si>
  <si>
    <t>250529140200956294860888</t>
  </si>
  <si>
    <t xml:space="preserve">Transfer from TOBECHUKWU DANIEL EZEUKO | Fidelity Bank | 615****342 | 770 TRANSFER FROM TOBECHUKWU DANIEL EZE </t>
  </si>
  <si>
    <t>000007250529124159788494812307</t>
  </si>
  <si>
    <t>250529140200959698645240</t>
  </si>
  <si>
    <t>250529140200959888195049</t>
  </si>
  <si>
    <t xml:space="preserve">Transfer from AUGUSTINE OKECHUKWU JOHN | OPay | 901****634 </t>
  </si>
  <si>
    <t>250529010100969478196373</t>
  </si>
  <si>
    <t>250529140200970419745131</t>
  </si>
  <si>
    <t>250530010200971977744948</t>
  </si>
  <si>
    <t>250530140200971835284925</t>
  </si>
  <si>
    <t>110068250530082358039220251843</t>
  </si>
  <si>
    <t>250530140200974602623847</t>
  </si>
  <si>
    <t>100004250530090412133733703717</t>
  </si>
  <si>
    <t>250530140200975394195050</t>
  </si>
  <si>
    <t xml:space="preserve">Transfer to MOHAMMED ABDULGANIYU BABA | Guaranty Trust Bank | 0046378438 </t>
  </si>
  <si>
    <t>100004250530110936133739763156</t>
  </si>
  <si>
    <t xml:space="preserve">Transfer to ELIZABETH UCHENNA CHIBUGWU | Zenith Bank | 2270601194 | XO </t>
  </si>
  <si>
    <t>100004250530131720133749489678</t>
  </si>
  <si>
    <t>000017250530202823204654973034</t>
  </si>
  <si>
    <t>250530140200986688112638</t>
  </si>
  <si>
    <t>250530140200986745205669</t>
  </si>
  <si>
    <t>250530140200989116517827</t>
  </si>
  <si>
    <t>250531010200991011930759</t>
  </si>
  <si>
    <t>250531140200991033124856</t>
  </si>
  <si>
    <t xml:space="preserve">Transfer to MAJIRI MOHAMMED DALHATU | OPay | 7011114068 </t>
  </si>
  <si>
    <t>250531010100998079165570</t>
  </si>
  <si>
    <t>250531010200998228702051</t>
  </si>
  <si>
    <t xml:space="preserve">Transfer to BLOSSOM PRISTINE SERVICES | Zenith Bank | 1017228852 </t>
  </si>
  <si>
    <t>100004250531170216133839555410</t>
  </si>
  <si>
    <t>250531010200002935611691</t>
  </si>
  <si>
    <t xml:space="preserve">Transfer to POS Transfer-ISTIFANUS - ZAMANI | MONIE POINT | 5032682597 </t>
  </si>
  <si>
    <t>100004250531172905133841893735</t>
  </si>
  <si>
    <t>250531010200003735621044</t>
  </si>
  <si>
    <t xml:space="preserve">Transfer to RILWAN ADESHINA SALIHU | OPay | 8157460131 </t>
  </si>
  <si>
    <t>250531010100004452968006</t>
  </si>
  <si>
    <t>250531010200004605215293</t>
  </si>
  <si>
    <t>250601140200010427089336</t>
  </si>
  <si>
    <t>250601010200010414433370</t>
  </si>
  <si>
    <t>100004250601094022133880923499</t>
  </si>
  <si>
    <t>250601010200013687114760</t>
  </si>
  <si>
    <t xml:space="preserve">Transfer to OLUWAKEMI OMOLARA ODUWOLE | OPay | 8038572387 </t>
  </si>
  <si>
    <t>250601010100015684506167</t>
  </si>
  <si>
    <t>250601010200015633798531</t>
  </si>
  <si>
    <t>250602010200027562290808</t>
  </si>
  <si>
    <t>250602140200027461385272</t>
  </si>
  <si>
    <t xml:space="preserve">Transfer to GRAND PRODUCTS COMPANY LIMITED - ABUJA 1 | MONIE POINT | 5691672043 </t>
  </si>
  <si>
    <t>100004250602145750133964419888</t>
  </si>
  <si>
    <t>250602010200037119339971</t>
  </si>
  <si>
    <t xml:space="preserve">Transfer to  SAADU SHARK SHALL | MONIE POINT | 6953770185 </t>
  </si>
  <si>
    <t>100004250602162901133972290442</t>
  </si>
  <si>
    <t>250602010200039038409399</t>
  </si>
  <si>
    <t>250603010200046654316924</t>
  </si>
  <si>
    <t>250603140200046704661127</t>
  </si>
  <si>
    <t xml:space="preserve">Transfer to KHADIJA MUSA | Fidelity Bank | 6322314437 </t>
  </si>
  <si>
    <t>100004250603144607134036662311</t>
  </si>
  <si>
    <t>250603010200056448794040</t>
  </si>
  <si>
    <t>100004250603200702134062439926</t>
  </si>
  <si>
    <t>250603010200062746448826</t>
  </si>
  <si>
    <t>250604140200065778393874</t>
  </si>
  <si>
    <t>250604010200065778395766</t>
  </si>
  <si>
    <t xml:space="preserve">Transfer to NEFISAT SALIFU | MONIE POINT | 9032689046 </t>
  </si>
  <si>
    <t>100004250604175449134124567816</t>
  </si>
  <si>
    <t>250604010200079800952539</t>
  </si>
  <si>
    <t>250605140200086089684756</t>
  </si>
  <si>
    <t>250605010200086109122632</t>
  </si>
  <si>
    <t xml:space="preserve">Transfer to EMADEB ENERGY SERVICES LIMITED - Emadeb Energy Services Mabushi | MONIE POINT | 5007832657 </t>
  </si>
  <si>
    <t>100004250605111744134170954707</t>
  </si>
  <si>
    <t>250605010200092374596470</t>
  </si>
  <si>
    <t xml:space="preserve">Airtime | 8147085636 | MTN </t>
  </si>
  <si>
    <t>250605100100092275096864</t>
  </si>
  <si>
    <t>250605010200092275283163</t>
  </si>
  <si>
    <t>250605010200093934813811</t>
  </si>
  <si>
    <t>250605140200093889927569</t>
  </si>
  <si>
    <t>250605010200093840879763</t>
  </si>
  <si>
    <t xml:space="preserve">Transfer to IKIMAT FOLASADE BELLO | OPay | 8089790954 </t>
  </si>
  <si>
    <t>250605010100093687776912</t>
  </si>
  <si>
    <t xml:space="preserve">Transfer to GRAND PRODUCTS COMPANY LIMITED - ABUJA 1 | MONIE POINT | 5691723385 </t>
  </si>
  <si>
    <t>100004250605132229134182110168</t>
  </si>
  <si>
    <t>250605010200094812545223</t>
  </si>
  <si>
    <t>250606010200106692874449</t>
  </si>
  <si>
    <t>250606140200106667233164</t>
  </si>
  <si>
    <t xml:space="preserve">Transfer to ABIAR LAWRENCE ONUORA | First Bank Of Nigeria | 3114455568 </t>
  </si>
  <si>
    <t>100004250606094137134242359857</t>
  </si>
  <si>
    <t>250606010200110878241267</t>
  </si>
  <si>
    <t xml:space="preserve">Transfer to PAYSTACK CHECKOUT | PAYSTACK-TITAN | 9980361074 </t>
  </si>
  <si>
    <t>100004250606105809134248399696</t>
  </si>
  <si>
    <t>250606010200112286104169</t>
  </si>
  <si>
    <t>250606110100115346605830</t>
  </si>
  <si>
    <t>250606010200115295627635</t>
  </si>
  <si>
    <t>250607010200124226741458</t>
  </si>
  <si>
    <t>250607140200124251073541</t>
  </si>
  <si>
    <t>100004250607170804134333045702</t>
  </si>
  <si>
    <t>250607010200134856446709</t>
  </si>
  <si>
    <t xml:space="preserve">OPay Card Payment | 2IST807X | 000000010424 | T GMG BEAUTY SALON  010424 2IST807X LANG </t>
  </si>
  <si>
    <t>250607330100136282415663</t>
  </si>
  <si>
    <t>250607010200136133078883</t>
  </si>
  <si>
    <t xml:space="preserve">Transfer to MUBARAK ABDULLAHI HASSAN | MONIE POINT | 9132647501 </t>
  </si>
  <si>
    <t>100004250607182154134337792269</t>
  </si>
  <si>
    <t>250607010200136557089000</t>
  </si>
  <si>
    <t xml:space="preserve">OPay Card Payment | 2IST1EJM | 000000000269 | T LIYAS PLACE PHARM 000269 2IST1EJM LANG </t>
  </si>
  <si>
    <t>250607330100136349362834</t>
  </si>
  <si>
    <t>250607010200136600390334</t>
  </si>
  <si>
    <t xml:space="preserve">OPay Card Payment | 2ISMLGA5 | 000000000454 | T GARBA IBRAHIM     000454 2ISMLGA5 LANG </t>
  </si>
  <si>
    <t>250607330100136769980678</t>
  </si>
  <si>
    <t>250607010200136617522226</t>
  </si>
  <si>
    <t>250608010200141227081654</t>
  </si>
  <si>
    <t>250608140200141255305561</t>
  </si>
  <si>
    <t xml:space="preserve">OPay Card Payment | 2ISMLGA5 | 000000000476 | T GARBA IBRAHIM     000476 2ISMLGA5 LANG </t>
  </si>
  <si>
    <t>250608330100146481096934</t>
  </si>
  <si>
    <t>250608010200146443140717</t>
  </si>
  <si>
    <t>250609010200156642856188</t>
  </si>
  <si>
    <t>250609140200156664839917</t>
  </si>
  <si>
    <t xml:space="preserve">Transfer from IDUMU AMOS OHAME | Guaranty Trust Bank | 001****906 | NIP Transfer to TOBECHUKWU DANIEL EZEUKO. 000013250609085045000213355294 </t>
  </si>
  <si>
    <t>000013250609085045000213355294</t>
  </si>
  <si>
    <t xml:space="preserve">OPay Card Payment | 2IST6KSF | 000000000375 | T Bokis Pay Point   000375 2IST6KSF LANG </t>
  </si>
  <si>
    <t>250609330100159165444987</t>
  </si>
  <si>
    <t>250609140200162725253895</t>
  </si>
  <si>
    <t>250609100100162689163242</t>
  </si>
  <si>
    <t>250609140200172125987879</t>
  </si>
  <si>
    <t>250610140200173681205683</t>
  </si>
  <si>
    <t>250610010200173705587233</t>
  </si>
  <si>
    <t xml:space="preserve">OPay Card Payment | 2ISTLZP3 | 000000001406 | T ENE CECILIA EBUTE 001406 2ISTLZP3 LANG </t>
  </si>
  <si>
    <t>250610330100177852266492</t>
  </si>
  <si>
    <t>250610010200177949332838</t>
  </si>
  <si>
    <t xml:space="preserve">OPay Card Payment | 2ISTAH8D | 000000000269 | T Upshot inter biz  000269 2ISTAH8D LANG </t>
  </si>
  <si>
    <t>250610330100181290532039</t>
  </si>
  <si>
    <t>250610010200181362053585</t>
  </si>
  <si>
    <t xml:space="preserve">Transfer from BONAVENTURE UCHECHUKWU UGWU | OPay | 903****270 </t>
  </si>
  <si>
    <t>250610010100182945720928</t>
  </si>
  <si>
    <t xml:space="preserve">OPay Card Payment | 2ISM1GD3 | 000000003063 | T OGOCHUKWU OKEKE   003063 2ISM1GD3 LANG </t>
  </si>
  <si>
    <t>250610330100185267022358</t>
  </si>
  <si>
    <t>250610140200190182750805</t>
  </si>
  <si>
    <t>250611010200191763435989</t>
  </si>
  <si>
    <t>250611140200191786915437</t>
  </si>
  <si>
    <t>250611010200192417116312</t>
  </si>
  <si>
    <t>250611140200192475913975</t>
  </si>
  <si>
    <t>250611100100192596921141</t>
  </si>
  <si>
    <t>250611010200192547415280</t>
  </si>
  <si>
    <t xml:space="preserve">OPay Card Payment | 2ISTLZP3 | 000000001409 | T ENE CECILIA EBUTE 001409 2ISTLZP3 LANG </t>
  </si>
  <si>
    <t>250611330100195315543617</t>
  </si>
  <si>
    <t>250611010200195315553376</t>
  </si>
  <si>
    <t>250611100100199612076800</t>
  </si>
  <si>
    <t>250611010200199562220169</t>
  </si>
  <si>
    <t xml:space="preserve">OPay Card Payment | 2ISTAH8D | 000000000279 | T Upshot inter biz  000279 2ISTAH8D LANG </t>
  </si>
  <si>
    <t>250611330100199529941923</t>
  </si>
  <si>
    <t>250611010200199675372701</t>
  </si>
  <si>
    <t xml:space="preserve">OPay Card Payment | 2IST1R4D | 000000009127 | T GRAND PRODUCTS CO 009127 2IST1R4D LANG </t>
  </si>
  <si>
    <t>250611330100200216533863</t>
  </si>
  <si>
    <t>250611010200200384923449</t>
  </si>
  <si>
    <t xml:space="preserve">Transfer from JOHNSON+IDOWU+FOLAHAN | Providus Bank Plc | 650****141 | JOHNSON IDOWU FOLAHAN|MOB: To OPAY DIGIT </t>
  </si>
  <si>
    <t>09FG250611162155068A6BX43</t>
  </si>
  <si>
    <t>250611140200200936013272</t>
  </si>
  <si>
    <t xml:space="preserve">Transfer to OYESIJI  RAFIU | Guaranty Trust Bank | 0108418115 </t>
  </si>
  <si>
    <t>100004250611152455134573532031</t>
  </si>
  <si>
    <t>000007250611175358186346308017</t>
  </si>
  <si>
    <t>250611140200202650399910</t>
  </si>
  <si>
    <t xml:space="preserve">Transfer to IKENNA JOSHUA NNAJI | OPay | 8065909668 </t>
  </si>
  <si>
    <t>250611010100202777620916</t>
  </si>
  <si>
    <t xml:space="preserve">OPay Card Payment | 2ISTEG18 | 000000000766 | T AYM SHAFA LIMITED 000766 2ISTEG18 LANG </t>
  </si>
  <si>
    <t>250611330100203303091630</t>
  </si>
  <si>
    <t>250611140200207725643427</t>
  </si>
  <si>
    <t>250612010200209391200798</t>
  </si>
  <si>
    <t>250612140200209391974590</t>
  </si>
  <si>
    <t>250613010200226962691204</t>
  </si>
  <si>
    <t>250613140200226989708486</t>
  </si>
  <si>
    <t>250614140200245058568955</t>
  </si>
  <si>
    <t>250614010200245061457406</t>
  </si>
  <si>
    <t xml:space="preserve">Transfer from ELIZABETH   IBIDUN EZEUKO | PalmPay | 807****744 | ELIZABETH   IBIDUN EZEUKO:8075050744 </t>
  </si>
  <si>
    <t>100033250614082549090231617019</t>
  </si>
  <si>
    <t>250614140200246921865886</t>
  </si>
  <si>
    <t xml:space="preserve">OPay Card Payment | 2IST0E3U | 000000002317 | T NJOKU OBINNA EMMA 002317 2IST0E3U LANG </t>
  </si>
  <si>
    <t>250614330100246988816040</t>
  </si>
  <si>
    <t xml:space="preserve">OPay Card Payment | 2IST979T | 000000016611 | T king favour busin 016611 2IST979T LANG </t>
  </si>
  <si>
    <t>250614330100247004077917</t>
  </si>
  <si>
    <t xml:space="preserve">OPay Card Payment | 2IST979T | 000000016613 | T king favour busin 016613 2IST979T LANG </t>
  </si>
  <si>
    <t>250614330100247276942234</t>
  </si>
  <si>
    <t xml:space="preserve">Transfer to ASHAFA SHAFIU | MONIE POINT | 9130792120 </t>
  </si>
  <si>
    <t>100004250614085753134745109940</t>
  </si>
  <si>
    <t xml:space="preserve">OPay Card Payment | 2IST0JEW | 000000003150 | T Gleetel Communica 003150 2IST0JEW LANG </t>
  </si>
  <si>
    <t>250614330100247537835065</t>
  </si>
  <si>
    <t xml:space="preserve">OPay Card Payment | 2IST7XMW | 000000001613 | T YUNIFINE NATION   001613 2IST7XMW LANG </t>
  </si>
  <si>
    <t>250614330100247724586162</t>
  </si>
  <si>
    <t>250614010200247834095814</t>
  </si>
  <si>
    <t xml:space="preserve">OPay Card Payment | 2IST78G8 | 000000001034 | T O J MULTIBIZ ENTE 001034 2IST78G8 LANG </t>
  </si>
  <si>
    <t>250614330100248334912202</t>
  </si>
  <si>
    <t>250614010200248495359282</t>
  </si>
  <si>
    <t xml:space="preserve">OPay Card Payment | 2IST807X | 000000010684 | T GMG BEAUTY SALON  010684 2IST807X LANG </t>
  </si>
  <si>
    <t>250614330100249288668613</t>
  </si>
  <si>
    <t>250614010200249288677808</t>
  </si>
  <si>
    <t xml:space="preserve">Transfer to ISAH MUSA | OPay | 7043005877 </t>
  </si>
  <si>
    <t>250614010100249826340505</t>
  </si>
  <si>
    <t>250614010200249731055873</t>
  </si>
  <si>
    <t xml:space="preserve">OPay Card Payment | 2ISTJ5IE | 000000002124 | T ISAAC SAMUEL AMEH 002124 2ISTJ5IE LANG </t>
  </si>
  <si>
    <t>250614330100250447231796</t>
  </si>
  <si>
    <t>250614010200250250099040</t>
  </si>
  <si>
    <t>250615010200261897439013</t>
  </si>
  <si>
    <t>250615140200261876499458</t>
  </si>
  <si>
    <t>250616010200277983363313</t>
  </si>
  <si>
    <t>250616140200277983361899</t>
  </si>
  <si>
    <t>250616110100279648968729</t>
  </si>
  <si>
    <t>250616010200279813962932</t>
  </si>
  <si>
    <t>000007250616125459587913612767</t>
  </si>
  <si>
    <t xml:space="preserve">OPay Card Payment | 2ISTLZP3 | 000000001420 | T ENE CECILIA EBUTE 001420 2ISTLZP3 LANG </t>
  </si>
  <si>
    <t>250616330100284084552151</t>
  </si>
  <si>
    <t>250616010200284135318138</t>
  </si>
  <si>
    <t xml:space="preserve">Transfer from OLUWASEUN DAMILOLA AJAYI | United Bank For Africa | 205****151 | MOB/UTO/TOBECHUKWU DAN/refund/31234265784 </t>
  </si>
  <si>
    <t>000004250616153712313152479282</t>
  </si>
  <si>
    <t>250616140200286510996645</t>
  </si>
  <si>
    <t xml:space="preserve">Transfer to ELIZABETH   IBIDUN EZEUKO | PalmPay | 8075050744 </t>
  </si>
  <si>
    <t>100004250616150646134890555144</t>
  </si>
  <si>
    <t>250616140200294420177725</t>
  </si>
  <si>
    <t>250617140200296003627807</t>
  </si>
  <si>
    <t>250617010200296003629596</t>
  </si>
  <si>
    <t xml:space="preserve">OPay Card Payment | 2ISTAH8D | 000000000316 | T Upshot inter biz  000316 2ISTAH8D LANG </t>
  </si>
  <si>
    <t>250617330100300704138341</t>
  </si>
  <si>
    <t>250617010200300809891041</t>
  </si>
  <si>
    <t>100004250617123046134946160058</t>
  </si>
  <si>
    <t>250617010200302523867216</t>
  </si>
  <si>
    <t xml:space="preserve">OPay Card Payment | 2ISTAH8D | 000000000321 | T Upshot inter biz  000321 2ISTAH8D LANG </t>
  </si>
  <si>
    <t>250617330100303362662951</t>
  </si>
  <si>
    <t>250617010200303362670420</t>
  </si>
  <si>
    <t>09FG2506171631224615LKNNI</t>
  </si>
  <si>
    <t>250617140200305392121576</t>
  </si>
  <si>
    <t>100004250617153645134960335629</t>
  </si>
  <si>
    <t>250617110100305450864598</t>
  </si>
  <si>
    <t xml:space="preserve">Transfer to AHMAD ABDULKARIM | OPay | 8051756632 </t>
  </si>
  <si>
    <t>250617010100305970461738</t>
  </si>
  <si>
    <t xml:space="preserve">OPay Card Payment | 2ISTB8GU | 000000014764 | T CHUMIC STANDARD C 014764 2ISTB8GU LANG </t>
  </si>
  <si>
    <t>250617330100306601905290</t>
  </si>
  <si>
    <t xml:space="preserve">OPay Card Payment | 2ISME3Y0 | 000000000699 | T VERONICA UKEH OGA 000699 2ISME3Y0 LANG </t>
  </si>
  <si>
    <t>250617330100307495266782</t>
  </si>
  <si>
    <t>250617140200312103948953</t>
  </si>
  <si>
    <t>250618140200313702993183</t>
  </si>
  <si>
    <t>250618010200313700487561</t>
  </si>
  <si>
    <t xml:space="preserve">Mobile Data | 9023096270 | DataAir | 18GB Weekly Plan </t>
  </si>
  <si>
    <t>250618110100319858062301</t>
  </si>
  <si>
    <t>250618010200319808044161</t>
  </si>
  <si>
    <t>250618110100320647140802</t>
  </si>
  <si>
    <t>250618010200320395989611</t>
  </si>
  <si>
    <t>100004250618185313135042238719</t>
  </si>
  <si>
    <t>250618010200327213295074</t>
  </si>
  <si>
    <t>250618110100329586099925</t>
  </si>
  <si>
    <t>250618010200329788515189</t>
  </si>
  <si>
    <t>250619140200331579614879</t>
  </si>
  <si>
    <t>250619010200331561978144</t>
  </si>
  <si>
    <t xml:space="preserve">Transfer to CHINEDU FRANCIS AGHADO | OPay | 8060466846 </t>
  </si>
  <si>
    <t>250619010100340372696541</t>
  </si>
  <si>
    <t>250619010200340372919868</t>
  </si>
  <si>
    <t>100004250619145258135089126538</t>
  </si>
  <si>
    <t>250619010200340591557396</t>
  </si>
  <si>
    <t>250619010100340595727360</t>
  </si>
  <si>
    <t>250619010200340546158662</t>
  </si>
  <si>
    <t>250619100100343055817846</t>
  </si>
  <si>
    <t>250619010200342904314098</t>
  </si>
  <si>
    <t>250620010200349353382897</t>
  </si>
  <si>
    <t>250620140200349359527540</t>
  </si>
  <si>
    <t xml:space="preserve">Transfer to GOLIS  YOHANA LAMAI | Guaranty Trust Bank | 0159221102 </t>
  </si>
  <si>
    <t>100004250620171201135166703322</t>
  </si>
  <si>
    <t>250620010200360959870941</t>
  </si>
  <si>
    <t>250621010200367436150881</t>
  </si>
  <si>
    <t>250621140200367462666538</t>
  </si>
  <si>
    <t>250621100100377875443907</t>
  </si>
  <si>
    <t>250621010200378020757702</t>
  </si>
  <si>
    <t>100004250621172003135233127149</t>
  </si>
  <si>
    <t>250621010200378921271158</t>
  </si>
  <si>
    <t>250622140200385344887295</t>
  </si>
  <si>
    <t>250622010200385361031018</t>
  </si>
  <si>
    <t xml:space="preserve">Transfer to OGHENEFEJIRI SONIA JEMIFOR | OPay | 8169840835 </t>
  </si>
  <si>
    <t>250622010100392083336684</t>
  </si>
  <si>
    <t>250622010200392166253974</t>
  </si>
  <si>
    <t xml:space="preserve">Transfer from EZEUKO, ESTHER CHIAMAKA | Kuda MFB | 206****683 | send my money back abeg ?? </t>
  </si>
  <si>
    <t>090267250622174616230066492683</t>
  </si>
  <si>
    <t>250622140200396145925538</t>
  </si>
  <si>
    <t xml:space="preserve">Transfer to A.Y.M. SHAFA LIMITED - A.Y.M. SHAFA LIMITED - SHAFA ENERGY GUDU 40350083 | MONIE POINT | 8260516030 </t>
  </si>
  <si>
    <t>100004250622180023135294716239</t>
  </si>
  <si>
    <t>250622140200400229533130</t>
  </si>
  <si>
    <t>250623110100405042755164</t>
  </si>
  <si>
    <t>250623010200405241987808</t>
  </si>
  <si>
    <t>250623010200405777114202</t>
  </si>
  <si>
    <t>250623140200405876427216</t>
  </si>
  <si>
    <t xml:space="preserve">Transfer to CHINONSO DAVID ANYIM | OPay | 7049929642 </t>
  </si>
  <si>
    <t>250623010100406057018272</t>
  </si>
  <si>
    <t>250623010200406058396139</t>
  </si>
  <si>
    <t xml:space="preserve">Transfer from MICHAEL TUNDE DARAMOLA | OPay | 703****073 </t>
  </si>
  <si>
    <t>250623170100408496224072</t>
  </si>
  <si>
    <t>250623140200408445637561</t>
  </si>
  <si>
    <t xml:space="preserve">Transfer to MOHAMMED BASHIR ISAH | OPay | 8149172281 </t>
  </si>
  <si>
    <t>250623010100410058590022</t>
  </si>
  <si>
    <t>250623010100410206463199</t>
  </si>
  <si>
    <t>250623010200410113432029</t>
  </si>
  <si>
    <t>000007250623192510240180295537</t>
  </si>
  <si>
    <t>250623140200414978845081</t>
  </si>
  <si>
    <t xml:space="preserve">Transfer to REJOICE OGOOLUWA OBAFEMI | OPay | 8131531902 </t>
  </si>
  <si>
    <t>250623010100415083695460</t>
  </si>
  <si>
    <t>100004250623190808135364050190</t>
  </si>
  <si>
    <t>250623010200416008048126</t>
  </si>
  <si>
    <t xml:space="preserve">Transfer to D VIBES RESTAURANT AND PASTRY | MONIE POINT | 5049591174 </t>
  </si>
  <si>
    <t>100004250623194909135368164988</t>
  </si>
  <si>
    <t>250623010200416921919291</t>
  </si>
  <si>
    <t>250624010200420565842508</t>
  </si>
  <si>
    <t>250624140200420537202026</t>
  </si>
  <si>
    <t>250624100100420692249812</t>
  </si>
  <si>
    <t>250624010200420641714148</t>
  </si>
  <si>
    <t>250624110100420595789647</t>
  </si>
  <si>
    <t>250624010200420595880414</t>
  </si>
  <si>
    <t xml:space="preserve">Transfer to Classic lace hotel and restaurant | OPay | 9552150518 </t>
  </si>
  <si>
    <t>250624010100421370382477</t>
  </si>
  <si>
    <t>250624010200421469782470</t>
  </si>
  <si>
    <t xml:space="preserve">Transfer to SULEJA MART RESOURCES - MNASS 4 | MONIE POINT | 8257113699 </t>
  </si>
  <si>
    <t>100004250624083315135385950709</t>
  </si>
  <si>
    <t>250624010200422556395369</t>
  </si>
  <si>
    <t>100004250624085011135386171783</t>
  </si>
  <si>
    <t>250624010200422860912409</t>
  </si>
  <si>
    <t xml:space="preserve">Transfer to EXPLOIT COLLECTIONS | MONIE POINT | 5588399606 </t>
  </si>
  <si>
    <t>100004250624093156135389436800</t>
  </si>
  <si>
    <t>250624010200423700503705</t>
  </si>
  <si>
    <t>000007250624180334490510482309</t>
  </si>
  <si>
    <t>250624140200431205776967</t>
  </si>
  <si>
    <t>250624110100431581590767</t>
  </si>
  <si>
    <t>250624140200436360541496</t>
  </si>
  <si>
    <t xml:space="preserve">Transfer to OJOTULE - MICHAEL | PalmPay | 9066503491 </t>
  </si>
  <si>
    <t>100004250625155425135482743097</t>
  </si>
  <si>
    <t>250625010200448542874611</t>
  </si>
  <si>
    <t xml:space="preserve">Transfer from DARAMOLA MICHAEL TUNDE | Providus Bank Plc | 650****419 | MOB: To OPAY DIGITAL SERVICES LIMITED|TOBECHUKWU DANIEL EZEUKO . </t>
  </si>
  <si>
    <t>000023250625225738004160123421</t>
  </si>
  <si>
    <t>250625140200455698728755</t>
  </si>
  <si>
    <t>250626140200458604509556</t>
  </si>
  <si>
    <t>250626010200458478517725</t>
  </si>
  <si>
    <t>000007250626084506066176843082</t>
  </si>
  <si>
    <t>250626140200458607915691</t>
  </si>
  <si>
    <t xml:space="preserve">Transfer to PASCHAL CHUKWUMEUCHEYA NWANNE | OPay | 8067818679 </t>
  </si>
  <si>
    <t>250626010100459938299406</t>
  </si>
  <si>
    <t xml:space="preserve">Transfer to NASIRU MANU | OPay | 9032692584 </t>
  </si>
  <si>
    <t>250626010100459770790467</t>
  </si>
  <si>
    <t xml:space="preserve">Transfer to ALHAJI SHEHU CHISU | Guaranty Trust Bank | 0871227237 </t>
  </si>
  <si>
    <t>100004250626171554135555633730</t>
  </si>
  <si>
    <t>250626140200472987207143</t>
  </si>
  <si>
    <t xml:space="preserve">Transfer to FAXX STORES AND TRADING - FAXX 4 | MONIE POINT | 5797728677 </t>
  </si>
  <si>
    <t>100004250628122531135676443157</t>
  </si>
  <si>
    <t>250628010200500529457246</t>
  </si>
  <si>
    <t xml:space="preserve">Transfer to POS Transfer - MERCY DAUDU | MONIE POINT | 5325592257 </t>
  </si>
  <si>
    <t>100004250628134035135683237845</t>
  </si>
  <si>
    <t>250628010200502178129713</t>
  </si>
  <si>
    <t>250629110100512937326187</t>
  </si>
  <si>
    <t>250629010200512957363027</t>
  </si>
  <si>
    <t xml:space="preserve">Transfer to YUSIF HAMISU | MONIE POINT | 8021077615 </t>
  </si>
  <si>
    <t>100004250630101500135796419507</t>
  </si>
  <si>
    <t>250630010200534320483286</t>
  </si>
  <si>
    <t>100004250630101704135796190192</t>
  </si>
  <si>
    <t>250630010200534281185684</t>
  </si>
  <si>
    <t>100004250630102313135796014062</t>
  </si>
  <si>
    <t>250630010200534197730730</t>
  </si>
  <si>
    <t xml:space="preserve">Transfer to GRAND PRODUCTS COMPANY LIMITED - ABUJA 1 | MONIE POINT | 5691672005 </t>
  </si>
  <si>
    <t>100004250630151411135817505291</t>
  </si>
  <si>
    <t>250630010200539561582993</t>
  </si>
  <si>
    <t>250702140200577111366254</t>
  </si>
  <si>
    <t>250702010200576963439935</t>
  </si>
  <si>
    <t>APT00003250704132919136100466831</t>
  </si>
  <si>
    <t>250704010200617034417488</t>
  </si>
  <si>
    <t xml:space="preserve">Transfer to POS Transfer- GARBA IBRAHIM | MONIE POINT | 5042742472 </t>
  </si>
  <si>
    <t>100004250704155429136112486191</t>
  </si>
  <si>
    <t>250704010200619754876280</t>
  </si>
  <si>
    <t>000007250709094209238118954108</t>
  </si>
  <si>
    <t>250709140200704942153559</t>
  </si>
  <si>
    <t>100004250709084425136424830637</t>
  </si>
  <si>
    <t>250709010200704706418825</t>
  </si>
  <si>
    <t>250709110100712252560696</t>
  </si>
  <si>
    <t>250709010200712253027309</t>
  </si>
  <si>
    <t>250710110100733468485019</t>
  </si>
  <si>
    <t>250710010200733275891188</t>
  </si>
  <si>
    <t>000017250711210620470718405115</t>
  </si>
  <si>
    <t>250711140200759255162205</t>
  </si>
  <si>
    <t>250711140200759114185821</t>
  </si>
  <si>
    <t>250711140200760533235192</t>
  </si>
  <si>
    <t>250712010200762399072688</t>
  </si>
  <si>
    <t>250712140200762496175775</t>
  </si>
  <si>
    <t>250713010200781953230483</t>
  </si>
  <si>
    <t>250713140200781949029017</t>
  </si>
  <si>
    <t>250714140200800139102053</t>
  </si>
  <si>
    <t>250714010200800137258115</t>
  </si>
  <si>
    <t xml:space="preserve">Transfer to OFOR DIGITAL | MONIE POINT | 5598143844 </t>
  </si>
  <si>
    <t>100004250714102035136772267512</t>
  </si>
  <si>
    <t>250714010200805201830172</t>
  </si>
  <si>
    <t>250715010200820448118289</t>
  </si>
  <si>
    <t>250715140200820489125366</t>
  </si>
  <si>
    <t>250715010100820865583754</t>
  </si>
  <si>
    <t>250715010200820987169615</t>
  </si>
  <si>
    <t>250715010100820867162003</t>
  </si>
  <si>
    <t>250715010200820913399227</t>
  </si>
  <si>
    <t xml:space="preserve">Transfer to NUHU MUSA | OPay | 8143111527 </t>
  </si>
  <si>
    <t>250715010100821510682784</t>
  </si>
  <si>
    <t>250715010200821561340574</t>
  </si>
  <si>
    <t xml:space="preserve">Transfer to CHIOMA CHARITY UDEGBUNAM | Access Bank | 0024120510 </t>
  </si>
  <si>
    <t>100004250715070250136830795616</t>
  </si>
  <si>
    <t>250715010200821906598406</t>
  </si>
  <si>
    <t>000007250715212247010954145817</t>
  </si>
  <si>
    <t>250715140200837699750931</t>
  </si>
  <si>
    <t>000007250715212519825051781318</t>
  </si>
  <si>
    <t>250715140200838795992542</t>
  </si>
  <si>
    <t>250716010200840603255820</t>
  </si>
  <si>
    <t>250716140200840603253985</t>
  </si>
  <si>
    <t xml:space="preserve">Transfer to FOOD CONCEPTS PLC -  AMINU KANO CRESCENT PIE EXPRESS | MONIE POINT | 5522602991 </t>
  </si>
  <si>
    <t>APT00003250716073941136901522497</t>
  </si>
  <si>
    <t>250716010200842465692229</t>
  </si>
  <si>
    <t xml:space="preserve">Transfer to ALDERS SUPERMARKET &amp; STORES 3 | OPay | 9552091698 </t>
  </si>
  <si>
    <t>250716010100852848436532</t>
  </si>
  <si>
    <t>250716010200852789106942</t>
  </si>
  <si>
    <t>250717010200860894977166</t>
  </si>
  <si>
    <t>250717140200860901057960</t>
  </si>
  <si>
    <t xml:space="preserve">Transfer to POS Transfer- SAADU SHARK SHALL | MONIE POINT | 5954130952 </t>
  </si>
  <si>
    <t>100004250717163730137012790967</t>
  </si>
  <si>
    <t>250717010200873179615864</t>
  </si>
  <si>
    <t>250718010200881296350771</t>
  </si>
  <si>
    <t>250718140200881260328173</t>
  </si>
  <si>
    <t>250719010200902354083381</t>
  </si>
  <si>
    <t>250719140200902359443748</t>
  </si>
  <si>
    <t xml:space="preserve">Transfer to SEEMBER JOY PER | OPay | 7026191391 </t>
  </si>
  <si>
    <t>250719010100909555668978</t>
  </si>
  <si>
    <t>250719010200909505028524</t>
  </si>
  <si>
    <t>100004250719123146137138013580</t>
  </si>
  <si>
    <t>250719010200910093102542</t>
  </si>
  <si>
    <t>250720010200923254441270</t>
  </si>
  <si>
    <t>250720140200923256840037</t>
  </si>
  <si>
    <t>250721140200941247326973</t>
  </si>
  <si>
    <t>250721010200941241671850</t>
  </si>
  <si>
    <t xml:space="preserve">Transfer to AYOBAMIDELE ELIJAH ADEWOLE | OPay | 8169778770 </t>
  </si>
  <si>
    <t>250721010100947947603684</t>
  </si>
  <si>
    <t>250721010200948047790182</t>
  </si>
  <si>
    <t xml:space="preserve">Transfer to OCHOHEPO UNAH ADA | OPay | 9130377080 </t>
  </si>
  <si>
    <t>250721010100953318858611</t>
  </si>
  <si>
    <t>250721010200953319056863</t>
  </si>
  <si>
    <t>APT00003250721165830137289243672</t>
  </si>
  <si>
    <t>250721010200953770014474</t>
  </si>
  <si>
    <t xml:space="preserve">Transfer to POS Transfer- SADA ABUBAKAR | MONIE POINT | 5064681296 </t>
  </si>
  <si>
    <t>100004250721170514137289079486</t>
  </si>
  <si>
    <t>250721010200953995913175</t>
  </si>
  <si>
    <t xml:space="preserve">Transfer to POS Transfer-FAITH BLESSING MONDAY | MONIE POINT | 5067110959 </t>
  </si>
  <si>
    <t>100004250721170654137288591593</t>
  </si>
  <si>
    <t>250721010200953800235312</t>
  </si>
  <si>
    <t>250722140200961194448883</t>
  </si>
  <si>
    <t>250722010200961156747894</t>
  </si>
  <si>
    <t xml:space="preserve">OPay Card Payment | 2ISTLZP3 | 000000001597 | T ENE CECILIA EBUTE 001597 2ISTLZP3 LANG </t>
  </si>
  <si>
    <t>250722330100967553537821</t>
  </si>
  <si>
    <t>250722010200967388127506</t>
  </si>
  <si>
    <t xml:space="preserve">OPay Card Payment | 2ISTEZ1P | 000000004323 | T SAADU SHARK SHALL 004323 2ISTEZ1P LANG </t>
  </si>
  <si>
    <t>250722330100973101096277</t>
  </si>
  <si>
    <t>250722010200973340031317</t>
  </si>
  <si>
    <t>250723010200981086429142</t>
  </si>
  <si>
    <t>250723140200981099350493</t>
  </si>
  <si>
    <t xml:space="preserve">OPay Card Payment | 2ISTAH8D | 000000000551 | T Upshot inter biz  000551 2ISTAH8D LANG </t>
  </si>
  <si>
    <t>250723330100983117706522</t>
  </si>
  <si>
    <t>250723010200983023854675</t>
  </si>
  <si>
    <t>250724010200000739489580</t>
  </si>
  <si>
    <t>250724140200000735199786</t>
  </si>
  <si>
    <t>000017250724085245375064854033</t>
  </si>
  <si>
    <t>000007250724085416894511199794</t>
  </si>
  <si>
    <t xml:space="preserve">Transfer to CEDARCREST HOSPITALS LIMITED - Gudu | MONIE POINT | 5006494719 </t>
  </si>
  <si>
    <t>100004250724075552137453351382</t>
  </si>
  <si>
    <t>250724010200002567503909</t>
  </si>
  <si>
    <t xml:space="preserve">Transfer from OLUWASEUN DAMILOLA AJAYI | United Bank For Africa | 205****151 | MOB/UTO/TOBECHUKWU DAN/granma/31970499303 </t>
  </si>
  <si>
    <t>000004250724100652021090144859</t>
  </si>
  <si>
    <t>250724550100004123488911</t>
  </si>
  <si>
    <t xml:space="preserve">OPay Card Payment | 2058CAFR | 216196750467 | ELDAN PHARMACEUTICALS LLagos        LANG </t>
  </si>
  <si>
    <t>250724330100004406862819</t>
  </si>
  <si>
    <t xml:space="preserve">OPay Card Payment | 2ISMLGA5 | 000000001484 | T GARBA IBRAHIM     001484 2ISMLGA5 LANG </t>
  </si>
  <si>
    <t>250724330100004759369371</t>
  </si>
  <si>
    <t xml:space="preserve">Transfer to NATION JESSY JOSEPH | OPay | 9025760573 </t>
  </si>
  <si>
    <t>250724010100005949923189</t>
  </si>
  <si>
    <t>100004250724142306137481234468</t>
  </si>
  <si>
    <t>250724140200018861637660</t>
  </si>
  <si>
    <t>250725010200020542399410</t>
  </si>
  <si>
    <t>250725140200020621281584</t>
  </si>
  <si>
    <t xml:space="preserve">OPay Card Payment | 2ISTLZP3 | 000000001618 | T ENE CECILIA EBUTE 001618 2ISTLZP3 LANG </t>
  </si>
  <si>
    <t>250725330100022287807585</t>
  </si>
  <si>
    <t>250725010200022337663722</t>
  </si>
  <si>
    <t>250725110100033202482068</t>
  </si>
  <si>
    <t>250725010200033243828475</t>
  </si>
  <si>
    <t xml:space="preserve">OPay Card Payment | 2ISMIRA9 | 000000006485 | T HUSAINI IBRAHIM   006485 2ISMIRA9 LANG </t>
  </si>
  <si>
    <t>250725330100033986805908</t>
  </si>
  <si>
    <t>250725010200033887198107</t>
  </si>
  <si>
    <t>250726010200041292452529</t>
  </si>
  <si>
    <t>250726140200041298080456</t>
  </si>
  <si>
    <t xml:space="preserve">Transfer to KABIRU SAFIYANU MAGAJI | OPay | 8162285494 </t>
  </si>
  <si>
    <t>250726010100049066348009</t>
  </si>
  <si>
    <t>250726010200049066523052</t>
  </si>
  <si>
    <t xml:space="preserve">Transfer to CHISOM JANE ONU | Access Bank | 0802118554 </t>
  </si>
  <si>
    <t>100004250726130638137616662171</t>
  </si>
  <si>
    <t>250726010200049398745181</t>
  </si>
  <si>
    <t xml:space="preserve">OPay Card Payment | 2058YPVN | 805837006036 | Faxx stores &amp; Trading LLagos        LANG </t>
  </si>
  <si>
    <t>250726330100051724934561</t>
  </si>
  <si>
    <t>250726010200051650259925</t>
  </si>
  <si>
    <t>250727010200061847246879</t>
  </si>
  <si>
    <t>250727140200061847245081</t>
  </si>
  <si>
    <t>000007250727164347423224742431</t>
  </si>
  <si>
    <t>250727550100071483148609</t>
  </si>
  <si>
    <t>100004250727155151137690133958</t>
  </si>
  <si>
    <t xml:space="preserve">Transfer to ALHASSAN YUNUSA | OPay | 7035580378 </t>
  </si>
  <si>
    <t>250727010100071771920232</t>
  </si>
  <si>
    <t>250727140200077837814695</t>
  </si>
  <si>
    <t>250728010200079686165712</t>
  </si>
  <si>
    <t>250728140200079659750185</t>
  </si>
  <si>
    <t>250728110100082558367448</t>
  </si>
  <si>
    <t>250728010200082416983305</t>
  </si>
  <si>
    <t xml:space="preserve">OPay Card Payment | 2ISMLGA5 | 000000001649 | T GARBA IBRAHIM     001649 2ISMLGA5 LANG </t>
  </si>
  <si>
    <t>250728330100086861193559</t>
  </si>
  <si>
    <t>250728010200086814038056</t>
  </si>
  <si>
    <t>250729010200099922598302</t>
  </si>
  <si>
    <t>250729140200099922596052</t>
  </si>
  <si>
    <t>250729110100107711266289</t>
  </si>
  <si>
    <t>250729010200107617031118</t>
  </si>
  <si>
    <t>250730010200120780700054</t>
  </si>
  <si>
    <t>250730140200120780698536</t>
  </si>
  <si>
    <t>250731010200141878971607</t>
  </si>
  <si>
    <t>250731140200141899776315</t>
  </si>
  <si>
    <t>250801010200162882501667</t>
  </si>
  <si>
    <t>250801140200162879538203</t>
  </si>
  <si>
    <t>250802010200185119581047</t>
  </si>
  <si>
    <t>250802140200185108061232</t>
  </si>
  <si>
    <t>000007250803084156903493643294</t>
  </si>
  <si>
    <t>250803140200217908662760</t>
  </si>
  <si>
    <t>250803140200224807531531</t>
  </si>
  <si>
    <t>250804010200226505489217</t>
  </si>
  <si>
    <t>250804140200226505487556</t>
  </si>
  <si>
    <t>250805010200247131318865</t>
  </si>
  <si>
    <t>250805140200247038322276</t>
  </si>
  <si>
    <t>250805110100248861109449</t>
  </si>
  <si>
    <t>250805010200248861268668</t>
  </si>
  <si>
    <t xml:space="preserve">Transfer to AHMED HAMEED ALIYU | Guaranty Trust Bank | 0528751195 </t>
  </si>
  <si>
    <t>100004250805075838138316031660</t>
  </si>
  <si>
    <t>250805010200249457331904</t>
  </si>
  <si>
    <t>250806010200268311807027</t>
  </si>
  <si>
    <t>250806140200268305596194</t>
  </si>
  <si>
    <t>250806100100277512710044</t>
  </si>
  <si>
    <t>250806010200277512936673</t>
  </si>
  <si>
    <t>250806100100277618734249</t>
  </si>
  <si>
    <t>250806010200277517695463</t>
  </si>
  <si>
    <t>250806100100277754812724</t>
  </si>
  <si>
    <t>250806010200277675357945</t>
  </si>
  <si>
    <t>250806110100286358489321</t>
  </si>
  <si>
    <t>250806010200286308023248</t>
  </si>
  <si>
    <t>000017250807051418868872986910</t>
  </si>
  <si>
    <t>250807140200308372114103</t>
  </si>
  <si>
    <t>250808010200310247645366</t>
  </si>
  <si>
    <t>250808140200310253633831</t>
  </si>
  <si>
    <t>250809010200331404548087</t>
  </si>
  <si>
    <t>250809140200331432052494</t>
  </si>
  <si>
    <t>250810140200352346992280</t>
  </si>
  <si>
    <t>250810010200352341042448</t>
  </si>
  <si>
    <t>250811010200371195571805</t>
  </si>
  <si>
    <t>250811140200371210624080</t>
  </si>
  <si>
    <t>250812010200391793294277</t>
  </si>
  <si>
    <t>250812140200391820216359</t>
  </si>
  <si>
    <t>000007250812090614713176724067</t>
  </si>
  <si>
    <t xml:space="preserve">Transfer to IBRAHIM MUSA | OPay | 8138174554 </t>
  </si>
  <si>
    <t>250812010100394491114463</t>
  </si>
  <si>
    <t>000007250812130626770049369460</t>
  </si>
  <si>
    <t xml:space="preserve">Transfer to JAPHET HARUNA | OPay | 8084717875 </t>
  </si>
  <si>
    <t>250812010100400219122558</t>
  </si>
  <si>
    <t>250812140200411475704050</t>
  </si>
  <si>
    <t>250813010200413270797054</t>
  </si>
  <si>
    <t>250813140200413273919359</t>
  </si>
  <si>
    <t xml:space="preserve">Transfer to OKPOKO  IFEANYICHUKWU KINGSLEY | Guaranty Trust Bank | 0052397355 </t>
  </si>
  <si>
    <t>100004250813171411138948929346</t>
  </si>
  <si>
    <t>250813010200426481539105</t>
  </si>
  <si>
    <t>250814010200433849163343</t>
  </si>
  <si>
    <t>250814140200433856056386</t>
  </si>
  <si>
    <t>000007250814081745823166217564</t>
  </si>
  <si>
    <t>250814110100435262459958</t>
  </si>
  <si>
    <t xml:space="preserve">Transfer to POS Transfer-SUNDAY LUKAS | MONIE POINT | 5696649194 </t>
  </si>
  <si>
    <t>APT00003250814074404138977667166</t>
  </si>
  <si>
    <t>APT00003250814080959138980225689</t>
  </si>
  <si>
    <t xml:space="preserve">Transfer to POS Transfer-ALIYU SANI | MONIE POINT | 5060461102 </t>
  </si>
  <si>
    <t>100004250814173407139024455329</t>
  </si>
  <si>
    <t>250814140200452625364562</t>
  </si>
  <si>
    <t>250815140200454693195036</t>
  </si>
  <si>
    <t>250815010200454717375903</t>
  </si>
  <si>
    <t>000007250816095310976753176356</t>
  </si>
  <si>
    <t xml:space="preserve">Transfer to POS Transfer-IBRAHIM ALIYU | MONIE POINT | 5823657423 </t>
  </si>
  <si>
    <t>APT00003250816085443139126555108</t>
  </si>
  <si>
    <t xml:space="preserve">Transfer from OLUWASEGUN AJAYI | Union Bank Of Nigeria | 004****840 | MOBILE/UNION Transfer from OLUWASEGUN AJAYI - Birthday  </t>
  </si>
  <si>
    <t>000018250816100842001528087364</t>
  </si>
  <si>
    <t>250816550100479783640856</t>
  </si>
  <si>
    <t xml:space="preserve">Transfer to CHIDERA SUPERMARKET NIGERIA LIMITED - CHIDERA  SUPPERMAKET | MONIE POINT | 5492100802 </t>
  </si>
  <si>
    <t>APT00003250816091342139127791635</t>
  </si>
  <si>
    <t xml:space="preserve">Transfer to SAMINU ABUBAKAR | OPay | 8066642735 </t>
  </si>
  <si>
    <t>250816010100479910248732</t>
  </si>
  <si>
    <t xml:space="preserve">Transfer to king favour business ventures - IGOMU FAVOUR | MONIE POINT | 5646428484 </t>
  </si>
  <si>
    <t>APT00003250816092807139125415120</t>
  </si>
  <si>
    <t>APT00003250816092948139125434788</t>
  </si>
  <si>
    <t xml:space="preserve">OPay Card Payment | 2IST3W2K | 000000011829 | T PAPOSH SMITH COMP 011829 2IST3W2K LANG </t>
  </si>
  <si>
    <t>250816330100480392980916</t>
  </si>
  <si>
    <t xml:space="preserve">Transfer to MARGARET SUNDAY | OPay | 8118784483 </t>
  </si>
  <si>
    <t>250816010100480902112697</t>
  </si>
  <si>
    <t xml:space="preserve">OPay Card Payment | 2ISMLGA5 | 000000002106 | T GARBA IBRAHIM     002106 2ISMLGA5 LANG </t>
  </si>
  <si>
    <t>250816330100480889966487</t>
  </si>
  <si>
    <t xml:space="preserve">OPay Card Payment | 2ISTHUS8 | 000000002290 | T GEEMMGEE BEAUTY L 002290 2ISTHUS8 LANG </t>
  </si>
  <si>
    <t>250816330100490870546351</t>
  </si>
  <si>
    <t xml:space="preserve">Transfer to DAYYABU DAHIRU | MONIE POINT | 8109637211 </t>
  </si>
  <si>
    <t>APT00003250816180918139165269322</t>
  </si>
  <si>
    <t>250816140200495599551680</t>
  </si>
  <si>
    <t>250817140200497459089561</t>
  </si>
  <si>
    <t>250817010200497470801486</t>
  </si>
  <si>
    <t>250818010200516204145154</t>
  </si>
  <si>
    <t>250818140200516244004142</t>
  </si>
  <si>
    <t xml:space="preserve">Transfer to DAN CHIDDY GLOBAL ENTERPRISE | MONIE POINT | 8065599056 </t>
  </si>
  <si>
    <t>APT00003250818121415139260864916</t>
  </si>
  <si>
    <t>250818010200523715106348</t>
  </si>
  <si>
    <t xml:space="preserve">OPay Card Payment | 2ISMDMFW | 000000003153 | T M R GARO KAINUWA  003153 2ISMDMFW LANG </t>
  </si>
  <si>
    <t>250818330100528770711297</t>
  </si>
  <si>
    <t>250818010200528619480176</t>
  </si>
  <si>
    <t>250819010200537138754423</t>
  </si>
  <si>
    <t>250819140200537138752688</t>
  </si>
  <si>
    <t>250820010200558213002311</t>
  </si>
  <si>
    <t>250820140200558219371271</t>
  </si>
  <si>
    <t xml:space="preserve">Transfer to POS Transfer - KABIR SANI | MONIE POINT | 5464617284 </t>
  </si>
  <si>
    <t>APT00003250820072439139373911488</t>
  </si>
  <si>
    <t>250820010200559911983943</t>
  </si>
  <si>
    <t xml:space="preserve">Transfer to GRAND PRODUCTS COMPANY LIMITED - ABUJA 1 | MONIE POINT | 5691659677 </t>
  </si>
  <si>
    <t>APT00003250820130007139396280772</t>
  </si>
  <si>
    <t>250820010200566435125908</t>
  </si>
  <si>
    <t>250821010200578762711289</t>
  </si>
  <si>
    <t>250821140200578776670046</t>
  </si>
  <si>
    <t xml:space="preserve">Transfer from IDOWU | Zenith Bank | 217****122 |  Feeding </t>
  </si>
  <si>
    <t>000015250821130849000002337833</t>
  </si>
  <si>
    <t>250821550100586046866827</t>
  </si>
  <si>
    <t xml:space="preserve">Transfer to Yakoyo Abula Joint Abuja | MONIE POINT | 5542525155 </t>
  </si>
  <si>
    <t>APT00003250821122535139457591821</t>
  </si>
  <si>
    <t>250821100100593457657924</t>
  </si>
  <si>
    <t>250821100100593309262282</t>
  </si>
  <si>
    <t>250821140200597765665097</t>
  </si>
  <si>
    <t>250822010200599505170038</t>
  </si>
  <si>
    <t>250822140200599564354314</t>
  </si>
  <si>
    <t xml:space="preserve">Transfer to JONATHAN AUGUSTINE INYANG | OPay | 8035998462 </t>
  </si>
  <si>
    <t>250822010100620398721541</t>
  </si>
  <si>
    <t>250822010200620393866941</t>
  </si>
  <si>
    <t>250823010200621084326692</t>
  </si>
  <si>
    <t>250823140200621059922651</t>
  </si>
  <si>
    <t xml:space="preserve">Transfer to USMAN BALA UMAR | MONIE POINT | 9027107569 </t>
  </si>
  <si>
    <t>APT00003250823153301139599982039</t>
  </si>
  <si>
    <t>250823010200632862448161</t>
  </si>
  <si>
    <t xml:space="preserve">Transfer to SUNUSI ABDURRAHMAN | MONIE POINT | 9168648233 </t>
  </si>
  <si>
    <t>APT00003250823160411139603814089</t>
  </si>
  <si>
    <t>250823010200633434907042</t>
  </si>
  <si>
    <t>250824010200642518698169</t>
  </si>
  <si>
    <t>250824140200642518696684</t>
  </si>
  <si>
    <t xml:space="preserve">Transfer to COVENANT CHRISTIAN WORLD ASS. THE COVENANT NATION | Zenith Bank | 1010845720 </t>
  </si>
  <si>
    <t>100004250824102349139644819471</t>
  </si>
  <si>
    <t>250824010200647074170938</t>
  </si>
  <si>
    <t>250825140200661318631633</t>
  </si>
  <si>
    <t>250825010200661312328748</t>
  </si>
  <si>
    <t xml:space="preserve">Transfer from TOBECHUKWU DANIEL EZEUKO | Wema Bank PLC | 041****864 | Opay-savings </t>
  </si>
  <si>
    <t>000017250825140836380702700654</t>
  </si>
  <si>
    <t>250825550100669869355495</t>
  </si>
  <si>
    <t>250825140200669927351873</t>
  </si>
  <si>
    <t>250825110100672455755340</t>
  </si>
  <si>
    <t>APT00003250825164446139727338471</t>
  </si>
  <si>
    <t xml:space="preserve">Transfer from OLUWASEGUN AJAYI | Union Bank Of Nigeria | 004****840 | MOBILE/UNION Transfer from OLUWASEGUN AJAYI - Refund </t>
  </si>
  <si>
    <t>000018250825210834001531371552</t>
  </si>
  <si>
    <t>250825550100679409112200</t>
  </si>
  <si>
    <t>100004250825201549139743721689</t>
  </si>
  <si>
    <t>250825140200680572173639</t>
  </si>
  <si>
    <t>250826010200682497551323</t>
  </si>
  <si>
    <t>250826140200682476376108</t>
  </si>
  <si>
    <t>250827010200703527202726</t>
  </si>
  <si>
    <t>250827140300703429318079</t>
  </si>
  <si>
    <t>250828140300725045006793</t>
  </si>
  <si>
    <t>250828010200725045008758</t>
  </si>
  <si>
    <t>250828110100725899292835</t>
  </si>
  <si>
    <t>250828010200725874171993</t>
  </si>
  <si>
    <t>250828100100739040424948</t>
  </si>
  <si>
    <t>250828010200738896007182</t>
  </si>
  <si>
    <t>250829140300746685854996</t>
  </si>
  <si>
    <t>250829010200746685857052</t>
  </si>
  <si>
    <t>250830010200769079431581</t>
  </si>
  <si>
    <t>250830140300769062652218</t>
  </si>
  <si>
    <t>250831010200791120324769</t>
  </si>
  <si>
    <t>250831140300791143715579</t>
  </si>
  <si>
    <t>250901140300811282240854</t>
  </si>
  <si>
    <t>250901010200811254910643</t>
  </si>
  <si>
    <t>250902010200833657371604</t>
  </si>
  <si>
    <t>250902140300833663357126</t>
  </si>
  <si>
    <t>000017250902070422878726579785</t>
  </si>
  <si>
    <t>250902550100834359283473</t>
  </si>
  <si>
    <t>250902140300834335135427</t>
  </si>
  <si>
    <t>250902110100848565306667</t>
  </si>
  <si>
    <t xml:space="preserve">Transfer to MUTIAT IDOWU SALAUDEEN | MONIE POINT | 5790836193 </t>
  </si>
  <si>
    <t>APT00003250902173644140262733746</t>
  </si>
  <si>
    <t>250902140300854268001649</t>
  </si>
  <si>
    <t>250903010200856469545692</t>
  </si>
  <si>
    <t>250903140300856469543662</t>
  </si>
  <si>
    <t>100004250903075236140290840374</t>
  </si>
  <si>
    <t>250903010200859303543491</t>
  </si>
  <si>
    <t>100004250903125049140311853248</t>
  </si>
  <si>
    <t>250903010200865885124991</t>
  </si>
  <si>
    <t xml:space="preserve">Transfer from OJENIYI AYOKUNNU IBUKUN | Guaranty Trust Bank | 001****608 | NIP Transfer to TOBECHUKWU DANIEL EZEUKO. 000013250903190036000391672725 </t>
  </si>
  <si>
    <t>000013250903190036000391672725</t>
  </si>
  <si>
    <t>250903550100873090975672</t>
  </si>
  <si>
    <t>250903140300877523771584</t>
  </si>
  <si>
    <t>250904010200879657289632</t>
  </si>
  <si>
    <t>250904140300879663074752</t>
  </si>
  <si>
    <t>100004250904083558140362609585</t>
  </si>
  <si>
    <t>250904010200882873367199</t>
  </si>
  <si>
    <t>100004250904120123140379342640</t>
  </si>
  <si>
    <t>250904010200887480278952</t>
  </si>
  <si>
    <t>250904110100892335148360</t>
  </si>
  <si>
    <t>250904010200892284593061</t>
  </si>
  <si>
    <t xml:space="preserve">OPay Card Payment | 2IST1TH5 | 000000012613 | T GRAND PRODUCTS CO 012613 2IST1TH5 LANG </t>
  </si>
  <si>
    <t>250904330100892828996850</t>
  </si>
  <si>
    <t>250904010200893079090161</t>
  </si>
  <si>
    <t xml:space="preserve">Transfer to EMERHIRHI PRAISE OGHENEFEJIRO | FCMB(First City Monument Bank PLC) | 4136290022 </t>
  </si>
  <si>
    <t>100004250904164440140400128152</t>
  </si>
  <si>
    <t>250904010200893626516229</t>
  </si>
  <si>
    <t>000017250904213544062898220000</t>
  </si>
  <si>
    <t>250904550100899774266010</t>
  </si>
  <si>
    <t>250904140300900318083974</t>
  </si>
  <si>
    <t>250905010200902475692809</t>
  </si>
  <si>
    <t>250905140300902488478413</t>
  </si>
  <si>
    <t>250905110100904037822397</t>
  </si>
  <si>
    <t>250905010200903936837772</t>
  </si>
  <si>
    <t xml:space="preserve">OPay Card Payment | 2ISTHUS8 | 000000003168 | T GEEMMGEE BEAUTY L 003168 2ISTHUS8 LANG </t>
  </si>
  <si>
    <t>250905330100914225189338</t>
  </si>
  <si>
    <t>250905010200914073560423</t>
  </si>
  <si>
    <t>250906010200925469239058</t>
  </si>
  <si>
    <t>250906140300925480736201</t>
  </si>
  <si>
    <t xml:space="preserve">Transfer to AKANIMO BONIFACE EMMANSON | OPay | 9156548330 | First installment </t>
  </si>
  <si>
    <t>250906010100944324631834</t>
  </si>
  <si>
    <t>250906010200944418523239</t>
  </si>
  <si>
    <t>250907010200948185057667</t>
  </si>
  <si>
    <t>250907140300948164052312</t>
  </si>
  <si>
    <t>250908010200968217315862</t>
  </si>
  <si>
    <t>250908140300968230466406</t>
  </si>
  <si>
    <t>250908110100968976035687</t>
  </si>
  <si>
    <t>250908010200969026676662</t>
  </si>
  <si>
    <t xml:space="preserve">OPay Card Payment | 2IST2LJT | 000000014382 | T THE CONQUEROR INT 014382 2IST2LJT LANG </t>
  </si>
  <si>
    <t>250908330100969423205323</t>
  </si>
  <si>
    <t>250908010200969259873519</t>
  </si>
  <si>
    <t xml:space="preserve">Transfer to CALEB BOJIREH | Wema Bank PLC | 0290980116 </t>
  </si>
  <si>
    <t>100004250908110010140642153072</t>
  </si>
  <si>
    <t>250908010200974335808746</t>
  </si>
  <si>
    <t xml:space="preserve">Transfer from JULIET OJUWE ATTAH | MONIE POINT | 553****982 | AT139_TRF|2MPT39s2x|1965135366197030912-AT139_TRF|2MPT39s2x|1965135366197030912-JULIET OJUWE Trf for </t>
  </si>
  <si>
    <t>APT00002250908202916535139385300</t>
  </si>
  <si>
    <t>250908140300988017394713</t>
  </si>
  <si>
    <t>250909010200989712855509</t>
  </si>
  <si>
    <t>250909140300989693880657</t>
  </si>
  <si>
    <t xml:space="preserve">OPay Card Payment | 2ISTIZR4 | 000000008441 | T GRAND PRODUCTS CO 008441 2ISTIZR4 LANG </t>
  </si>
  <si>
    <t>250909330100993226794142</t>
  </si>
  <si>
    <t>250909010200993226807885</t>
  </si>
  <si>
    <t>250909110100997806643128</t>
  </si>
  <si>
    <t>250909010200997705598265</t>
  </si>
  <si>
    <t xml:space="preserve">Transfer to TESTIMONY INYANG EKO | OPay | 9129929948 </t>
  </si>
  <si>
    <t>250909010100997983029458</t>
  </si>
  <si>
    <t>250909010200998071875978</t>
  </si>
  <si>
    <t xml:space="preserve">Transfer to BALA - AHMED | OPay | 8035180183 </t>
  </si>
  <si>
    <t>250909010100999183855269</t>
  </si>
  <si>
    <t>250909010200999117600579</t>
  </si>
  <si>
    <t>250910140300011973734336</t>
  </si>
  <si>
    <t>250910010200011985643393</t>
  </si>
  <si>
    <t>250910100100012998453724</t>
  </si>
  <si>
    <t>250910010200012948762595</t>
  </si>
  <si>
    <t xml:space="preserve">Transfer to EMMANUEL CHIDIEBERE UDEINYA | OPay | 8148674356 </t>
  </si>
  <si>
    <t>250910010100021012661675</t>
  </si>
  <si>
    <t>250910010200020860779196</t>
  </si>
  <si>
    <t xml:space="preserve">Transfer to YAN-TORI ENTERPRISES - N.A GARO | MONIE POINT | 8161675850 </t>
  </si>
  <si>
    <t>APT00003250910163238140798868940</t>
  </si>
  <si>
    <t>250910010200025580165144</t>
  </si>
  <si>
    <t>250911010200034144427753</t>
  </si>
  <si>
    <t>250911140300034144425790</t>
  </si>
  <si>
    <t xml:space="preserve">Transfer to GEEMMGEE BEAUTY LOUNGE - BARBERS | MONIE POINT | 5486559542 </t>
  </si>
  <si>
    <t>100004250911194549140885018213</t>
  </si>
  <si>
    <t>250911010200052608051029</t>
  </si>
  <si>
    <t>250912010200056394033436</t>
  </si>
  <si>
    <t>250912140300056296736388</t>
  </si>
  <si>
    <t xml:space="preserve">Transfer from AFOLABI-OMOSOWONI YEMISI FELIC | Guaranty Trust Bank | 001****529 | NIP Transfer to TOBECHUKWU DANIEL EZEUKO. 000013250912195647000410892379 </t>
  </si>
  <si>
    <t>000013250912195647000410892379</t>
  </si>
  <si>
    <t>250912550100073538671158</t>
  </si>
  <si>
    <t>250912140300076650452103</t>
  </si>
  <si>
    <t>250913010200078608245180</t>
  </si>
  <si>
    <t>250913140300078621644958</t>
  </si>
  <si>
    <t xml:space="preserve">Transfer to GAJERE SUNDAY DANBAUCHI | OPay | 8163881882 </t>
  </si>
  <si>
    <t>250913010100089753439265</t>
  </si>
  <si>
    <t>250913010200089804431852</t>
  </si>
  <si>
    <t xml:space="preserve">OPay Card Payment | 2058CAFR | 418813086366 | ELDAN PHARMACEUTICALS LLagos        LANG </t>
  </si>
  <si>
    <t>250913330100091076087667</t>
  </si>
  <si>
    <t>250913010200091076101871</t>
  </si>
  <si>
    <t xml:space="preserve">OPay Card Payment | 2IST120H | 000000004515 | T FAXX STORES AND T 004515 2IST120H LANG </t>
  </si>
  <si>
    <t>250913330100091193695625</t>
  </si>
  <si>
    <t>250913010200090940269467</t>
  </si>
  <si>
    <t xml:space="preserve">OPay Card Payment | 2IST0X1C | 000000006442 | T FAXX STORES AND T 006442 2IST0X1C LANG </t>
  </si>
  <si>
    <t>250913330100091106082328</t>
  </si>
  <si>
    <t>250913010200091157048727</t>
  </si>
  <si>
    <t>100004250913163710141003485971</t>
  </si>
  <si>
    <t>250913010200092659508814</t>
  </si>
  <si>
    <t>250914010200101181329409</t>
  </si>
  <si>
    <t>250914140300101201261503</t>
  </si>
  <si>
    <t>250915010200121431240190</t>
  </si>
  <si>
    <t>250915140300121443327852</t>
  </si>
  <si>
    <t>250916010200143281042255</t>
  </si>
  <si>
    <t>250916140300143268502094</t>
  </si>
  <si>
    <t>250917010200165294084992</t>
  </si>
  <si>
    <t>250917140300165310134531</t>
  </si>
  <si>
    <t>250917140300165307763942</t>
  </si>
  <si>
    <t>250917010200165307765565</t>
  </si>
  <si>
    <t xml:space="preserve">OPay Card Payment | 2ISMKIEB | 000000002845 | T A I ENGINEERING T 002845 2ISMKIEB LANG </t>
  </si>
  <si>
    <t>250917330100166840677772</t>
  </si>
  <si>
    <t>250917010200166940674987</t>
  </si>
  <si>
    <t xml:space="preserve">OPay Card Payment | 2IST76TC | 000000027988 | T GRAND PRODUCTS CO 027988 2IST76TC LANG </t>
  </si>
  <si>
    <t>250917330100167942126804</t>
  </si>
  <si>
    <t>250917010200167744925310</t>
  </si>
  <si>
    <t xml:space="preserve">OPay Card Payment | Google Play </t>
  </si>
  <si>
    <t>250917330100171904174620</t>
  </si>
  <si>
    <t>250917010200171904187195</t>
  </si>
  <si>
    <t>250917330100171659934323</t>
  </si>
  <si>
    <t>250917010200171807881846</t>
  </si>
  <si>
    <t xml:space="preserve">Reversal - OPay Card Payment </t>
  </si>
  <si>
    <t>250917330102171874514211</t>
  </si>
  <si>
    <t>250917330102171776474010</t>
  </si>
  <si>
    <t xml:space="preserve">OPay Card Payment </t>
  </si>
  <si>
    <t>ATM</t>
  </si>
  <si>
    <t>250917330100176486742656</t>
  </si>
  <si>
    <t>250917010200176386863339</t>
  </si>
  <si>
    <t>250917100100178571151952</t>
  </si>
  <si>
    <t>250917010200178571672491</t>
  </si>
  <si>
    <t>250918010200188022426533</t>
  </si>
  <si>
    <t>250918140300188064102789</t>
  </si>
  <si>
    <t>250918140300188035325658</t>
  </si>
  <si>
    <t>250918010200188065992880</t>
  </si>
  <si>
    <t>250919010200210664983893</t>
  </si>
  <si>
    <t>250919140300210646596943</t>
  </si>
  <si>
    <t xml:space="preserve">Transfer from IDOWU FOLAHAN JOHNSON | Zenith Bank | 217****122 | G </t>
  </si>
  <si>
    <t>000015250920062503390100321985</t>
  </si>
  <si>
    <t>250920550100233515312818</t>
  </si>
  <si>
    <t>100004250920053244141426352304</t>
  </si>
  <si>
    <t xml:space="preserve">Transfer to ENOCH OLUWAJOMILOJU OMOSOWONI | OPay | 8086074791 </t>
  </si>
  <si>
    <t>250920010100233550718584</t>
  </si>
  <si>
    <t>250920100100243375223124</t>
  </si>
  <si>
    <t>250920110100243377401843</t>
  </si>
  <si>
    <t>250920010100244446277342</t>
  </si>
  <si>
    <t>APT00003250920160053141466552516</t>
  </si>
  <si>
    <t xml:space="preserve">Transfer to BLESSING IVIE AIRHIAVBERE | OPay | 9016239848 </t>
  </si>
  <si>
    <t>250920010100247077056834</t>
  </si>
  <si>
    <t>250920140300254130491558</t>
  </si>
  <si>
    <t>250921140300256173698999</t>
  </si>
  <si>
    <t>250921010200256168259663</t>
  </si>
  <si>
    <t>250921010200256204146452</t>
  </si>
  <si>
    <t>250921140300256204144593</t>
  </si>
  <si>
    <t xml:space="preserve">Transfer to COVENANT CHRISTIAN WORLD ASS. | Guaranty Trust Bank | 0010471264 </t>
  </si>
  <si>
    <t>100004250921103254141508790787</t>
  </si>
  <si>
    <t>250921010200261258212943</t>
  </si>
  <si>
    <t>APT00003250921114803141513379507</t>
  </si>
  <si>
    <t>250921010200262784268595</t>
  </si>
  <si>
    <t>APT00003250921124237141515978840</t>
  </si>
  <si>
    <t>250921010200263785398802</t>
  </si>
  <si>
    <t>250922010200276340643486</t>
  </si>
  <si>
    <t>250922140300276345593311</t>
  </si>
  <si>
    <t>APT00003250922074226141556705280</t>
  </si>
  <si>
    <t>250922010200278358887814</t>
  </si>
  <si>
    <t xml:space="preserve">Transfer to WASIU OLUWASHOLA BELLO | OPay | 7033987185 | Owo omo </t>
  </si>
  <si>
    <t>250922010100278737188919</t>
  </si>
  <si>
    <t>250922010200278851294121</t>
  </si>
  <si>
    <t>250923010200298392356280</t>
  </si>
  <si>
    <t>250923140300298395486167</t>
  </si>
  <si>
    <t xml:space="preserve">Transfer to GRAND PRODUCTS COMPANY LIMITED - ABUJA 1 | MONIE POINT | 5099769149 </t>
  </si>
  <si>
    <t>100004250923104946141635672956</t>
  </si>
  <si>
    <t>250923010200304550889485</t>
  </si>
  <si>
    <t>250924010200320620718723</t>
  </si>
  <si>
    <t>250924140300320675674091</t>
  </si>
  <si>
    <t>250925010200342697877669</t>
  </si>
  <si>
    <t>250925140300342701399207</t>
  </si>
  <si>
    <t>000007250925220503215563731196</t>
  </si>
  <si>
    <t>250925550100363869622818</t>
  </si>
  <si>
    <t>250925140300364005723252</t>
  </si>
  <si>
    <t>250925010200363908199749</t>
  </si>
  <si>
    <t>000007250925220824333997191315</t>
  </si>
  <si>
    <t>250925550100363965074662</t>
  </si>
  <si>
    <t>250925140300363917617068</t>
  </si>
  <si>
    <t>250925010200363967861956</t>
  </si>
  <si>
    <t>250926010200366163719036</t>
  </si>
  <si>
    <t>250926140300366111402976</t>
  </si>
  <si>
    <t xml:space="preserve">Transfer from OGECHUKWU RUTH ONYEDUM | Zenith Bank | 246****872 | Refund  </t>
  </si>
  <si>
    <t>000015250926111702687107365467</t>
  </si>
  <si>
    <t>250926550100371905465486</t>
  </si>
  <si>
    <t xml:space="preserve">Transfer to OGECHUKWU ONYEDUM | Momo Payment Service Bank | 7033570334 </t>
  </si>
  <si>
    <t>100004250926103029141831230018</t>
  </si>
  <si>
    <t xml:space="preserve">Transfer to SAMUEL BOLUWATIFE SALU-KOSOKO | Sterling Bank | 0089566184 </t>
  </si>
  <si>
    <t>100004250926164811141858018215</t>
  </si>
  <si>
    <t>250926140300387434092168</t>
  </si>
  <si>
    <t>250927010200389814789214</t>
  </si>
  <si>
    <t>250927140300389714192358</t>
  </si>
  <si>
    <t xml:space="preserve">Transfer to SABO MUHAMMED SUNUSI | OPay | 8024276623 </t>
  </si>
  <si>
    <t>250927010100405961720863</t>
  </si>
  <si>
    <t>250927010200405716840409</t>
  </si>
  <si>
    <t>250928140300413304649302</t>
  </si>
  <si>
    <t>250928010200413311881777</t>
  </si>
  <si>
    <t>100004250928100908141965856668</t>
  </si>
  <si>
    <t>250928010200418136859175</t>
  </si>
  <si>
    <t>250929010200433460689181</t>
  </si>
  <si>
    <t>250929140300433546222612</t>
  </si>
  <si>
    <t>250929100100433760598861</t>
  </si>
  <si>
    <t>250929010200433833878024</t>
  </si>
  <si>
    <t>250929100100433846635796</t>
  </si>
  <si>
    <t>250929010200433808802691</t>
  </si>
  <si>
    <t xml:space="preserve">OPay Card Payment | 2IST2AUS | 000000003154 | T BAKOJI INVESTMENT 003154 2IST2AUS LANG </t>
  </si>
  <si>
    <t>250929330100436790153275</t>
  </si>
  <si>
    <t>250929010200436993234943</t>
  </si>
  <si>
    <t xml:space="preserve">OPay Card Payment | 2ISTAH8D | 000000000951 | T Upshot inter biz  000951 2ISTAH8D LANG </t>
  </si>
  <si>
    <t>250929330100437322429696</t>
  </si>
  <si>
    <t>250929010200437373357495</t>
  </si>
  <si>
    <t>250930010200456033613029</t>
  </si>
  <si>
    <t>250930140300455904282863</t>
  </si>
  <si>
    <t xml:space="preserve">Transfer to SOKOTO GUEST INN LIMITED - SOKOTO GUEST INN LTD RESTAURANT 3 | MONIE POINT | 5796732448 </t>
  </si>
  <si>
    <t>APT00003250930065127142080234884</t>
  </si>
  <si>
    <t>250930010200457442688483</t>
  </si>
  <si>
    <t xml:space="preserve">Transfer to ABUBAKAR JABO UMAR | OPay | 8149815743 </t>
  </si>
  <si>
    <t>250930010100467801314123</t>
  </si>
  <si>
    <t>250930010200467497955038</t>
  </si>
  <si>
    <t xml:space="preserve">Transfer to AMEDARI GODSFAVOUR | Access Bank | 0023781046 </t>
  </si>
  <si>
    <t>100004250930195916142139608223</t>
  </si>
  <si>
    <t>250930010200476477981159</t>
  </si>
  <si>
    <t>251001010200479894407224</t>
  </si>
  <si>
    <t>251001140300479943763693</t>
  </si>
  <si>
    <t>100004251001065755142151265408</t>
  </si>
  <si>
    <t>251001010200481340233184</t>
  </si>
  <si>
    <t xml:space="preserve">OPay Card Payment | 2ISM7LW2 | 000000010755 | T MUKTAR ZUBAIRU    010755 2ISM7LW2 LANG </t>
  </si>
  <si>
    <t>251001330100496025604061</t>
  </si>
  <si>
    <t>251001010200495923666401</t>
  </si>
  <si>
    <t xml:space="preserve">OPay Card Payment | 2ISM7LW2 | 000000010756 | T MUKTAR ZUBAIRU    010756 2ISM7LW2 LANG </t>
  </si>
  <si>
    <t>251001330100496028421055</t>
  </si>
  <si>
    <t>251001010200496181185149</t>
  </si>
  <si>
    <t>251002010200503542758578</t>
  </si>
  <si>
    <t>251002140300503383681224</t>
  </si>
  <si>
    <t xml:space="preserve">Transfer from TOBECHUKWU DANIEL EZEUKO | Wema Bank PLC | 041****864 | ALAT NIP TRANSFER TO TOBECHUKWU DANIEL EZEUKO FROM </t>
  </si>
  <si>
    <t>000017251002224045326013736380</t>
  </si>
  <si>
    <t>251002550100525383986029</t>
  </si>
  <si>
    <t>251002140300525486749079</t>
  </si>
  <si>
    <t>251002010200525677478776</t>
  </si>
  <si>
    <t>251003010200527012732434</t>
  </si>
  <si>
    <t>251003140300527285513386</t>
  </si>
  <si>
    <t xml:space="preserve">Transfer from CHINONSO ELIZABETH ALUMA | MONIE POINT | 588****381 | AT139_TRF|2MPT7r7ch|1974085462062637056-AT139_TRF|2MPT7r7ch|1974085462062637056-Extra luggage/AT139_ </t>
  </si>
  <si>
    <t>APT00002251003131345672139761862</t>
  </si>
  <si>
    <t>251003550100536947452881</t>
  </si>
  <si>
    <t xml:space="preserve">Transfer to EJIOFOR CHUKWUEMEKA ELIAS | First Bank Of Nigeria | 2018026292 </t>
  </si>
  <si>
    <t>100004251003161151142336459822</t>
  </si>
  <si>
    <t>000007251003180814212903203994</t>
  </si>
  <si>
    <t>251003550100544282034458</t>
  </si>
  <si>
    <t xml:space="preserve">Transfer to EMMANUEL ETIM CHRISTOPHER | OPay | 9030130800 </t>
  </si>
  <si>
    <t>251003010100545356474304</t>
  </si>
  <si>
    <t>251003140300551181848419</t>
  </si>
  <si>
    <t>251004010200553406317834</t>
  </si>
  <si>
    <t>251004140300553520268770</t>
  </si>
  <si>
    <t>100004251004140644142402067718</t>
  </si>
  <si>
    <t>251004010200565355079402</t>
  </si>
  <si>
    <t>251005140300578613791356</t>
  </si>
  <si>
    <t>251005010200578342527673</t>
  </si>
  <si>
    <t>251005110100580599541699</t>
  </si>
  <si>
    <t>251005010200580549242974</t>
  </si>
  <si>
    <t>251006140300599642243452</t>
  </si>
  <si>
    <t>251006010200599656319079</t>
  </si>
  <si>
    <t>251007010200623304055732</t>
  </si>
  <si>
    <t>251007140300623354049621</t>
  </si>
  <si>
    <t>251007110100632465707603</t>
  </si>
  <si>
    <t>251007010200632466001840</t>
  </si>
  <si>
    <t>251008010200646372562042</t>
  </si>
  <si>
    <t>251008140300646393970346</t>
  </si>
  <si>
    <t>251009010200670196002089</t>
  </si>
  <si>
    <t>251009140300670192956264</t>
  </si>
  <si>
    <t>251010140300693887178661</t>
  </si>
  <si>
    <t>251010010200693737677329</t>
  </si>
  <si>
    <t>000007251010140420307857703725</t>
  </si>
  <si>
    <t>251010550100703261325514</t>
  </si>
  <si>
    <t>000007251010140502154898919965</t>
  </si>
  <si>
    <t>251010550100703598912104</t>
  </si>
  <si>
    <t xml:space="preserve">Transfer to AKANIMO BONIFACE EMMANSON | OPay | 9156548330 </t>
  </si>
  <si>
    <t>251010010100703611142201</t>
  </si>
  <si>
    <t>251010140300714718865081</t>
  </si>
  <si>
    <t>251011140300716730909213</t>
  </si>
  <si>
    <t>251011010200716730910591</t>
  </si>
  <si>
    <t>251012010200740327708257</t>
  </si>
  <si>
    <t>251012140300740327706753</t>
  </si>
  <si>
    <t>100004251012094919142936632219</t>
  </si>
  <si>
    <t>251012010200744669952442</t>
  </si>
  <si>
    <t>251013010200760295928672</t>
  </si>
  <si>
    <t>251013140300760355756998</t>
  </si>
  <si>
    <t>251013110100763438372338</t>
  </si>
  <si>
    <t>251013010200763438703397</t>
  </si>
  <si>
    <t xml:space="preserve">Transfer to MIRACLE HOPE ARIWERIOKUMA | OPay | 7075736600 </t>
  </si>
  <si>
    <t>251013010100767539056386</t>
  </si>
  <si>
    <t>251013010200767822223244</t>
  </si>
  <si>
    <t>251014010200783336942120</t>
  </si>
  <si>
    <t>251014140300783355996043</t>
  </si>
  <si>
    <t>251015140300805992154632</t>
  </si>
  <si>
    <t>251015010200806153174054</t>
  </si>
  <si>
    <t>251016010200828902956017</t>
  </si>
  <si>
    <t>251016140300828893706767</t>
  </si>
  <si>
    <t xml:space="preserve">Transfer from PRAISE OGHENEFEJIRO EMERHIRHI | Wema Bank PLC | 042****448 | ALAT NIP TRANSFER TO TOBECHUKWU DANIEL EZEUKO FROM </t>
  </si>
  <si>
    <t>000017251022140857333953829004</t>
  </si>
  <si>
    <t>251022550100977001283378</t>
  </si>
  <si>
    <t>100004251022142012143633568829</t>
  </si>
  <si>
    <t xml:space="preserve">OPay Card Payment | 2IST5RVN | 000000013454 | T GRAND PRODUCTS CO 013454 2IST5RVN LANG </t>
  </si>
  <si>
    <t>251022330100978898991347</t>
  </si>
  <si>
    <t xml:space="preserve">OPay Card Payment | 2IST8IND | 000000000312 | T HOSSANA UDEME     000312 2IST8IND LANG </t>
  </si>
  <si>
    <t>251022330100982019963022</t>
  </si>
  <si>
    <t>09FG251022191333074LGA58D</t>
  </si>
  <si>
    <t>251022550100984613731547</t>
  </si>
  <si>
    <t>100004251022181845143652611546</t>
  </si>
  <si>
    <t>251022140300989013448221</t>
  </si>
  <si>
    <t>251023010200991208214024</t>
  </si>
  <si>
    <t>251023140300991137270517</t>
  </si>
  <si>
    <t>251023100100994581944508</t>
  </si>
  <si>
    <t>251023010200994354244101</t>
  </si>
  <si>
    <t xml:space="preserve">OPay Card Payment | OPay | 2044N6MC | 510238131350 | OPAY DIGITAL SERVICES LIMITED LA    LANG </t>
  </si>
  <si>
    <t>251023330100005023928847</t>
  </si>
  <si>
    <t>251023010200005226722870</t>
  </si>
  <si>
    <t xml:space="preserve">OPay Card Payment | MONIE POINT | 2ISTC5N4 | 000000000697 | T ABUBAKAR MUHAMMED 000697 2ISTC5N4 LANG </t>
  </si>
  <si>
    <t>251023330100007019614850</t>
  </si>
  <si>
    <t>251023010200006867879122</t>
  </si>
  <si>
    <t>APT00003251023173824143719865373</t>
  </si>
  <si>
    <t>251023010200007343663517</t>
  </si>
  <si>
    <t xml:space="preserve">Transfer to EVERYDAY-24 PHARMACY - STORES LTD - GUDU | MONIE POINT | 8313360713 </t>
  </si>
  <si>
    <t>APT00003251023174038143720132106</t>
  </si>
  <si>
    <t>251023010200007452286332</t>
  </si>
  <si>
    <t>251023010100007357680280</t>
  </si>
  <si>
    <t>251023010200007561624512</t>
  </si>
  <si>
    <t>251024140300015133859195</t>
  </si>
  <si>
    <t>251024010200015133860132</t>
  </si>
  <si>
    <t xml:space="preserve">Transfer to NATHAN MARKUS | OPay | 7089902529 </t>
  </si>
  <si>
    <t>251024010100015554735444</t>
  </si>
  <si>
    <t>251024010200015554785066</t>
  </si>
  <si>
    <t xml:space="preserve">OPay Card Payment | MONIE POINT | 2ISM3KJH | 000000003151 | T KAWAI JOHNSON BAL 003151 2ISM3KJH LANG </t>
  </si>
  <si>
    <t>251024330100017804483040</t>
  </si>
  <si>
    <t>251024010200017855462706</t>
  </si>
  <si>
    <t xml:space="preserve">Transfer from AUGUSTINE OKECHUKWU JOHN | PalmPay | 815****255 | AUGUSTINE OKECHUKWU JOHN:8153859255 </t>
  </si>
  <si>
    <t>100033251024140522090429330064</t>
  </si>
  <si>
    <t>251024550100026636136602</t>
  </si>
  <si>
    <t>100004251024140829143773692815</t>
  </si>
  <si>
    <t xml:space="preserve">OPay Card Payment | MONIE POINT | 2IST10P4 | 000000005716 | T GRAND PRODUCTS CO 005716 2IST10P4 LANG </t>
  </si>
  <si>
    <t>251024330100027212683604</t>
  </si>
  <si>
    <t xml:space="preserve">OPay Card Payment | MONIE POINT | 2ISTBO6U | 000000003203 | T KABIRU SABO       003203 2ISTBO6U LANG </t>
  </si>
  <si>
    <t>251024330100029728920832</t>
  </si>
  <si>
    <t>251024010200029728931084</t>
  </si>
  <si>
    <t xml:space="preserve">Transfer from FRANKLYN CHISOM ANEKWE | OPay | 813****886 </t>
  </si>
  <si>
    <t>251024010100034708145632</t>
  </si>
  <si>
    <t>251024550100035087234134</t>
  </si>
  <si>
    <t>251024330100035378222005</t>
  </si>
  <si>
    <t>251024010200035048650533</t>
  </si>
  <si>
    <t>251025010200039481079412</t>
  </si>
  <si>
    <t>251025140300039576385647</t>
  </si>
  <si>
    <t xml:space="preserve">OPay Card Payment | MONIE POINT | 2IST9JPV | 000000001210 | T FAITH GODWIN      001210 2IST9JPV LANG </t>
  </si>
  <si>
    <t>251025330100057031801575</t>
  </si>
  <si>
    <t>251025010200057332506083</t>
  </si>
  <si>
    <t xml:space="preserve">Transfer to IRENE ANIGOR IMONG | OPay | 8130186754 </t>
  </si>
  <si>
    <t>251025180100062944347465</t>
  </si>
  <si>
    <t>251025010200063103174844</t>
  </si>
  <si>
    <t>251026140300064163404790</t>
  </si>
  <si>
    <t>251026010200064144102042</t>
  </si>
  <si>
    <t xml:space="preserve">Transfer to ABUBAKAR ABUBAKAR AHMED | OPay | 8036873383 </t>
  </si>
  <si>
    <t>251026010100067850175564</t>
  </si>
  <si>
    <t>251026010200067749590305</t>
  </si>
  <si>
    <t>100004251026101718143896045810</t>
  </si>
  <si>
    <t>251026010200069216996159</t>
  </si>
  <si>
    <t xml:space="preserve">OPay Card Payment | OPay | 2057B9H5 | 510266840666 | OPAY DIGITAL SERVICES LIMITED LA    LANG </t>
  </si>
  <si>
    <t>251026330100071539213744</t>
  </si>
  <si>
    <t>251026010200071640953799</t>
  </si>
  <si>
    <t xml:space="preserve">OPay Card Payment | MONIE POINT | 2ISM53MZ | 000000002173 | T FAXX STORES AND T 002173 2ISM53MZ LANG </t>
  </si>
  <si>
    <t>251026330100071760206671</t>
  </si>
  <si>
    <t>251026010200071963207022</t>
  </si>
  <si>
    <t>251027010200085459872679</t>
  </si>
  <si>
    <t>251027140300085476611254</t>
  </si>
  <si>
    <t xml:space="preserve">Transfer to SAMUEL ENEJOH SULE | OPay | 8060510095 </t>
  </si>
  <si>
    <t>251027010100088664178896</t>
  </si>
  <si>
    <t>251027010200088765958030</t>
  </si>
  <si>
    <t xml:space="preserve">OPay Card Payment | MONIE POINT | 2ISTIZR4 | 000000012116 | T GRAND PRODUCTS CO 012116 2ISTIZR4 LANG </t>
  </si>
  <si>
    <t>251027330100095113171616</t>
  </si>
  <si>
    <t>251027010200095316596396</t>
  </si>
  <si>
    <t xml:space="preserve">Transfer from EBUNOLUWA OMOLAFE OMOSOWONE | OPay | 802****506 | gg </t>
  </si>
  <si>
    <t>251027010100101917372621</t>
  </si>
  <si>
    <t>251027550100101817003131</t>
  </si>
  <si>
    <t xml:space="preserve">Transfer to CHIAMAKA ESTHER EZEUKO | OPay | 7041878522 </t>
  </si>
  <si>
    <t>251027010100101664136114</t>
  </si>
  <si>
    <t>251027140300107029566817</t>
  </si>
  <si>
    <t>251028010200109247372218</t>
  </si>
  <si>
    <t>251028140300109204787099</t>
  </si>
  <si>
    <t>000017251028141936048836635685</t>
  </si>
  <si>
    <t>251028550100119110237739</t>
  </si>
  <si>
    <t>251028110100122821792518</t>
  </si>
  <si>
    <t>251028140300131160739127</t>
  </si>
  <si>
    <t>251029010200132838666234</t>
  </si>
  <si>
    <t>251029140300132841417697</t>
  </si>
  <si>
    <t xml:space="preserve">Transfer to ISRAEL AMEH | OPay | 8038583870 </t>
  </si>
  <si>
    <t>251029010100138566711353</t>
  </si>
  <si>
    <t>251029010200138566865510</t>
  </si>
  <si>
    <t>251029010100139169392467</t>
  </si>
  <si>
    <t>251029010200139118537605</t>
  </si>
  <si>
    <t xml:space="preserve">OPay Card Payment | MONIE POINT | 2IST614P | 000000038118 | T The Place Restaur 038118 2IST614P LANG </t>
  </si>
  <si>
    <t>251029330100141932590429</t>
  </si>
  <si>
    <t>251029010200141932599239</t>
  </si>
  <si>
    <t>251029110100152967404997</t>
  </si>
  <si>
    <t>251029010200153068791072</t>
  </si>
  <si>
    <t>251030010200157313193523</t>
  </si>
  <si>
    <t>251030140300157408939923</t>
  </si>
  <si>
    <t xml:space="preserve">Transfer from TOBECHUKWU DANIEL EZEUKO | Wema Bank PLC | 041****864 | ALAT NIP TRANSFER TO Tobechukwu Daniel Ezeuko FROM </t>
  </si>
  <si>
    <t>000017251030114619933107575598</t>
  </si>
  <si>
    <t>251030550100164070214022</t>
  </si>
  <si>
    <t>251030140300164356675175</t>
  </si>
  <si>
    <t xml:space="preserve">OWealth Deposit </t>
  </si>
  <si>
    <t>251030140300164077944297</t>
  </si>
  <si>
    <t xml:space="preserve">OWealth Withdrawal </t>
  </si>
  <si>
    <t>251030010200164235317169</t>
  </si>
  <si>
    <t xml:space="preserve">OPay Card Payment | MONIE POINT | 2IST614P | 000000038308 | T The Place Restaur 038308 2IST614P LANG </t>
  </si>
  <si>
    <t>251030330100167963369345</t>
  </si>
  <si>
    <t>251030140300179275425595</t>
  </si>
  <si>
    <t>251031140300181455358302</t>
  </si>
  <si>
    <t>251031010200181399398648</t>
  </si>
  <si>
    <t>251031110100184362449330</t>
  </si>
  <si>
    <t>251031010200184514573067</t>
  </si>
  <si>
    <t xml:space="preserve">Transfer to YAHAYA IBRAHIM | OPay | 8035955280 </t>
  </si>
  <si>
    <t>251031010100185864483375</t>
  </si>
  <si>
    <t>251031010200185910194388</t>
  </si>
  <si>
    <t xml:space="preserve">OPay Card Payment | OPay | 2033Q41U | 510311847156 | OPAY DIGITAL SERVICES LIMITED LA    LANG </t>
  </si>
  <si>
    <t>251031330100186931252039</t>
  </si>
  <si>
    <t>251031010200186595138483</t>
  </si>
  <si>
    <t>251101140300207943072251</t>
  </si>
  <si>
    <t>251101010200207849464113</t>
  </si>
  <si>
    <t>251101110100218004117418</t>
  </si>
  <si>
    <t>251101010200217970767924</t>
  </si>
  <si>
    <t>251101110100218342277191</t>
  </si>
  <si>
    <t>251101010200218291634380</t>
  </si>
  <si>
    <t>251102010200235124147707</t>
  </si>
  <si>
    <t>251102140300235106257788</t>
  </si>
  <si>
    <t>251102010100244966731236</t>
  </si>
  <si>
    <t>251102550100245017994253</t>
  </si>
  <si>
    <t>100004251102184156144434214059</t>
  </si>
  <si>
    <t>251102010200252215399459</t>
  </si>
  <si>
    <t>100004251102185314144437132620</t>
  </si>
  <si>
    <t>251102010200252525596907</t>
  </si>
  <si>
    <t>251103010200257931424150</t>
  </si>
  <si>
    <t>251103140300257934158153</t>
  </si>
  <si>
    <t xml:space="preserve">Mobile Data | 8144409727 | DataMtn | 2.5GB Daily Plan </t>
  </si>
  <si>
    <t>251103110100262761366201</t>
  </si>
  <si>
    <t>251103010200262721691985</t>
  </si>
  <si>
    <t xml:space="preserve">Transfer to FRIDAY CHUKWUDI JACOB | OPay | 8143948216 </t>
  </si>
  <si>
    <t>251103010100267711692235</t>
  </si>
  <si>
    <t>251103010200267508703291</t>
  </si>
  <si>
    <t>251104010200284041864429</t>
  </si>
  <si>
    <t>251104140300283789194834</t>
  </si>
  <si>
    <t xml:space="preserve">Transfer to OJI SYLVESTER OKPE | OPay | 8038227157 </t>
  </si>
  <si>
    <t>251104180100285081115328</t>
  </si>
  <si>
    <t>251104010200285030898305</t>
  </si>
  <si>
    <t>251104100100285631025371</t>
  </si>
  <si>
    <t>251104010200285733230184</t>
  </si>
  <si>
    <t xml:space="preserve">Transfer to CLINTON CHIEDOZIE OGBEJA | OPay | 7038673370 </t>
  </si>
  <si>
    <t>251104010100290149914422</t>
  </si>
  <si>
    <t>251104010200290200867715</t>
  </si>
  <si>
    <t>APT00003251104122359144555159263</t>
  </si>
  <si>
    <t>251104010200293816561205</t>
  </si>
  <si>
    <t>251104110100298408206578</t>
  </si>
  <si>
    <t>251104010200298360125799</t>
  </si>
  <si>
    <t>251105010200310260938752</t>
  </si>
  <si>
    <t>251105140300310310308101</t>
  </si>
  <si>
    <t xml:space="preserve">Transfer to OLALEKAN JOHNSON ABOLOYINJO | OPay | 8036301869 </t>
  </si>
  <si>
    <t>251105010100311143317056</t>
  </si>
  <si>
    <t>251105010200311118541640</t>
  </si>
  <si>
    <t>251105110100318930603495</t>
  </si>
  <si>
    <t>251105010200318930754150</t>
  </si>
  <si>
    <t xml:space="preserve">Transfer from SARAH OLUWATOPE OLOFIN | Access Bank | 165****259 | MOBILE TRF TO PAY TOBECHUKWU DANIEL EZEUKO </t>
  </si>
  <si>
    <t>000014251105144907286017051075</t>
  </si>
  <si>
    <t xml:space="preserve">Transfer from CHINONSO ELIZABETH ALUMA | MONIE POINT | 588****381 | AT139_TRF|2MPT7r7ch|1986080569276715008-AT139_TRF|2MPT7r7ch|1986080569276715008-CHINONSO ELI Trf for </t>
  </si>
  <si>
    <t>APT00002251105153802107139206773</t>
  </si>
  <si>
    <t>100004251105143932144641180690</t>
  </si>
  <si>
    <t xml:space="preserve">Transfer to MUHAMMED AMODU | OPay | 9055502556 </t>
  </si>
  <si>
    <t>251105010100324896164138</t>
  </si>
  <si>
    <t>251105010200325169274258</t>
  </si>
  <si>
    <t>251106010200335834852019</t>
  </si>
  <si>
    <t>251106140300335965276787</t>
  </si>
  <si>
    <t xml:space="preserve">Transfer from KADUNA   GEORGE NANZING | Guaranty Trust Bank | 046****476 | Chord to TOBECHUKWU DANIEL EZEUKO. 000013251106113957000529060632 </t>
  </si>
  <si>
    <t>000013251106113957000529060632</t>
  </si>
  <si>
    <t>251106550100342890717792</t>
  </si>
  <si>
    <t>251106140300344743413993</t>
  </si>
  <si>
    <t xml:space="preserve">Transfer to BENJAMIN NGUTOR SWEM | OPay | 8051489034 </t>
  </si>
  <si>
    <t>251106010100345261043224</t>
  </si>
  <si>
    <t>251106010100345216921711</t>
  </si>
  <si>
    <t>251106010200345521999436</t>
  </si>
  <si>
    <t>251106110100350135497209</t>
  </si>
  <si>
    <t>251106010200349882408280</t>
  </si>
  <si>
    <t>251111010100475022616580</t>
  </si>
  <si>
    <t>251111550100474971718901</t>
  </si>
  <si>
    <t xml:space="preserve">OPay Card Payment | MONIE POINT | 2ISM5LI8 | 000000008266 | T MUAWUYA MUSA      008266 2ISM5LI8 LANG </t>
  </si>
  <si>
    <t>251111330100483045491673</t>
  </si>
  <si>
    <t>251111140300489758830351</t>
  </si>
  <si>
    <t>251112010200491346364682</t>
  </si>
  <si>
    <t>251112140300491338074590</t>
  </si>
  <si>
    <t xml:space="preserve">OPay Card Payment | MONIE POINT | 2IST614P | 000000040020 | T The Place Restaur 040020 2IST614P LANG </t>
  </si>
  <si>
    <t>251112330100502045162056</t>
  </si>
  <si>
    <t>251112010200501994889764</t>
  </si>
  <si>
    <t>251112010100505412134322</t>
  </si>
  <si>
    <t>251112010200505259771397</t>
  </si>
  <si>
    <t>251112110100505707629741</t>
  </si>
  <si>
    <t>251112010200505606721890</t>
  </si>
  <si>
    <t xml:space="preserve">OPay Card Payment | MONIE POINT | 2ISTS4ML | 000000001428 | T VOGUE SALON AND S 001428 2ISTS4ML LANG </t>
  </si>
  <si>
    <t>251112330100511613241459</t>
  </si>
  <si>
    <t>251112010200511918056337</t>
  </si>
  <si>
    <t xml:space="preserve">OPay Card Payment | MONIE POINT | 2IST401O | 000000012259 | T DAVIDSTONE IBEH   012259 2IST401O LANG </t>
  </si>
  <si>
    <t>251112330100512100385620</t>
  </si>
  <si>
    <t>251112010200512100395442</t>
  </si>
  <si>
    <t>251113010200516879168211</t>
  </si>
  <si>
    <t>251113140300516866901827</t>
  </si>
  <si>
    <t>251114140300542674036020</t>
  </si>
  <si>
    <t>251114010200542668271485</t>
  </si>
  <si>
    <t xml:space="preserve">Transfer to OZEZUMYE ATSALE | OPay | 7068862686 </t>
  </si>
  <si>
    <t>251114010100548658005527</t>
  </si>
  <si>
    <t>251114010200548963190661</t>
  </si>
  <si>
    <t xml:space="preserve">OPay Card Payment | Guaranty Trust Bank | 2058XW1C | 479923504835 | THE BURGUNDY BY CHEF STLagos        LANG </t>
  </si>
  <si>
    <t>251114330100554212074774</t>
  </si>
  <si>
    <t>251114010200554161634531</t>
  </si>
  <si>
    <t>251115010200569066995997</t>
  </si>
  <si>
    <t>251115140300569054978554</t>
  </si>
  <si>
    <t xml:space="preserve">Transfer to UJUNWA NWANZE | OPay | 8148682734 </t>
  </si>
  <si>
    <t>251115010100571729363277</t>
  </si>
  <si>
    <t>251115010200571465240452</t>
  </si>
  <si>
    <t>251115010100572867665783</t>
  </si>
  <si>
    <t>251115010200572773312414</t>
  </si>
  <si>
    <t>251115100100573936929417</t>
  </si>
  <si>
    <t>251115010200573886462073</t>
  </si>
  <si>
    <t>251116010200594884718904</t>
  </si>
  <si>
    <t>251116140300594853559760</t>
  </si>
  <si>
    <t>251117010200618007800639</t>
  </si>
  <si>
    <t>251117140300617998709942</t>
  </si>
  <si>
    <t>251117110100621431473413</t>
  </si>
  <si>
    <t>251117010200621329753308</t>
  </si>
  <si>
    <t xml:space="preserve">Transfer to DANIEL IDU EJEMBI | OPay | 8073372928 </t>
  </si>
  <si>
    <t>251117010100626911059049</t>
  </si>
  <si>
    <t>251117010200627012920978</t>
  </si>
  <si>
    <t xml:space="preserve">OPay Card Payment | MONIE POINT | 2ISTACRP | 000000006757 | T USMAN IDRIS       006757 2ISTACRP LANG </t>
  </si>
  <si>
    <t>251117330100628400724934</t>
  </si>
  <si>
    <t>251117010200628298837181</t>
  </si>
  <si>
    <t xml:space="preserve">OPay Card Payment | OPay | 2057F97H | 511178141712 | OPAY DIGITAL SERVICES LIMITED LA    LANG </t>
  </si>
  <si>
    <t>251117330100629168664367</t>
  </si>
  <si>
    <t>251117010200629321510719</t>
  </si>
  <si>
    <t xml:space="preserve">OPay Card Payment | MONIE POINT | 2ISMYHYR | 000000000304 | T UJUNWA NWANZE     000304 2ISMYHYR LANG </t>
  </si>
  <si>
    <t>251117330100635230582325</t>
  </si>
  <si>
    <t>251117010200635128518804</t>
  </si>
  <si>
    <t>251118010200643928537977</t>
  </si>
  <si>
    <t>251118140300643640473438</t>
  </si>
  <si>
    <t>251118010100661113907073</t>
  </si>
  <si>
    <t>251118010200661158515033</t>
  </si>
  <si>
    <t>251119140300669890450541</t>
  </si>
  <si>
    <t>251119010200669920720598</t>
  </si>
  <si>
    <t xml:space="preserve">Transfer to ISAIAH KATOR AKILE | OPay | 7067184623 </t>
  </si>
  <si>
    <t>251119010100677270590592</t>
  </si>
  <si>
    <t>251119010200677551775708</t>
  </si>
  <si>
    <t xml:space="preserve">OPay Card Payment | OPay | 2070NWWV | 511194425268 | OPAY DIGITAL SERVICES LIMITED LA    LANG </t>
  </si>
  <si>
    <t>251119330100678397479473</t>
  </si>
  <si>
    <t>251119010200678347173643</t>
  </si>
  <si>
    <t xml:space="preserve">Transfer to IKECHUKWU SMITH EZIBANAM | OPay | 8023244801 </t>
  </si>
  <si>
    <t>251119010100678938078455</t>
  </si>
  <si>
    <t>251119010200678802639900</t>
  </si>
  <si>
    <t xml:space="preserve">OPay Card Payment | MONIE POINT | 2ISTBARZ | 000000032873 | T The Place Restaur 032873 2ISTBARZ LANG </t>
  </si>
  <si>
    <t>251119330100679336153351</t>
  </si>
  <si>
    <t>251119010200679373277475</t>
  </si>
  <si>
    <t>251120140300695681323199</t>
  </si>
  <si>
    <t>251120010200695834148940</t>
  </si>
  <si>
    <t xml:space="preserve">Transfer from ELIZABETH CHINONSO ALUMA | Access Bank | 003****699 | MOBILE TRF TO PAY Refund TOBECHUKWU DANIEL EZEUKO </t>
  </si>
  <si>
    <t>000014251120210204219213390081</t>
  </si>
  <si>
    <t>251120550100717677539696</t>
  </si>
  <si>
    <t>251120140300719563045724</t>
  </si>
  <si>
    <t>251121140300721714080123</t>
  </si>
  <si>
    <t>251121010200721668452118</t>
  </si>
  <si>
    <t>251122010200748268164809</t>
  </si>
  <si>
    <t>251122140300748295899304</t>
  </si>
  <si>
    <t>251123010200775049255529</t>
  </si>
  <si>
    <t>251123140300775060528185</t>
  </si>
  <si>
    <t xml:space="preserve">OPay Card Payment | OPay | 2033EJZJ | 511236736165 | OPAY DIGITAL SERVICES LIMITED LA    LANG </t>
  </si>
  <si>
    <t>251123330100776247957189</t>
  </si>
  <si>
    <t>251123010200776247962833</t>
  </si>
  <si>
    <t xml:space="preserve">OPay Card Payment | MONIE POINT | 2ISM2QHB | 000000000219 | T USMAN MUHAMMADU A 000219 2ISM2QHB LANG </t>
  </si>
  <si>
    <t>251123330100777225242627</t>
  </si>
  <si>
    <t>251123010200777225250164</t>
  </si>
  <si>
    <t xml:space="preserve">OPay Card Payment | MONIE POINT | 2ISM2QHB | 000000000227 | T USMAN MUHAMMADU A 000227 2ISM2QHB LANG </t>
  </si>
  <si>
    <t>251123330100780256310171</t>
  </si>
  <si>
    <t>251123010200780409302991</t>
  </si>
  <si>
    <t>251124010200798621520534</t>
  </si>
  <si>
    <t>251124140300798627436407</t>
  </si>
  <si>
    <t>251124010100806924348058</t>
  </si>
  <si>
    <t>251124010200806924554507</t>
  </si>
  <si>
    <t xml:space="preserve">Transfer from CLINTON CHIEDOZIE OGBEJA | OPay | 703****370 | Refund  </t>
  </si>
  <si>
    <t>251124010100810008217339</t>
  </si>
  <si>
    <t>251124550100809855927904</t>
  </si>
  <si>
    <t xml:space="preserve">Transfer to DASHE DAJIN | First Bank Of Nigeria | 3132540136 </t>
  </si>
  <si>
    <t>100004251124170736146032519202</t>
  </si>
  <si>
    <t>251124010100816387431546</t>
  </si>
  <si>
    <t>251124140300822603947818</t>
  </si>
  <si>
    <t>251125140300824826977589</t>
  </si>
  <si>
    <t>251125010200824817671840</t>
  </si>
  <si>
    <t>251126140300852035061827</t>
  </si>
  <si>
    <t>251126010201852041376815</t>
  </si>
  <si>
    <t>251126010100857061559409</t>
  </si>
  <si>
    <t>251126010201857367076651</t>
  </si>
  <si>
    <t xml:space="preserve">Transfer to ZAINAB OLOLADE ISHAQ | OPay | 9036063779 </t>
  </si>
  <si>
    <t>251126010100861520601792</t>
  </si>
  <si>
    <t>251126010201861215903900</t>
  </si>
  <si>
    <t xml:space="preserve">Transfer to JAPHET UZOCHUKWU IHEASOR | OPay | 9098594515 </t>
  </si>
  <si>
    <t>251126010100863045252651</t>
  </si>
  <si>
    <t>251126010201863198353702</t>
  </si>
  <si>
    <t xml:space="preserve">Transfer to GODWIN ISAH ABEL | OPay | 8132469070 </t>
  </si>
  <si>
    <t>251126010100865485523179</t>
  </si>
  <si>
    <t>251126010201865332958305</t>
  </si>
  <si>
    <t>251126010100865386214960</t>
  </si>
  <si>
    <t>251126010201865437334639</t>
  </si>
  <si>
    <t>251127010201879539777197</t>
  </si>
  <si>
    <t>251127140300879546167551</t>
  </si>
  <si>
    <t>100004251127111817146237968922</t>
  </si>
  <si>
    <t>251127010201888060745252</t>
  </si>
  <si>
    <t xml:space="preserve">Transfer from ELIZABETH CHINONSO ALUMA | Access Bank | 003****699 | MOBILE TRF TO PAY Lunch CISD TOBECHUKWU DANIEL EZEUKO </t>
  </si>
  <si>
    <t>000014251127152332254333078121</t>
  </si>
  <si>
    <t>251127550100892624564490</t>
  </si>
  <si>
    <t>251127140300904564137265</t>
  </si>
  <si>
    <t>251128010201906880587174</t>
  </si>
  <si>
    <t>251128140300906905769189</t>
  </si>
  <si>
    <t>251128110100910441648091</t>
  </si>
  <si>
    <t>251128010201910035212347</t>
  </si>
  <si>
    <t xml:space="preserve">Transfer to VOGUE SALON AND SPA - ABACHA ROAD | MONIE POINT | 5377164855 </t>
  </si>
  <si>
    <t>APT00003251128165331146345206403</t>
  </si>
  <si>
    <t>251128010201924614810702</t>
  </si>
  <si>
    <t xml:space="preserve">Transfer to DAVIDSTONE GLOBAL MOTORS LTD | OPay | 9552392808 </t>
  </si>
  <si>
    <t>251128010100924574686297</t>
  </si>
  <si>
    <t>251128010201924677099225</t>
  </si>
  <si>
    <t xml:space="preserve">Transfer to CHIEDOZIE MAKUA OKANME | PalmPay | 9550466105 </t>
  </si>
  <si>
    <t>100004251128172657146347085828</t>
  </si>
  <si>
    <t>251128010201925647480905</t>
  </si>
  <si>
    <t>251129010201934633926639</t>
  </si>
  <si>
    <t>251129140300934642716695</t>
  </si>
  <si>
    <t xml:space="preserve">Transfer to IKECHUKWU CHARLES NJOKU | OPay | 8037705858 </t>
  </si>
  <si>
    <t>251129010100939130633959</t>
  </si>
  <si>
    <t>251129010201939231960672</t>
  </si>
  <si>
    <t>251130140300962803884667</t>
  </si>
  <si>
    <t>251130010201962782743159</t>
  </si>
  <si>
    <t>251201140300988110571741</t>
  </si>
  <si>
    <t>251201010201988098781106</t>
  </si>
  <si>
    <t>251202140300016800464184</t>
  </si>
  <si>
    <t>251202010201016783847314</t>
  </si>
  <si>
    <t>251203010201045942231988</t>
  </si>
  <si>
    <t>251203140300045958964466</t>
  </si>
  <si>
    <t xml:space="preserve">Transfer to PINNACLE GUEST INN - RESORT LIMITED - FRANCIS ADINNU 7 | MONIE POINT | 5485361698 </t>
  </si>
  <si>
    <t>100004251203220012146768049375</t>
  </si>
  <si>
    <t>251203010201074425171073</t>
  </si>
  <si>
    <t>251204140300075884868876</t>
  </si>
  <si>
    <t>251204010201075858269725</t>
  </si>
  <si>
    <t>251205010201104387288172</t>
  </si>
  <si>
    <t>251205140300104398824509</t>
  </si>
  <si>
    <t>251206010201133297964077</t>
  </si>
  <si>
    <t>251206140300133233536057</t>
  </si>
  <si>
    <t xml:space="preserve">Transfer from SOMTOOCHUKWU HENRY OKECHUKWU | OPay | 903****671 </t>
  </si>
  <si>
    <t>251217010100461613530225</t>
  </si>
  <si>
    <t>251217550100461566440795</t>
  </si>
  <si>
    <t xml:space="preserve">OPay Card Payment | MONIE POINT | 2IST205M | 000000001117 | T EMMANUEL UZOKECHI 001117 2IST205M LANG </t>
  </si>
  <si>
    <t>251217330100461874490957</t>
  </si>
  <si>
    <t xml:space="preserve">Transfer from EMMANUEL UZOKECHI | MONIE POINT | 557****836 | AT129TRF|2MPT3pe43|2001379911158652928AT129TRF|2MPT3pe43|2001379911158652928EMMANUEL UZO Trf for </t>
  </si>
  <si>
    <t>090405251217205217403706290129</t>
  </si>
  <si>
    <t>251217550100462028310615</t>
  </si>
  <si>
    <t xml:space="preserve">OPay Card Payment | MONIE POINT | 2IST205M | 000000001119 | T EMMANUEL UZOKECHI 001119 2IST205M LANG </t>
  </si>
  <si>
    <t>251217330100462035249335</t>
  </si>
  <si>
    <t>100004251217201452147857448147</t>
  </si>
  <si>
    <t>251217140300464011939386</t>
  </si>
  <si>
    <t>251218010201466585001427</t>
  </si>
  <si>
    <t>251218140300466549695875</t>
  </si>
  <si>
    <t>251219010201495270854228</t>
  </si>
  <si>
    <t>251219140300495270853222</t>
  </si>
  <si>
    <t xml:space="preserve">Transfer from FRIDAY EZEUKO | OPay | 802****983 </t>
  </si>
  <si>
    <t>251219010100506516078599</t>
  </si>
  <si>
    <t>251219550100506465340008</t>
  </si>
  <si>
    <t xml:space="preserve">OPay Card Payment | UP | 2UP1G928 | 251219134558 | JUSTRITE SUPERSTORE    LANG           NG </t>
  </si>
  <si>
    <t>251219330100506694200810</t>
  </si>
  <si>
    <t>100004251219125601147980625521</t>
  </si>
  <si>
    <t>251219010201506789095623</t>
  </si>
  <si>
    <t>251219010100506949685586</t>
  </si>
  <si>
    <t>251219550100507268752474</t>
  </si>
  <si>
    <t xml:space="preserve">OPay Card Payment | MONIE POINT | 2IST5E2X | 000000006120 | T Makal Energy Serv 006120 2IST5E2X LANG </t>
  </si>
  <si>
    <t>251219330100507327152213</t>
  </si>
  <si>
    <t xml:space="preserve">Transfer to SOLOMON NWOKPURU | OPay | 9029023814 </t>
  </si>
  <si>
    <t>251219010100514225679363</t>
  </si>
  <si>
    <t>251219140300522072968376</t>
  </si>
  <si>
    <t>251220010201524852638026</t>
  </si>
  <si>
    <t>251220140300524816591409</t>
  </si>
  <si>
    <t>251220010100539611083031</t>
  </si>
  <si>
    <t>251220010201539913147044</t>
  </si>
  <si>
    <t xml:space="preserve">OPay Card Payment | OPay | 2033VTZ3 | 512205611422 | OPay Chicken Republic LAG ISAWO IKO LANG </t>
  </si>
  <si>
    <t>251220330100540345631062</t>
  </si>
  <si>
    <t>251220010201540393642755</t>
  </si>
  <si>
    <t xml:space="preserve">OPay Card Payment | MONIE POINT | 2IST3SU0 | 000000004520 | T OLUSOLA oduntan   004520 2IST3SU0 LANG </t>
  </si>
  <si>
    <t>251220330100541387917927</t>
  </si>
  <si>
    <t>251220010201541438803102</t>
  </si>
  <si>
    <t>251221010201554772843455</t>
  </si>
  <si>
    <t>251221140300554739742895</t>
  </si>
  <si>
    <t xml:space="preserve">Transfer to BUSOLA ELIZABETH ADENIYI | PalmPay | 8146477103 </t>
  </si>
  <si>
    <t>100004251221070940148115031557</t>
  </si>
  <si>
    <t>251221010201556349930166</t>
  </si>
  <si>
    <t>251222010201579932248913</t>
  </si>
  <si>
    <t>251222140300579932248114</t>
  </si>
  <si>
    <t xml:space="preserve">Mobile Data | 8144409727 | DataMtn | 6GB Weekly Plan </t>
  </si>
  <si>
    <t>251222110100591939314258</t>
  </si>
  <si>
    <t>251222010201591716081098</t>
  </si>
  <si>
    <t>251223010201609857347558</t>
  </si>
  <si>
    <t>251223140300609840361365</t>
  </si>
  <si>
    <t xml:space="preserve">Mobile Data | 8144409727 | DataMtn | 20GB Weekly Plan </t>
  </si>
  <si>
    <t>251223110100627634287671</t>
  </si>
  <si>
    <t>251223010201627732749133</t>
  </si>
  <si>
    <t xml:space="preserve">Transfer from EZEUKO ELIZABETH IBIDUN | Guaranty Trust Bank | 012****739 | Christmas gifts to TOBECHUKWU DANIEL EZEUKO. 000013251223202525000638631577 </t>
  </si>
  <si>
    <t>000013251223202525000638631577</t>
  </si>
  <si>
    <t>251223550100634870481420</t>
  </si>
  <si>
    <t>251223140300638215245309</t>
  </si>
  <si>
    <t>251224140300641111485416</t>
  </si>
  <si>
    <t>251224010201641123923660</t>
  </si>
  <si>
    <t>251225010201674925397422</t>
  </si>
  <si>
    <t>251225140300675069584143</t>
  </si>
  <si>
    <t xml:space="preserve">Transfer to POS Transfer - AUGUSTINA CHIBUEZE | MONIE POINT | 8259777017 </t>
  </si>
  <si>
    <t>100004251225180825148503309583</t>
  </si>
  <si>
    <t>251225010201695057527545</t>
  </si>
  <si>
    <t>251226010201702469445167</t>
  </si>
  <si>
    <t>251226140300702407260900</t>
  </si>
  <si>
    <t xml:space="preserve">Transfer to unusual amaka business venture - unusual amaka business venture | MONIE POINT | 8160626099 </t>
  </si>
  <si>
    <t>100004251226081226148528053788</t>
  </si>
  <si>
    <t>251226010201705504088923</t>
  </si>
  <si>
    <t xml:space="preserve">Transfer to CHIBUEZE AUGUSTINA CHIAMAKA | Fidelity Bank | 6231625585 </t>
  </si>
  <si>
    <t>100004251226082753148529321752</t>
  </si>
  <si>
    <t>251226010201705788435361</t>
  </si>
  <si>
    <t xml:space="preserve">Transfer to YUSUF DAVID IBRAHIM | First Bank Of Nigeria | 3142866334 </t>
  </si>
  <si>
    <t>100004251226084006148530689287</t>
  </si>
  <si>
    <t>251226010201706145691123</t>
  </si>
  <si>
    <t xml:space="preserve">Transfer to MMESOMA PRINCESS UDOH | PalmPay | 9016087019 </t>
  </si>
  <si>
    <t>100004251226175135148570504578</t>
  </si>
  <si>
    <t>251226010201720519026526</t>
  </si>
  <si>
    <t>251227140300728842619180</t>
  </si>
  <si>
    <t>251227010201728832249752</t>
  </si>
  <si>
    <t xml:space="preserve">Transfer to KOSISO JOSEPH NWANKWO | OPay | 8137357102 </t>
  </si>
  <si>
    <t>251227010100747382759082</t>
  </si>
  <si>
    <t>251227010201747484629718</t>
  </si>
  <si>
    <t xml:space="preserve">Transfer to CHIBUIKE RAPHAEL ANIEFUNA | OPay | 8146622283 </t>
  </si>
  <si>
    <t>251227010100747604148093</t>
  </si>
  <si>
    <t>251227010201747840084711</t>
  </si>
  <si>
    <t>251227100100753581050414</t>
  </si>
  <si>
    <t>251227010201753867364136</t>
  </si>
  <si>
    <t>251228010201755454796295</t>
  </si>
  <si>
    <t>251228140300755495830270</t>
  </si>
  <si>
    <t xml:space="preserve">Third-Party Merchant Order | Paystack Payment Limited </t>
  </si>
  <si>
    <t>251228140300765689611809</t>
  </si>
  <si>
    <t>251228010201765537347896</t>
  </si>
  <si>
    <t>100004251228163909148700758986</t>
  </si>
  <si>
    <t>251228010201769578813483</t>
  </si>
  <si>
    <t>251229010201779194561045</t>
  </si>
  <si>
    <t>251229140300779203717030</t>
  </si>
  <si>
    <t>100004251229093117148737872521</t>
  </si>
  <si>
    <t>251229010201784358327826</t>
  </si>
  <si>
    <t xml:space="preserve">Transfer to JOHN AUGUSTINE OKECHUKWU | Guaranty Trust Bank | 0695917354 </t>
  </si>
  <si>
    <t>100004251229095611148739888410</t>
  </si>
  <si>
    <t>251229010201785142947642</t>
  </si>
  <si>
    <t>251229010201800011849385</t>
  </si>
  <si>
    <t>251229140300800011837164</t>
  </si>
  <si>
    <t>251229010201800013200413</t>
  </si>
  <si>
    <t>251229140300799901146342</t>
  </si>
  <si>
    <t>251229100100805694693408</t>
  </si>
  <si>
    <t>251229010201805745857990</t>
  </si>
  <si>
    <t>251230010201806686822498</t>
  </si>
  <si>
    <t>251230140300806599423835</t>
  </si>
  <si>
    <t>100004251230214732148874062024</t>
  </si>
  <si>
    <t>251230010201833867666560</t>
  </si>
  <si>
    <t>251231010201835673919249</t>
  </si>
  <si>
    <t>251231140300835667655473</t>
  </si>
  <si>
    <t>251231010201863223049499</t>
  </si>
  <si>
    <t>251231140300863426077552</t>
  </si>
  <si>
    <t>260101140300869234952441</t>
  </si>
  <si>
    <t>260101010201869372271917</t>
  </si>
  <si>
    <t>260101110100879928996698</t>
  </si>
  <si>
    <t>260101010201879929178456</t>
  </si>
  <si>
    <t xml:space="preserve">Transfer to Ugochukwu Wisdom Umeh | OPay | 7066194434 </t>
  </si>
  <si>
    <t>260101010100886502099778</t>
  </si>
  <si>
    <t>260101010201886634020790</t>
  </si>
  <si>
    <t xml:space="preserve">Transfer to POS Transfer - CHRIS OGOCHUKWU | MONIE POINT | 5432614563 </t>
  </si>
  <si>
    <t>100004260101192842149025174774</t>
  </si>
  <si>
    <t>260101010201887778070443</t>
  </si>
  <si>
    <t xml:space="preserve">Transfer to MARY OLUWATOYIN ADURAGBEMI | OPay | 8168148609 | Happy New Year </t>
  </si>
  <si>
    <t>260101010100889849224661</t>
  </si>
  <si>
    <t>260101010201889801741621</t>
  </si>
  <si>
    <t xml:space="preserve">Transfer to TOBECHUKWU DANIEL EZEUKO | Wema Bank PLC | 0419620864 | New Year Gift </t>
  </si>
  <si>
    <t>100004260102060739149036073794</t>
  </si>
  <si>
    <t>260102010201892804057508</t>
  </si>
  <si>
    <t>260102010201902424045371</t>
  </si>
  <si>
    <t>260102140300902714740249</t>
  </si>
  <si>
    <t>260102110100902425264419</t>
  </si>
  <si>
    <t>260102010201902374957542</t>
  </si>
  <si>
    <t>260102140300907682450727</t>
  </si>
  <si>
    <t>260102010201907533942498</t>
  </si>
  <si>
    <t xml:space="preserve">Transfer to ENUMA IKENNA CHUKWUEBUKA | First Bank Of Nigeria | 3068059447 </t>
  </si>
  <si>
    <t>100004260102172644149080088531</t>
  </si>
  <si>
    <t>260102010201907593237035</t>
  </si>
  <si>
    <t xml:space="preserve">Airtime | 9163372923 | MTN </t>
  </si>
  <si>
    <t>260102100100914125843376</t>
  </si>
  <si>
    <t>260102010201913932484078</t>
  </si>
  <si>
    <t>260103110100921643828154</t>
  </si>
  <si>
    <t>260103010201921593679509</t>
  </si>
  <si>
    <t xml:space="preserve">OPay Card Payment | MONIE POINT | 2ISMZHL4 | 000000002086 | T BRIGHT FEATURE VE 002086 2ISMZHL4 LANG </t>
  </si>
  <si>
    <t>260103330100935893527053</t>
  </si>
  <si>
    <t>260103010201935842643492</t>
  </si>
  <si>
    <t>100004260105061419149231186641</t>
  </si>
  <si>
    <t>260105010201967237286312</t>
  </si>
  <si>
    <t>260105010201975071902652</t>
  </si>
  <si>
    <t>260105140300975071892561</t>
  </si>
  <si>
    <t>260105140300975117532964</t>
  </si>
  <si>
    <t>260105010201974971208753</t>
  </si>
  <si>
    <t xml:space="preserve">Transfer to OPEYEMI MARY OJO | OPay | 9125248736 </t>
  </si>
  <si>
    <t>260105010100975220308949</t>
  </si>
  <si>
    <t>260105010201975074043030</t>
  </si>
  <si>
    <t>260105110100976556777049</t>
  </si>
  <si>
    <t>260105010201976705319120</t>
  </si>
  <si>
    <t xml:space="preserve">OPay Card Payment | MONIE POINT | 2IST21XI | 000000001158 | T AMINAT SONEYE     001158 2IST21XI LANG </t>
  </si>
  <si>
    <t>260105330100978848119545</t>
  </si>
  <si>
    <t>260105010201978798213310</t>
  </si>
  <si>
    <t xml:space="preserve">Transfer to IFEOLUWA FOLORUNSHO IPADEOLA | OPay | 8103080981 | Happy birthday  </t>
  </si>
  <si>
    <t>260106010100999842704379</t>
  </si>
  <si>
    <t>260106010201000084814672</t>
  </si>
  <si>
    <t>260106100100000257250352</t>
  </si>
  <si>
    <t>260106010201000353759469</t>
  </si>
  <si>
    <t>260106140300004287678681</t>
  </si>
  <si>
    <t>260106010201004094081125</t>
  </si>
  <si>
    <t>260106010201004145292307</t>
  </si>
  <si>
    <t>260106140300004356894242</t>
  </si>
  <si>
    <t>260106110100004307789582</t>
  </si>
  <si>
    <t>260106010201004146498231</t>
  </si>
  <si>
    <t xml:space="preserve">TV | 8214978926 | dstv | DStv Compact_1 Month </t>
  </si>
  <si>
    <t>260106120100005475076145</t>
  </si>
  <si>
    <t>260106010201005687575499</t>
  </si>
  <si>
    <t xml:space="preserve">Third-Party Merchant Order | INTERSWITCH LIMITED </t>
  </si>
  <si>
    <t>260106140300006532035656</t>
  </si>
  <si>
    <t>260106010201006291602394</t>
  </si>
  <si>
    <t>260107010201037488970072</t>
  </si>
  <si>
    <t>260107140300037635696994</t>
  </si>
  <si>
    <t>260107110100037737723709</t>
  </si>
  <si>
    <t>260107010201037390426867</t>
  </si>
  <si>
    <t xml:space="preserve">OPay Card Payment | OPay | 2033VTZ3 | 601071483596 | OPay Chicken Republic LAG ISAWO IKO LANG </t>
  </si>
  <si>
    <t>260107330100039649041117</t>
  </si>
  <si>
    <t>260107010201039721302043</t>
  </si>
  <si>
    <t xml:space="preserve">OPay Card Payment | OPay | 2033VTZ3 | 601071546111 | OPay Chicken Republic LAG ISAWO IKO LANG </t>
  </si>
  <si>
    <t>260107330100040128625043</t>
  </si>
  <si>
    <t>260107010201040177733851</t>
  </si>
  <si>
    <t xml:space="preserve">Transfer to Payed/FRONTDESKRJOLADCOM | Sterling Bank | 8680383058 </t>
  </si>
  <si>
    <t>100004260108094132149462086585</t>
  </si>
  <si>
    <t>260108010201053737261236</t>
  </si>
  <si>
    <t xml:space="preserve">Stamp Duty </t>
  </si>
  <si>
    <t>260108550101053488201921</t>
  </si>
  <si>
    <t>260108010201053538793500</t>
  </si>
  <si>
    <t xml:space="preserve">OPay Card Payment | Payed | 2105PC61 | 231884278767 | GETPAYED TECHNOLOGY SO 0 APPROVEDTN LANG </t>
  </si>
  <si>
    <t>260108330100056768260187</t>
  </si>
  <si>
    <t>260108010201057017989790</t>
  </si>
  <si>
    <t>260108010201057661226033</t>
  </si>
  <si>
    <t>260108140300057859699230</t>
  </si>
  <si>
    <t>260108110100057708479216</t>
  </si>
  <si>
    <t>260108010201057561207455</t>
  </si>
  <si>
    <t>260109110100099981949302</t>
  </si>
  <si>
    <t>260109010201100183281578</t>
  </si>
  <si>
    <t xml:space="preserve">Transfer to MATTHEW AKUBO | OPay | 7032716363 </t>
  </si>
  <si>
    <t>260110010100102741098167</t>
  </si>
  <si>
    <t>260110010201102871685449</t>
  </si>
  <si>
    <t>260110550101102790823398</t>
  </si>
  <si>
    <t>260110010201102766101443</t>
  </si>
  <si>
    <t>260110010100102766223797</t>
  </si>
  <si>
    <t>260110010201102766250124</t>
  </si>
  <si>
    <t>260111010201133891939876</t>
  </si>
  <si>
    <t>260111140300134045036780</t>
  </si>
  <si>
    <t>260111110100133994855898</t>
  </si>
  <si>
    <t>260111010201134096949727</t>
  </si>
  <si>
    <t xml:space="preserve">OPay Card Payment | MONIE POINT | 2ISTHUS8 | 000000009134 | T GEEMMGEE BEAUTY L 009134 2ISTHUS8 LANG </t>
  </si>
  <si>
    <t>260111330100140131063871</t>
  </si>
  <si>
    <t>260111010201140131074223</t>
  </si>
  <si>
    <t xml:space="preserve">OPay Card Payment | MONIE POINT | 2IST0X1C | 000000003097 | T FAXX STORES AND T 003097 2IST0X1C LANG </t>
  </si>
  <si>
    <t>260111330100140314940106</t>
  </si>
  <si>
    <t>260111010201140366120630</t>
  </si>
  <si>
    <t xml:space="preserve">OPay Card Payment | MONIE POINT | 2ISM8RZ7 | 000000010489 | T BAKAN GIZO PHARMA 010489 2ISM8RZ7 LANG </t>
  </si>
  <si>
    <t>260111330100148550565105</t>
  </si>
  <si>
    <t>260111010201148612121575</t>
  </si>
  <si>
    <t xml:space="preserve">Transfer to JEROME CHUKWUJEKWU AYOGU | OPay | 8037333113 </t>
  </si>
  <si>
    <t>260112010100159678884962</t>
  </si>
  <si>
    <t>260112010201159860645754</t>
  </si>
  <si>
    <t xml:space="preserve">Transfer to ANI ANURIKA HAPPINESS | MONIE POINT | 9048799993 </t>
  </si>
  <si>
    <t>100004260112171721149780273452</t>
  </si>
  <si>
    <t>260112010201174555621212</t>
  </si>
  <si>
    <t xml:space="preserve">Transfer to IBRAHIM  SULAIMAN | MONIE POINT | 5182561041 </t>
  </si>
  <si>
    <t>100004260112181058149784666766</t>
  </si>
  <si>
    <t>260112010201176254087110</t>
  </si>
  <si>
    <t xml:space="preserve">Transfer to OCHENI MOSES | Guaranty Trust Bank | 0115130608 </t>
  </si>
  <si>
    <t>100004260112193816149794564969</t>
  </si>
  <si>
    <t>260112010201179361060142</t>
  </si>
  <si>
    <t>260112550101179411397978</t>
  </si>
  <si>
    <t>260112010201179184080623</t>
  </si>
  <si>
    <t>260113110100203595095014</t>
  </si>
  <si>
    <t>260113010201203506552894</t>
  </si>
  <si>
    <t xml:space="preserve">Transfer to PRISCILIA AGBO USHIE ANYANG | MONIE POINT | 9131225030 </t>
  </si>
  <si>
    <t>100004260113190949149867141143</t>
  </si>
  <si>
    <t>260113010201206795121171</t>
  </si>
  <si>
    <t xml:space="preserve">Stamp Duty Charge on 3 TXNS FRM Jan 1st, 2026 to Jan 4th, 2026 </t>
  </si>
  <si>
    <t>260114550101212866563259</t>
  </si>
  <si>
    <t>260114010201212891113455</t>
  </si>
  <si>
    <t>100004260114201617149945979707</t>
  </si>
  <si>
    <t>260114010201238515409768</t>
  </si>
  <si>
    <t>260115110100244378551227</t>
  </si>
  <si>
    <t>260115010201244581323466</t>
  </si>
  <si>
    <t xml:space="preserve">Transfer to shehu salisu | OPay | 8138273893 </t>
  </si>
  <si>
    <t>260115010100247231365686</t>
  </si>
  <si>
    <t>260115010201247079527866</t>
  </si>
  <si>
    <t xml:space="preserve">OPay Card Payment | MONIE POINT | 2IST614P | 000000047748 | T The Place Restaur 047748 2IST614P LANG </t>
  </si>
  <si>
    <t>260115330100252649569011</t>
  </si>
  <si>
    <t>260115010201252700469990</t>
  </si>
  <si>
    <t xml:space="preserve">Transfer to Patrick Olotuche Abah | OPay | 7037571319 </t>
  </si>
  <si>
    <t>260115010100255115073891</t>
  </si>
  <si>
    <t>260115010201255013115167</t>
  </si>
  <si>
    <t xml:space="preserve">OPay Card Payment | MONIE POINT | 2ISMOLQF | 000000014374 | T HARUNA ANAS       014374 2ISMOLQF LANG </t>
  </si>
  <si>
    <t>260116330100275003984335</t>
  </si>
  <si>
    <t>260116010201275049339275</t>
  </si>
  <si>
    <t xml:space="preserve">Transfer to ALIYU UTHMAN | OPay | 9030091850 </t>
  </si>
  <si>
    <t>260116010100275831788065</t>
  </si>
  <si>
    <t>260116010201275518155071</t>
  </si>
  <si>
    <t xml:space="preserve">Transfer to rasaki sunmonu | OPay | 8039373039 </t>
  </si>
  <si>
    <t>260116010100276858923285</t>
  </si>
  <si>
    <t>260116010201276814132742</t>
  </si>
  <si>
    <t xml:space="preserve">OPay Card Payment | MONIE POINT | 2IST72S0 | 000000005244 | T PRECILIA UGBIIGWE 005244 2IST72S0 LANG </t>
  </si>
  <si>
    <t>260116330100288911285636</t>
  </si>
  <si>
    <t>260116010201289261068406</t>
  </si>
  <si>
    <t>100004260116173438150081824325</t>
  </si>
  <si>
    <t>260116010201290340189909</t>
  </si>
  <si>
    <t>260118110100330332603757</t>
  </si>
  <si>
    <t>260118010201330292886722</t>
  </si>
  <si>
    <t xml:space="preserve">Transfer to KINGSLEY OBINNA ONUOHA | OPay | 8122223317 </t>
  </si>
  <si>
    <t>260119180100363771235756</t>
  </si>
  <si>
    <t>260119010201363416211486</t>
  </si>
  <si>
    <t xml:space="preserve">Transfer to The Place Ahia | OPay | 9552869746 </t>
  </si>
  <si>
    <t>260119010100367419026463</t>
  </si>
  <si>
    <t>260119010201367369278375</t>
  </si>
  <si>
    <t>100004260119141512150279428674</t>
  </si>
  <si>
    <t>260119010201368831831688</t>
  </si>
  <si>
    <t xml:space="preserve">OPay Card Payment | MONIE POINT | 2ISM4WEF | 000000019943 | T BAKAN GIZO PHARMA 019943 2ISM4WEF LANG </t>
  </si>
  <si>
    <t>260119330100371396446026</t>
  </si>
  <si>
    <t>260119010201371447558570</t>
  </si>
  <si>
    <t xml:space="preserve">OPay Card Payment | MONIE POINT | 2ISM4RES | 000000013519 | T BAKAN GIZO PHARMA 013519 2ISM4RES LANG </t>
  </si>
  <si>
    <t>260119330100371248580582</t>
  </si>
  <si>
    <t>260119010201371553524878</t>
  </si>
  <si>
    <t xml:space="preserve">OPay Card Payment | MONIE POINT | 2ISM8RZ7 | 000000011036 | T BAKAN GIZO PHARMA 011036 2ISM8RZ7 LANG </t>
  </si>
  <si>
    <t>260119330100372031694889</t>
  </si>
  <si>
    <t>260119010201371727018458</t>
  </si>
  <si>
    <t xml:space="preserve">Transfer to cecilia oluwatoyin olaniyi | Access Bank | 1499692622 | Paul’s Allowance </t>
  </si>
  <si>
    <t>100004260120122525150346261634</t>
  </si>
  <si>
    <t>260120010201394289758805</t>
  </si>
  <si>
    <t>260120110100400631001621</t>
  </si>
  <si>
    <t>260120010201400783671239</t>
  </si>
  <si>
    <t xml:space="preserve">OPay Card Payment | Guaranty Trust Bank | 2058XG4E | 681436966357 | Faxx stores &amp; Trading LLagos        LANG </t>
  </si>
  <si>
    <t>260120330100401627570289</t>
  </si>
  <si>
    <t>260120010201401678761503</t>
  </si>
  <si>
    <t xml:space="preserve">Transfer to POS Transfer-EMMANUEL EZENWANNE | MONIE POINT | 5080076481 </t>
  </si>
  <si>
    <t>100004260120170957150369250314</t>
  </si>
  <si>
    <t>260120010201402639672459</t>
  </si>
  <si>
    <t>260121100100417628219563</t>
  </si>
  <si>
    <t>260121010201417776824450</t>
  </si>
  <si>
    <t xml:space="preserve">Transfer to GODSWILL FRIDAY AYO | OPay | 8062097069 </t>
  </si>
  <si>
    <t>260121010100418954528354</t>
  </si>
  <si>
    <t>260121010201418903744150</t>
  </si>
  <si>
    <t xml:space="preserve">OPay Card Payment | MONIE POINT | 2ISMZENK | 000000000366 | T GARBA IBRAHIM     000366 2ISMZENK LANG </t>
  </si>
  <si>
    <t>260123330100482521628966</t>
  </si>
  <si>
    <t>260123010201482623345086</t>
  </si>
  <si>
    <t>260125110100533577538608</t>
  </si>
  <si>
    <t>260125010201533549243924</t>
  </si>
  <si>
    <t xml:space="preserve">OPay Card Payment | TANADI MFB (CRUST) | 2105T548 | 000031446815 | CRUST MICROFINANCE BANK1A ZUNGERUBIDLANG </t>
  </si>
  <si>
    <t>260125330100538000764778</t>
  </si>
  <si>
    <t>260125010201538000773425</t>
  </si>
  <si>
    <t xml:space="preserve">OPay Card Payment | Guaranty Trust Bank | 2058DZ2S | 552537907152 | Faxx stores &amp; Trading LLagos        LANG </t>
  </si>
  <si>
    <t>260125330100542381499096</t>
  </si>
  <si>
    <t>260125010201542381508645</t>
  </si>
  <si>
    <t>260126110100561790236986</t>
  </si>
  <si>
    <t>260126010201561790567418</t>
  </si>
  <si>
    <t xml:space="preserve">OPay Card Payment | Zenith Bank | 2057HGJ3 | 57HGJ3142147 | SAHAD ELECTRONIC GARKI SAHAD CBD    FCNG </t>
  </si>
  <si>
    <t>260126330100572978821308</t>
  </si>
  <si>
    <t>260126010201573080900455</t>
  </si>
  <si>
    <t xml:space="preserve">OPay Card Payment | Guaranty Trust Bank | 2058PV9H | 150238098393 | SAHAD STORES LTD FRUITSLagos        LANG </t>
  </si>
  <si>
    <t>260126330100572913210784</t>
  </si>
  <si>
    <t>260126010201572817874230</t>
  </si>
  <si>
    <t xml:space="preserve">OPay Card Payment | Guaranty Trust Bank | 2058YPVN | 678038104495 | Faxx stores &amp; Trading LLagos        LANG </t>
  </si>
  <si>
    <t>260126330100573676400272</t>
  </si>
  <si>
    <t>260126010201574026090073</t>
  </si>
  <si>
    <t>260129110100654757164660</t>
  </si>
  <si>
    <t>260129010201654865999827</t>
  </si>
  <si>
    <t>100004260129081626151007969650</t>
  </si>
  <si>
    <t>260129010201657222136197</t>
  </si>
  <si>
    <t>100004260129085018151011326717</t>
  </si>
  <si>
    <t>260129010201658455878821</t>
  </si>
  <si>
    <t xml:space="preserve">Transfer from TOBECHUKWU DANIEL EZEUKO | Wema Bank PLC | 041****864 | ALAT NIP TRANSFER TO TOBECHUKWU DANIEL EZEUKO FROM TOBECHUKWU DANIEL EZEUKO  </t>
  </si>
  <si>
    <t>000017260129152946673523387349</t>
  </si>
  <si>
    <t>260129140300669912241479</t>
  </si>
  <si>
    <t xml:space="preserve">Transfer to KENECHUKWU CHRISTOPHER OGBOO | OPay | 8161541826 </t>
  </si>
  <si>
    <t>260130010100695335796817</t>
  </si>
  <si>
    <t>260130010201695589892645</t>
  </si>
  <si>
    <t xml:space="preserve">Transfer to KABIRU UMARU | OPay | 9043876813 </t>
  </si>
  <si>
    <t>260130010100700481143029</t>
  </si>
  <si>
    <t>260130010201700481396529</t>
  </si>
  <si>
    <t xml:space="preserve">Transfer to ABUBAKAR ABUBAKAR | MONIE POINT | 5446474997 </t>
  </si>
  <si>
    <t>100004260130144323151120458952</t>
  </si>
  <si>
    <t>260130010201700247999087</t>
  </si>
  <si>
    <t xml:space="preserve">Transfer to POS Transfer- ISMAIL ALA | MONIE POINT | 5150433981 </t>
  </si>
  <si>
    <t>100004260130144417151120467530</t>
  </si>
  <si>
    <t>260130010201700656884746</t>
  </si>
  <si>
    <t xml:space="preserve">Transfer from JOHNSON EBUNOLUWA ABISOLA | FCMB(First City Monument Bank PLC) | 037****012 | App To Opay Digital Services Limited TOBECHUKWU DANIEL EZEUK </t>
  </si>
  <si>
    <t>000003260130190657004656065187</t>
  </si>
  <si>
    <t>100004260130180726151139188054</t>
  </si>
  <si>
    <t>260130550101707217039521</t>
  </si>
  <si>
    <t>260130010201707470952638</t>
  </si>
  <si>
    <t xml:space="preserve">OPay Card Payment | MONIE POINT | 2ISTKFYI | 000000000230 | T ISMAIL AHMAD      000230 2ISTKFYI LANG </t>
  </si>
  <si>
    <t>260131330100729831421012</t>
  </si>
  <si>
    <t>260131010201729525493290</t>
  </si>
  <si>
    <t xml:space="preserve">OPay Card Payment | Guaranty Trust Bank | 2058XG4E | 709839119903 | Faxx stores &amp; Trading LLagos        LANG </t>
  </si>
  <si>
    <t>260131330100730806167496</t>
  </si>
  <si>
    <t>260131010201730602503463</t>
  </si>
  <si>
    <t xml:space="preserve">OPay Card Payment | TANADI MFB (CRUST) | 2105T548 | 000031517997 | CRUST MICROFINANCE BANK1A ZUNGERUBIDLANG </t>
  </si>
  <si>
    <t>260201330100755313063324</t>
  </si>
  <si>
    <t>260201010201755007492195</t>
  </si>
  <si>
    <t>260201110100758717815526</t>
  </si>
  <si>
    <t>260201010201758871219899</t>
  </si>
  <si>
    <t xml:space="preserve">OPay Card Payment | Guaranty Trust Bank | 2058XG4E | 492239303575 | Faxx stores &amp; Trading LLagos        LANG </t>
  </si>
  <si>
    <t>260201330100760119887330</t>
  </si>
  <si>
    <t>260201010201760323435635</t>
  </si>
  <si>
    <t xml:space="preserve">Transfer to BONIFACE NDUKAKU NWOSU | OPay | 8033001304 </t>
  </si>
  <si>
    <t>260202010100784920057004</t>
  </si>
  <si>
    <t>260202010201784920275414</t>
  </si>
  <si>
    <t>100004260202101834151338131268</t>
  </si>
  <si>
    <t>260202010201789000515142</t>
  </si>
  <si>
    <t>260202550101788848094977</t>
  </si>
  <si>
    <t>260202010201788746304716</t>
  </si>
  <si>
    <t>000017260202154054409054375048</t>
  </si>
  <si>
    <t>260202140300798672874543</t>
  </si>
  <si>
    <t xml:space="preserve">Transfer to ELIZABETH UCHENNA CHIBUGWU | Zenith Bank | 2270601194 | Apologies.. just use this to get ice cream or so </t>
  </si>
  <si>
    <t>100004260203130941151436868325</t>
  </si>
  <si>
    <t>260203010201827431055065</t>
  </si>
  <si>
    <t>260203110100835161212626</t>
  </si>
  <si>
    <t>260203010201835314842143</t>
  </si>
  <si>
    <t xml:space="preserve">Transfer to OLUBUNMI DEBORAH OYESANYA | OPay | 8072355541 </t>
  </si>
  <si>
    <t>260204010100853702028247</t>
  </si>
  <si>
    <t>260204010201853906706786</t>
  </si>
  <si>
    <t>260205010100884696064067</t>
  </si>
  <si>
    <t>260205010201884742569969</t>
  </si>
  <si>
    <t xml:space="preserve">OPay Card Payment | MONIE POINT | 2IST1S99 | 000000033819 | T FAXX STORES AND T 033819 2IST1S99 LANG </t>
  </si>
  <si>
    <t>260205330100895727358228</t>
  </si>
  <si>
    <t>260205010201895625555178</t>
  </si>
  <si>
    <t xml:space="preserve">Transfer from MP Agent FAXX STORES AND TRADING  FAXX 4 | MONIE POINT | 000****079 | AT129RFD|001|PUR|2026020502005078723582070O7IE000000033819200000AT129RFD|001|PUR|2026020502005078 </t>
  </si>
  <si>
    <t>090405260205145555545010050129</t>
  </si>
  <si>
    <t>260205140300896073982706</t>
  </si>
  <si>
    <t xml:space="preserve">Transfer to BAKAN GIZO PHARMACY AND STORES LIMITED - BAKAN GIZO SUPERMARKET GUDU | MONIE POINT | 5934000222 </t>
  </si>
  <si>
    <t>100004260205151531151617513696</t>
  </si>
  <si>
    <t>260205550101898289284054</t>
  </si>
  <si>
    <t>260205010201898238690987</t>
  </si>
  <si>
    <t>260205010201898501607887</t>
  </si>
  <si>
    <t xml:space="preserve">OPay Card Payment | MONIE POINT | 2ISMGHU7 | 000000001178 | T HOTSHOT LTD  HOTS 001178 2ISMGHU7 LANG </t>
  </si>
  <si>
    <t>260205330100902652336143</t>
  </si>
  <si>
    <t>260205010201902900478703</t>
  </si>
  <si>
    <t xml:space="preserve">OPay Card Payment | MONIE POINT | 2ISM4PA7 | 000000013465 | T HOTSHOT LTD  HOTS 013465 2ISM4PA7 LANG </t>
  </si>
  <si>
    <t>260205330100903466132022</t>
  </si>
  <si>
    <t>260205010201903162119794</t>
  </si>
  <si>
    <t xml:space="preserve">OPay Card Payment | MONIE POINT | 2ISM4RES | 000000014107 | T BAKAN GIZO PHARMA 014107 2ISM4RES LANG </t>
  </si>
  <si>
    <t>260205330100903763766079</t>
  </si>
  <si>
    <t>260205010201903967012388</t>
  </si>
  <si>
    <t>260206010100918030117158</t>
  </si>
  <si>
    <t>260206010201918081311705</t>
  </si>
  <si>
    <t xml:space="preserve">OPay Card Payment | MONIE POINT | 2ISTHUS8 | 000000010193 | T GEEMMGEE BEAUTY L 010193 2ISTHUS8 LANG </t>
  </si>
  <si>
    <t>260206330100936253436871</t>
  </si>
  <si>
    <t>260206010201936303867475</t>
  </si>
  <si>
    <t xml:space="preserve">Airtime | 8080452511 | AIR </t>
  </si>
  <si>
    <t>260206100100942499446493</t>
  </si>
  <si>
    <t>260206010201942398217815</t>
  </si>
  <si>
    <t xml:space="preserve">OPay Card Payment | MONIE POINT | 2ISM4PA7 | 000000013622 | T HOTSHOT LTD  HOTS 013622 2ISM4PA7 LANG </t>
  </si>
  <si>
    <t>260207330100964670461993</t>
  </si>
  <si>
    <t>260207010201964518236394</t>
  </si>
  <si>
    <t xml:space="preserve">OPay Card Payment | MONIE POINT | 2ISM94RT | 000000022517 | T BAKAN GIZO PHARMA 022517 2ISM94RT LANG </t>
  </si>
  <si>
    <t>260207330100964403795407</t>
  </si>
  <si>
    <t>260207010201964403807533</t>
  </si>
  <si>
    <t xml:space="preserve">OPay Card Payment | MONIE POINT | 2ISMGHU7 | 000000001220 | T HOTSHOT LTD  HOTS 001220 2ISMGHU7 LANG </t>
  </si>
  <si>
    <t>260207330100967382511821</t>
  </si>
  <si>
    <t>260207010201967231309153</t>
  </si>
  <si>
    <t>100004260208105506151845848307</t>
  </si>
  <si>
    <t>260208010201989495331017</t>
  </si>
  <si>
    <t>260208110100990985867745</t>
  </si>
  <si>
    <t>260208010201991196450420</t>
  </si>
  <si>
    <t>100004260208155503151866927938</t>
  </si>
  <si>
    <t>260208010201998176886016</t>
  </si>
  <si>
    <t xml:space="preserve">Transfer to POS Transfer- FASANMI TAIWO HELEN | MONIE POINT | 5025121353 </t>
  </si>
  <si>
    <t>100004260209182328151960113730</t>
  </si>
  <si>
    <t>260209010201035466095859</t>
  </si>
  <si>
    <t>260210010100048171816509</t>
  </si>
  <si>
    <t>260210010201048217313056</t>
  </si>
  <si>
    <t>260210010100062810519649</t>
  </si>
  <si>
    <t>260210010201062612025967</t>
  </si>
  <si>
    <t xml:space="preserve">Transfer from ADEDOYIN ADEMIDE ADEEKO | Access Bank | 181****843 | MOBILE TRF TO PAY TOBECHUKWU DANIEL EZEUKO </t>
  </si>
  <si>
    <t>000014260210165902289271759095</t>
  </si>
  <si>
    <t>260210140300062967397601</t>
  </si>
  <si>
    <t xml:space="preserve">OPay Card Payment | Guaranty Trust Bank | 2058XG4E | 311241383082 | Faxx stores &amp; Trading LLagos        LANG </t>
  </si>
  <si>
    <t>260210330100067823809403</t>
  </si>
  <si>
    <t>260210010201068021716290</t>
  </si>
  <si>
    <t>260211010100088012236014</t>
  </si>
  <si>
    <t>260211010201087764504404</t>
  </si>
  <si>
    <t xml:space="preserve">Transfer to MUHAMMAD BASHIR | First Bank Of Nigeria | 3167764721 </t>
  </si>
  <si>
    <t>100004260211141702152103286844</t>
  </si>
  <si>
    <t>260211010201091984592014</t>
  </si>
  <si>
    <t xml:space="preserve">Transfer to POS Transfer - ETIM UDO | MONIE POINT | 5499160339 </t>
  </si>
  <si>
    <t>100004260211185628152128710484</t>
  </si>
  <si>
    <t>260211010201102026262264</t>
  </si>
  <si>
    <t>260212010100121120863014</t>
  </si>
  <si>
    <t>260212010201121070762603</t>
  </si>
  <si>
    <t xml:space="preserve">Transfer from YADESMOBILE RELIABLE POS BUSINESS ENTERPRISE  | OPay | 703****745 </t>
  </si>
  <si>
    <t>260219170100354430169393</t>
  </si>
  <si>
    <t>260219140300354333433813</t>
  </si>
  <si>
    <t xml:space="preserve">Transfer to JUMMAI YOHANNA | Zenith Bank | 2001120851 | Switch Advisory Support-SWOFON </t>
  </si>
  <si>
    <t>100004260219165117152761484218</t>
  </si>
  <si>
    <t>260219010201354939809293</t>
  </si>
  <si>
    <t>260219550101355090752040</t>
  </si>
  <si>
    <t>260219010201355189946214</t>
  </si>
  <si>
    <t xml:space="preserve">Transfer to SARKI ZINYA JULIET | Keystone Bank | 1000144224 | Switch Advisory Support- SWOFON </t>
  </si>
  <si>
    <t>100004260219165239152761098455</t>
  </si>
  <si>
    <t>260219010201355295874567</t>
  </si>
  <si>
    <t xml:space="preserve">Transfer to ESTHER SUNDAY | Access Bank | 1392337208 | Switch Advisory Support- SWOFON </t>
  </si>
  <si>
    <t>100004260219165356152760861686</t>
  </si>
  <si>
    <t>260219010201355050221053</t>
  </si>
  <si>
    <t xml:space="preserve">Transfer to SHAMMAH BITRUS JULIE | Ecobank Nigeria Plc | 4201082604 | Switch Advisory Support- SWOFON </t>
  </si>
  <si>
    <t>100004260219165538152761530847</t>
  </si>
  <si>
    <t>260219010201355358884342</t>
  </si>
  <si>
    <t xml:space="preserve">Transfer to VINES AKOLO | Access Bank | 0081214742 | Switch Advisory Support- SWOFON </t>
  </si>
  <si>
    <t>100004260219165707152761146405</t>
  </si>
  <si>
    <t>260219010201355774389341</t>
  </si>
  <si>
    <t xml:space="preserve">Transfer to ANGO THERESA IYA | Access Bank | 0064694493 | Switch Advisory Support- SWOFON </t>
  </si>
  <si>
    <t>100004260219165833152760659293</t>
  </si>
  <si>
    <t>260219010201355427816452</t>
  </si>
  <si>
    <t xml:space="preserve">Transfer to NEKRE CECILIA | United Bank For Africa | 2080205623 | Switch Advisory Support- SWOFON </t>
  </si>
  <si>
    <t>100004260219170028152761839484</t>
  </si>
  <si>
    <t>260219010201355585840969</t>
  </si>
  <si>
    <t xml:space="preserve">Transfer to VICTORIA AYAFA | Access Bank | 1388728092 | Switch Advisory Support- SWOFON </t>
  </si>
  <si>
    <t>100004260219170131152761594981</t>
  </si>
  <si>
    <t>260219010201355390582172</t>
  </si>
  <si>
    <t xml:space="preserve">Transfer to NAFISAT SHUAIBU SALISU | Access Bank | 0015281426 | Switch Advisory Support- SWOFON </t>
  </si>
  <si>
    <t>100004260219170310152762365056</t>
  </si>
  <si>
    <t>260219010201355799167131</t>
  </si>
  <si>
    <t xml:space="preserve">Transfer to OKOH CATHERINE MICHEAL | First Bank Of Nigeria | 3051545544 | Switch Advisory Support- SWOFON </t>
  </si>
  <si>
    <t>100004260219170352152761876418</t>
  </si>
  <si>
    <t>260219010201355551254816</t>
  </si>
  <si>
    <t xml:space="preserve">Transfer to COMFORT MAKERI JOSEPH | Access Bank | 0029964437 | Switch Advisory Support- SWOFON </t>
  </si>
  <si>
    <t>100004260219171240152762861989</t>
  </si>
  <si>
    <t>260219010201355947009560</t>
  </si>
  <si>
    <t xml:space="preserve">Transfer to IBRAHIM GRACE J | Union Bank Of Nigeria | 0058295125 | Switch Advisory Support- SWOFON </t>
  </si>
  <si>
    <t>100004260219171334152764030794</t>
  </si>
  <si>
    <t>260219010201356151009825</t>
  </si>
  <si>
    <t xml:space="preserve">Transfer to AISHATU L USMAN | Polaris Bank Plc | 1018085688 | Switch Advisory Support- SWOFON </t>
  </si>
  <si>
    <t>100004260219171448152763388961</t>
  </si>
  <si>
    <t>260219010201356206516542</t>
  </si>
  <si>
    <t xml:space="preserve">Transfer to GANA ELIZABETH | United Bank For Africa | 2074330355 </t>
  </si>
  <si>
    <t>100004260219171528152763396112</t>
  </si>
  <si>
    <t>260219010201356108977564</t>
  </si>
  <si>
    <t xml:space="preserve">Transfer to GAMBO SARATU HUSSAINA | United Bank For Africa | 2077098290 | Switch SWOFON </t>
  </si>
  <si>
    <t>100004260219171615152764556327</t>
  </si>
  <si>
    <t>260219010201355862046297</t>
  </si>
  <si>
    <t xml:space="preserve">Transfer to MOHAMMED HALIMA | United Bank For Africa | 1007520823 | Switch SWOFON </t>
  </si>
  <si>
    <t>100004260219171700152763812941</t>
  </si>
  <si>
    <t>260219010201355965263706</t>
  </si>
  <si>
    <t xml:space="preserve">Transfer to UMARU FELICIA F | United Bank For Africa | 2000283306 | Switch SWOFON </t>
  </si>
  <si>
    <t>100004260219171753152762919380</t>
  </si>
  <si>
    <t>260219010201356068529358</t>
  </si>
  <si>
    <t xml:space="preserve">Transfer to MOHAMMED RAMATU MK | Guaranty Trust Bank | 0047791975 | Switch SWOFON </t>
  </si>
  <si>
    <t>100004260219171854152763181950</t>
  </si>
  <si>
    <t>260219010201356173310701</t>
  </si>
  <si>
    <t xml:space="preserve">Transfer to GANA DEBORAH AMINA | United Bank For Africa | 2047970416 | Switch SWOFON </t>
  </si>
  <si>
    <t>100004260219171945152764793745</t>
  </si>
  <si>
    <t>260219010201356227235805</t>
  </si>
  <si>
    <t xml:space="preserve">Transfer to NAMALLAM RALIYATU | First Bank Of Nigeria | 2010996649 </t>
  </si>
  <si>
    <t>100004260219172016152763632971</t>
  </si>
  <si>
    <t>260219010201356388305333</t>
  </si>
  <si>
    <t xml:space="preserve">Transfer to BABANSORO  ANAS RUFAI | Guaranty Trust Bank | 0046088333 </t>
  </si>
  <si>
    <t>100004260219214239152786829291</t>
  </si>
  <si>
    <t>260219010201365912948470</t>
  </si>
  <si>
    <t>260219550101365611230800</t>
  </si>
  <si>
    <t>260219010201365511443668</t>
  </si>
  <si>
    <t xml:space="preserve">OPay Card Payment | MONIE POINT | 2ISTBGEI | 000000001237 | T Celinas Global En 001237 2ISTBGEI LANG </t>
  </si>
  <si>
    <t>260220330100380085609679</t>
  </si>
  <si>
    <t>260220010201380097736572</t>
  </si>
  <si>
    <t xml:space="preserve">OPay Card Payment | MONIE POINT | 2ISTUG67 | 000000001201 | T CALITO PHONES NIG 001201 2ISTUG67 LANG </t>
  </si>
  <si>
    <t>260220330100383270671503</t>
  </si>
  <si>
    <t>260220010201383377261783</t>
  </si>
  <si>
    <t xml:space="preserve">OPay Card Payment | MONIE POINT | 2ISTHUS8 | 000000010603 | T GEEMMGEE BEAUTY L 010603 2ISTHUS8 LANG </t>
  </si>
  <si>
    <t>260220330100387606781235</t>
  </si>
  <si>
    <t>260220010201387606792547</t>
  </si>
  <si>
    <t xml:space="preserve">Transfer to Eugene Idemudia Owobu | Kuda MFB | 2000189369 </t>
  </si>
  <si>
    <t>100004260220180705152848458055</t>
  </si>
  <si>
    <t>260220010201389644360688</t>
  </si>
  <si>
    <t xml:space="preserve">Transfer to DISA GRACE ZABOSAN (MRS) | First Bank Of Nigeria | 2005003653 | Switch Support- SWOFON </t>
  </si>
  <si>
    <t>100004260221194734152935637036</t>
  </si>
  <si>
    <t>260221010201425477268812</t>
  </si>
  <si>
    <t>260221550101425477328409</t>
  </si>
  <si>
    <t>260221010201425528040898</t>
  </si>
  <si>
    <t xml:space="preserve">Transfer from SAMUEL BOLUWATIFE SALU-KOSOKO | Sterling Bank | 008****184 | OneBank Transfer from SAMUEL BOLUWATIFE SALUKOSOKO to TOBECHUKWU DANIEL EZEUKO </t>
  </si>
  <si>
    <t>000001260222151915217168573142</t>
  </si>
  <si>
    <t>260222140300443590291322</t>
  </si>
  <si>
    <t xml:space="preserve">OPay Card Payment | MONIE POINT | 2ISM2LDK | 000000000195 | T HAJARA IBRAHIM    000195 2ISM2LDK LANG </t>
  </si>
  <si>
    <t>260222330100443872594277</t>
  </si>
  <si>
    <t>260222010201443923588948</t>
  </si>
  <si>
    <t>100004260223065042153016587553</t>
  </si>
  <si>
    <t>260223010201460392834653</t>
  </si>
  <si>
    <t>260223010100461461720503</t>
  </si>
  <si>
    <t>260223010201461106742522</t>
  </si>
  <si>
    <t xml:space="preserve">OPay Card Payment | MONIE POINT | 2IST120H | 000000013286 | T FAXX STORES AND T 013286 2IST120H LANG </t>
  </si>
  <si>
    <t>260223330100478919759989</t>
  </si>
  <si>
    <t>260223010201478715839663</t>
  </si>
  <si>
    <t xml:space="preserve">OPay Card Payment | Guaranty Trust Bank | 2058BFNB | 880944301679 | FAXX STORES &amp; TRADING LLagos        LANG </t>
  </si>
  <si>
    <t>260223330100478679870238</t>
  </si>
  <si>
    <t>260223010201478780737208</t>
  </si>
  <si>
    <t xml:space="preserve">OPay Card Payment | MONIE POINT | 2ISM117C | 000000013020 | T SHEHU SADIYA      013020 2ISM117C LANG </t>
  </si>
  <si>
    <t>260224330100500665665047</t>
  </si>
  <si>
    <t>260224010201500411238638</t>
  </si>
  <si>
    <t xml:space="preserve">Transfer from MP Agent SHEHU SADIYA | MONIE POINT | 000****079 | AT129RFD|001|PUR|202602240200507872358221455RS000000013020300000AT129RFD|001|PUR|2026022402005078 </t>
  </si>
  <si>
    <t>090405260224131824991205706129</t>
  </si>
  <si>
    <t>260224140300500581133299</t>
  </si>
  <si>
    <t>100004260225070021153172375069</t>
  </si>
  <si>
    <t>260225010201523258850896</t>
  </si>
  <si>
    <t xml:space="preserve">OPay Card Payment | MONIE POINT | 2ISM117C | 000000013069 | T SHEHU SADIYA      013069 2ISM117C LANG </t>
  </si>
  <si>
    <t>260225330100533594038548</t>
  </si>
  <si>
    <t>260225010201533243191721</t>
  </si>
  <si>
    <t>100004260225172610153222152036</t>
  </si>
  <si>
    <t>260225010201542042097106</t>
  </si>
  <si>
    <t xml:space="preserve">Transfer to HASSAN ABUBAKAR MUHAMMED | OPay | 8037504762 </t>
  </si>
  <si>
    <t>260225010100549191525424</t>
  </si>
  <si>
    <t>260225010201549292806535</t>
  </si>
  <si>
    <t>260225550101549191751645</t>
  </si>
  <si>
    <t>260225010201549143392619</t>
  </si>
  <si>
    <t xml:space="preserve">OPay Card Payment | MONIE POINT | 2ISM117C | 000000013127 | T SHEHU SADIYA      013127 2ISM117C LANG </t>
  </si>
  <si>
    <t>260226330100566100112428</t>
  </si>
  <si>
    <t>260226010201565798791700</t>
  </si>
  <si>
    <t xml:space="preserve">OPay Card Payment | MONIE POINT | 2ISM94RT | 000000024147 | T BAKAN GIZO PHARMA 024147 2ISM94RT LANG </t>
  </si>
  <si>
    <t>260226330100578387821567</t>
  </si>
  <si>
    <t>260226010201578587606480</t>
  </si>
  <si>
    <t xml:space="preserve">OPay Card Payment | MONIE POINT | 2ISMNLTU | 000000012619 | T MUBARAK UMAR      012619 2ISMNLTU LANG </t>
  </si>
  <si>
    <t>260227330100610903480451</t>
  </si>
  <si>
    <t>260227010201610703815318</t>
  </si>
  <si>
    <t>260228110100623983420268</t>
  </si>
  <si>
    <t>260228010201623884579248</t>
  </si>
  <si>
    <t>260228010100627038995154</t>
  </si>
  <si>
    <t>260228010201626741514042</t>
  </si>
  <si>
    <t>260301100100676982350834</t>
  </si>
  <si>
    <t>260301010201676931420533</t>
  </si>
  <si>
    <t xml:space="preserve">Transfer to SASHPOT LIMITED - SASHPOT LIMITED | MONIE POINT | 5020894902 </t>
  </si>
  <si>
    <t>100004260302121030153604985489</t>
  </si>
  <si>
    <t>260302010201697734736540</t>
  </si>
  <si>
    <t>260302100100706450119362</t>
  </si>
  <si>
    <t>260302010201706298606536</t>
  </si>
  <si>
    <t>260302100100706551579707</t>
  </si>
  <si>
    <t>260302010201706148212090</t>
  </si>
  <si>
    <t>260304010100760172371796</t>
  </si>
  <si>
    <t>260304010201760324422428</t>
  </si>
  <si>
    <t>260305110100806294199171</t>
  </si>
  <si>
    <t>260305010201806396143851</t>
  </si>
  <si>
    <t>100004260305133439153879044720</t>
  </si>
  <si>
    <t>260305010201806986558581</t>
  </si>
  <si>
    <t>100004260305180727153905757599</t>
  </si>
  <si>
    <t>260305010201816850162026</t>
  </si>
  <si>
    <t xml:space="preserve">Transfer from TOBECHUKWU DANIEL EZEUKO | Fidelity Bank | 615****342 | 770 TRANSFER FROM 6151304342 FBP </t>
  </si>
  <si>
    <t>000007260306214700186012929044</t>
  </si>
  <si>
    <t xml:space="preserve">Transfer to COLLINS JACHIKE OKOYE | OPay | 8078157592 </t>
  </si>
  <si>
    <t>260306010100858299764370</t>
  </si>
  <si>
    <t>260306140300858048023441</t>
  </si>
  <si>
    <t>000007260306214938313516418175</t>
  </si>
  <si>
    <t>260306140300858057728503</t>
  </si>
  <si>
    <t xml:space="preserve">Transfer to LIYA-S PLACE PHARMACY - SUPER MARKET LTD - Gleetel Communication Ltd 2 | MONIE POINT | 8162648716 </t>
  </si>
  <si>
    <t>100004260307071958154022571080</t>
  </si>
  <si>
    <t>260307010201864630803323</t>
  </si>
  <si>
    <t xml:space="preserve">Transfer to AMADU LAMU | MONIE POINT | 9135976213 </t>
  </si>
  <si>
    <t>100004260307095000154035733132</t>
  </si>
  <si>
    <t>260307010201869215377440</t>
  </si>
  <si>
    <t>260307010201882320943936</t>
  </si>
  <si>
    <t xml:space="preserve">Transfer to OUPS EAGLE INDUSTRIES INT'L  | OPay | 8086908033 </t>
  </si>
  <si>
    <t>260307010100882320662709</t>
  </si>
  <si>
    <t xml:space="preserve">OWealth Deposit(from Targets) </t>
  </si>
  <si>
    <t>25042799tLtt2gVzbaRg71H0ZrhL0</t>
  </si>
  <si>
    <t xml:space="preserve">OWealth Interest Earned </t>
  </si>
  <si>
    <t>25042999bfXJxa54weRWhLaYHTY3f</t>
  </si>
  <si>
    <t>2504309965BXkEiIKYxbqn2mITWG06</t>
  </si>
  <si>
    <t>2505019952CTSz6HhondHVpSBDguBa</t>
  </si>
  <si>
    <t>250502994AHSF5xdIKvv2xHpx9Zsqr</t>
  </si>
  <si>
    <t>250503997N2P1rwDVQX73BxEwijKsW</t>
  </si>
  <si>
    <t>250504994m8dH10ZPO7gjxzGcF2xJ7</t>
  </si>
  <si>
    <t>250505991777ud1dh0rCKMmRT3g4LC</t>
  </si>
  <si>
    <t>250506997eEGVCEhKj1XdlspDgYS1E</t>
  </si>
  <si>
    <t>25050799701fMAptye6TUcVQWVyHkI</t>
  </si>
  <si>
    <t>250508995iXCb9CCp5U3jSpEI7Q5Zo</t>
  </si>
  <si>
    <t>2505099972hDfSCsDZ4mm0gF25dZY4</t>
  </si>
  <si>
    <t>250510996PlJjuOsCYVgg9Wxx5Mv9h</t>
  </si>
  <si>
    <t>250511996DSHn4lG55JZD1RCwQpxGn</t>
  </si>
  <si>
    <t>250512996o6JlJMqcfDLC9vMbrTQOm</t>
  </si>
  <si>
    <t>250513996KaS27eXm6ndvDD5NiEpni</t>
  </si>
  <si>
    <t>250514993p0TbLitgPXZAkRCyJjwyR</t>
  </si>
  <si>
    <t>2505159922ui8pEVU9IEKqplVCgBN1</t>
  </si>
  <si>
    <t>25051699SHwEgu1OZYDqiDMifEMxN</t>
  </si>
  <si>
    <t>250517994uT8XTueyFVla3Y9GKOpYo</t>
  </si>
  <si>
    <t>250518992VhbsdF6dhXUnWKhydJ4IL</t>
  </si>
  <si>
    <t>250518994luLJap5WHrBwfgBKGJ1al</t>
  </si>
  <si>
    <t>25051999kb1pAZgPH289RnoKmpRmW</t>
  </si>
  <si>
    <t>25052099tuIHU0mR6ms2NpK1nYI44</t>
  </si>
  <si>
    <t>250521993l6C6p84ThDLcSZNDJm9Bq</t>
  </si>
  <si>
    <t>25052299U1TchPzfQ7SEnVreYN6SJ</t>
  </si>
  <si>
    <t>250523991mVfWzSGfn4on5W4ho3AOG</t>
  </si>
  <si>
    <t>250524993OesDZeXqwxZLvhISnkDmH</t>
  </si>
  <si>
    <t>250525994gorT61s46nSPmNixtWIRP</t>
  </si>
  <si>
    <t>250526997f4UeM0FQjEhRotEk5liUa</t>
  </si>
  <si>
    <t>250527996LcXvzRo041n08pAZvpERv</t>
  </si>
  <si>
    <t>250528992VEZAbdW1nqLFHopKAvIHD</t>
  </si>
  <si>
    <t>250529994Cte0be9ywRnYSLvQhLxCl</t>
  </si>
  <si>
    <t>250530997EKZhwe4SG73cZvVWiZUnq</t>
  </si>
  <si>
    <t>250531995gwd4txUlbP1k3a0Ug5PLl</t>
  </si>
  <si>
    <t>25060199zBoqT18soLK2wOg7l1zz8</t>
  </si>
  <si>
    <t>25060299703y9yTcSZ9t5PwIFe1gBM</t>
  </si>
  <si>
    <t>250603995OaaPXrlXueUGlQXZeMqCL</t>
  </si>
  <si>
    <t>250604994BVrBDjjkFVwf36riitV4</t>
  </si>
  <si>
    <t>250605991r8XSUqMqed3mxCTwBgnEC</t>
  </si>
  <si>
    <t>250606994gUMLCGiYWtQ8y1vDNmqYZ</t>
  </si>
  <si>
    <t>250607993h6T7W5nge06FofaIsU8y8</t>
  </si>
  <si>
    <t>250608996e5OArrElwjYwWK8YohrYm</t>
  </si>
  <si>
    <t>250609996gP6HxAIalkVSudOpSHK3s</t>
  </si>
  <si>
    <t>25061099Syz7JRoXthnLiXcjEK4G4</t>
  </si>
  <si>
    <t>25061199EeSBD119xMVLTq0XjnXgu</t>
  </si>
  <si>
    <t>250612994cziOafI4qRsAz6ieBOkrN</t>
  </si>
  <si>
    <t>250613996m3HXOaThcC651C7Jf5v62</t>
  </si>
  <si>
    <t>250614993cuAuzEsagSlkyhn5i3KSb</t>
  </si>
  <si>
    <t>25061599V0hHzZKtaXEfUiZwWpiog</t>
  </si>
  <si>
    <t>250616991sDPC3uuIHZK0RsHNmn7OP</t>
  </si>
  <si>
    <t>250617993DdNDeBPmeSacHvfmsxxUr</t>
  </si>
  <si>
    <t>250618996XGsoffwVSRBo8V7Glfde9</t>
  </si>
  <si>
    <t>25061999292hhyRhavLoikTVxActi4</t>
  </si>
  <si>
    <t>25062099n1iGuW6jOiJrgkHY8B1hL</t>
  </si>
  <si>
    <t>250621993XZ7lAJzQAh7LKWsECkbf2</t>
  </si>
  <si>
    <t>250622995nk1rEfjBAB9mvUCV9PMoz</t>
  </si>
  <si>
    <t>2506239944BrBMKBWN4Wg45xgzbVzi</t>
  </si>
  <si>
    <t>250623995Q88mFhgI5qbKZpqByN6NL</t>
  </si>
  <si>
    <t>250624995VmAEENRmaHBbr7GEUVWwA</t>
  </si>
  <si>
    <t>25062599HhIfQtIEDU7JfPKfHmaGP</t>
  </si>
  <si>
    <t>250626995el4ig630nEsNRD63rsvzf</t>
  </si>
  <si>
    <t>250627992D1yWirzNiHtmzCdm7Wq8I</t>
  </si>
  <si>
    <t>250628993I8uusszco41Uyhu0XEJE3</t>
  </si>
  <si>
    <t>250629993I4IJhWq1whyMkdpNFf1Zj</t>
  </si>
  <si>
    <t>250630991RBESEDwPEAKYrMsBud02R</t>
  </si>
  <si>
    <t>250701994V09GRmDx9yBs6AHhq7RPP</t>
  </si>
  <si>
    <t>250702993QEMOHaGH6bAVz96YhPwPN</t>
  </si>
  <si>
    <t>25070399go7rkN6JvLUY07nQWYUI8</t>
  </si>
  <si>
    <t>250704994DakFQa4SEkd1veJVT203L</t>
  </si>
  <si>
    <t>250705992ShowEmHzbB7NSHEqXUU8l</t>
  </si>
  <si>
    <t>250706992k4buj39Oxp40F0NkNucL6</t>
  </si>
  <si>
    <t>250707994kCtOuaZCYz7jhkq1Pvlec</t>
  </si>
  <si>
    <t>250708997FlGXwnwqYwJkwIgtc8MBw</t>
  </si>
  <si>
    <t>250709992SAyLIHJayEshsHv2w0obT</t>
  </si>
  <si>
    <t>250710993XCwUCd9fajoNfbqV2IjMz</t>
  </si>
  <si>
    <t>2507119934VMScum0n1SC2OFHpjdSD</t>
  </si>
  <si>
    <t>250712996IZ49vTtLcrO5RjaHBqvx6</t>
  </si>
  <si>
    <t>250713994CTAu14Quy5MwyG70U5neT</t>
  </si>
  <si>
    <t>250714996PEUn5y0De4nmUpWdeujEy</t>
  </si>
  <si>
    <t>250715991uPNnE8Qnu4aD9rr3lKv26</t>
  </si>
  <si>
    <t>250716997LcscvnE7pA0BXipkkkKBD</t>
  </si>
  <si>
    <t>250717995YVhxqf95aNmh2u1Q70TVY</t>
  </si>
  <si>
    <t>25071899CDvaTKOXA5DKgReqdhOch</t>
  </si>
  <si>
    <t>25071999u2aMwqUu2qgQ3RF77JXLK</t>
  </si>
  <si>
    <t>2507209925WiK95z5NPYElH9w8ny7T</t>
  </si>
  <si>
    <t>2507219978u6tKWkMD24NE0MiIAj0V</t>
  </si>
  <si>
    <t>250722993FSIzBNrgEaCJm1rE2E85u</t>
  </si>
  <si>
    <t>25072399gZ1mMmHVhCm7ETIW5DRpu</t>
  </si>
  <si>
    <t>250724995p8pbjzJ1rCVnc5eWpz7VO</t>
  </si>
  <si>
    <t>250725992ECJOXw5NTMCbNeP6ORMXh</t>
  </si>
  <si>
    <t>250726992H4SfR9ZU3Zv4vE6ESs7ge</t>
  </si>
  <si>
    <t>250727992RBUcYeFxCpi5HTMkHGT22</t>
  </si>
  <si>
    <t>250728992qtIewK72Q1ewKC3cMO7nH</t>
  </si>
  <si>
    <t>25072999F7n7Q7flATIHPv7gNScwU</t>
  </si>
  <si>
    <t>250730993ksrsXhblwJwPbBbaZfAPl</t>
  </si>
  <si>
    <t>25073199Je1oZ2Z3fHTPY0hk6dPBD</t>
  </si>
  <si>
    <t>25080199575kt8vu6hwXja3kR864dL</t>
  </si>
  <si>
    <t>25080299z6b5JCRyglvl1Kylf8ulA</t>
  </si>
  <si>
    <t>25080399152s3kLOzRmbAnPSQhIUPa</t>
  </si>
  <si>
    <t>250804996RQqEksG4ycJTzWuCILfn5</t>
  </si>
  <si>
    <t>250805994KQL39OEkP1Zg8Iueut36U</t>
  </si>
  <si>
    <t>250806994BQH3r0Voc0HKARrbRAXyf</t>
  </si>
  <si>
    <t>25080799711p6us701EMkxevMe4873</t>
  </si>
  <si>
    <t>250808993adNMa6Q4PT2O2k886kcOQ</t>
  </si>
  <si>
    <t>250809996Shj7wL6QGNZSGwSuXQssB</t>
  </si>
  <si>
    <t>250810991AtxP3zTdHGZ2qsqZffAvg</t>
  </si>
  <si>
    <t>250811992gpmiKNcI9sJb3N8pJmO73</t>
  </si>
  <si>
    <t>25081299FuC9Yz8ba568AEimUfWXf</t>
  </si>
  <si>
    <t>250813997g1JNXS0xjgsQY0RNMz6lo</t>
  </si>
  <si>
    <t>250814996whPxUJSCzIoWAZtk7pHdd</t>
  </si>
  <si>
    <t>250815996HPt62TMMcE8jkC1PlCPBw</t>
  </si>
  <si>
    <t>250816996y2xctBlIRJ9tIbL14JAaM</t>
  </si>
  <si>
    <t>250817995D9v696IHGiGsIppN6ODvI</t>
  </si>
  <si>
    <t>250818996bspNuHqEciD5IRiAWl8wF</t>
  </si>
  <si>
    <t>250819995isHJcBQnAAOD9hE2vfaT7</t>
  </si>
  <si>
    <t>25082099fyJHmv5CX059uY98AO1FN</t>
  </si>
  <si>
    <t>250821991cfTInRZHLdMVqrM3Mtn25</t>
  </si>
  <si>
    <t>250822992mPSu9TkHHNbAF7vyMOzh1</t>
  </si>
  <si>
    <t>250823995izwYy2RgvIAlIHWkiBy2E</t>
  </si>
  <si>
    <t>250824995ysNSkojMUM6hE6tpD8bvZ</t>
  </si>
  <si>
    <t>250825993J9uNNiFVu27V4CxotKxVF</t>
  </si>
  <si>
    <t>2508269941ghArk80hb7uoV0FxvMv0</t>
  </si>
  <si>
    <t>250827993b8iwSfePHj3KWbkZZSZdW</t>
  </si>
  <si>
    <t>250828996JJKwYTd7k14HVPNcr9Ht6</t>
  </si>
  <si>
    <t>25082999tmorqj9XGTjaaMGpVqpeQ</t>
  </si>
  <si>
    <t>250830995CBRJHOedxMymWul7edeku</t>
  </si>
  <si>
    <t>25083199LCegiyr74qx9lSOMXJEKZ</t>
  </si>
  <si>
    <t>250901993E8FLTKh4zpxGa8mWPdvOT</t>
  </si>
  <si>
    <t>250902993Z267RisCmzGdkbWaFKxDT</t>
  </si>
  <si>
    <t>250903994POBKrnZrI11Cysqtrjfds</t>
  </si>
  <si>
    <t>250904996mk5f3ruE7pMQkZnVdTq4n</t>
  </si>
  <si>
    <t>25090599UNfu4sTzIIMF0jjRGsyqC</t>
  </si>
  <si>
    <t>25090699j7JpsbWrNe9KwAW9IkQPz</t>
  </si>
  <si>
    <t>2509079960mdbuEeKeHItRzR34j1bi</t>
  </si>
  <si>
    <t>250908994olMRf1b478P4ubjv3SpdG</t>
  </si>
  <si>
    <t>250909992fQFnybvhVjgtA5UJDpZ96</t>
  </si>
  <si>
    <t>25091099162uC5KMf3sxEPK5cybr1O</t>
  </si>
  <si>
    <t>25091199305XuZc8dTSi6rPXUNmkOV</t>
  </si>
  <si>
    <t>250912996ye7E0acfC3xr87rNXPIOl</t>
  </si>
  <si>
    <t>250913993LitBmZRMRT4LBblojmqyU</t>
  </si>
  <si>
    <t>25091499XjFodcUvEF0slAhvTtves</t>
  </si>
  <si>
    <t>250915992WWqs6ZeTNVJomXuUK1BcY</t>
  </si>
  <si>
    <t>25091699W7tc2AhkRubRs9SkVeZJa</t>
  </si>
  <si>
    <t>250917991raaYerT3IzlJCAChCtCfC</t>
  </si>
  <si>
    <t>250918992fNdtMdkIDVS8ZqeB1d7ma</t>
  </si>
  <si>
    <t>250919993ICd0kXm4vGAglxvlEml81</t>
  </si>
  <si>
    <t>250920994G3MRQOc3lo6o5nNg0bwUe</t>
  </si>
  <si>
    <t>250921995NwJ8VVTBlp1OMctCo3AeZ</t>
  </si>
  <si>
    <t>25092299sEjhFsKUvp1uTe62i18fD</t>
  </si>
  <si>
    <t>250922994QlbB7rgkKk0EANAljMQRO</t>
  </si>
  <si>
    <t>250923996XxfcZtJZ3HxtPo1OecUnL</t>
  </si>
  <si>
    <t>25092499llMihnNigLEETCbttzcee</t>
  </si>
  <si>
    <t>2509259932Ueueoad1lh3kB8heVD18</t>
  </si>
  <si>
    <t>250926995xdHVbVevk19bC8QK9YQhn</t>
  </si>
  <si>
    <t>25092799GZStyYyhSJUTbQQdkj4Hb</t>
  </si>
  <si>
    <t>250928992V5jFVcY8BnxqISL7RnFvi</t>
  </si>
  <si>
    <t>250929992yUKbJuTG3BWfWA9OYUmU2</t>
  </si>
  <si>
    <t>250930992BYNViMVGw2i6Q8XubnGA8</t>
  </si>
  <si>
    <t>251001994232giREKfmYkd1zfP2q23</t>
  </si>
  <si>
    <t>251002995Hk0r7HqIZhF15CWd6b2Kd</t>
  </si>
  <si>
    <t>251003991opkiV8VrtFDmn71cxWt55</t>
  </si>
  <si>
    <t>251004997b43rTjmysw5KPHh23MsLs</t>
  </si>
  <si>
    <t>251005997Jwkqpl10DeX2c6uaOVqY3</t>
  </si>
  <si>
    <t>251006994cL4iMvBHmk5PObvDEcik7</t>
  </si>
  <si>
    <t>251007994yGPSsT1jVeKCeIM85QAZG</t>
  </si>
  <si>
    <t>2510089971c2f4nvucGG5vbs3TjaSJ</t>
  </si>
  <si>
    <t>251009991eaRmYmN7GrNjd7lA3tb3e</t>
  </si>
  <si>
    <t>25101099jbJdJwnop4R59p8BPmcOe</t>
  </si>
  <si>
    <t>2510119918nijK5Gz6f8IGhOH8PYRo</t>
  </si>
  <si>
    <t>251012991nMjvxpKZm4ouq5MPgQor5</t>
  </si>
  <si>
    <t>2510139925q6dE9RMz5uHqQQmnXvlh</t>
  </si>
  <si>
    <t>25101499OoPzu6UHc63IEim0dm0HB</t>
  </si>
  <si>
    <t>251015992hPdJRctSRbkLhVyr7UhCm</t>
  </si>
  <si>
    <t>251016991FqGtcFl9J2DAsSaqtcjM5</t>
  </si>
  <si>
    <t>251017997PHqvca36wBSlAaEAN5Tp4</t>
  </si>
  <si>
    <t>251018991xkSkML8RnlBvCBIPJfdNa</t>
  </si>
  <si>
    <t>251019993a9iDDGmVw5E2xvvEscV4L</t>
  </si>
  <si>
    <t>2510209970f0pURpjhhsiMldr5bzRO</t>
  </si>
  <si>
    <t>2510219952QXIxvrne3IpBGSX2PwuE</t>
  </si>
  <si>
    <t>25102299KVrGJZRwSUnwxiYMnMXdu</t>
  </si>
  <si>
    <t>251023996D2tZV41ycpMiyHg4Vv70R</t>
  </si>
  <si>
    <t>2510249953W9cQXiV697kFsQF6zwa2</t>
  </si>
  <si>
    <t>2510259954eq7x4X73EhgceUZU9Cth</t>
  </si>
  <si>
    <t>251026991szR1mLkZO2vkznaaZnhWC</t>
  </si>
  <si>
    <t>251027994BmgvzlfcDQoIKNUEM2sMR</t>
  </si>
  <si>
    <t>251028996yAOLRBmiZAAo7VVu8qEhD</t>
  </si>
  <si>
    <t>251029991sEMxHKOtdz7DChfxwIVTT</t>
  </si>
  <si>
    <t>251030993Ljv4U4QTR73I8IyzotRrS</t>
  </si>
  <si>
    <t>251031995q1EUG8Rf24KeiHLo0M837</t>
  </si>
  <si>
    <t>25110199mMYrO16p4I8jKCNIrPFaX</t>
  </si>
  <si>
    <t>2511029950hCv7oKexsQmadmroY6yV</t>
  </si>
  <si>
    <t>251103994UaBnukr2q08G1lvi6N7mi</t>
  </si>
  <si>
    <t>25110499vLi0Yith8cHy51pXVitHe</t>
  </si>
  <si>
    <t>251105994SzMPAFfkNixWAkFv6zrt6</t>
  </si>
  <si>
    <t>2511069973Gy5YlT4Buld0IO3tZJa8</t>
  </si>
  <si>
    <t>251107994Q6CN8gz7ToTOC6J8UduP3</t>
  </si>
  <si>
    <t>2511089915Z0OCV1oOHGnHaKKx565g</t>
  </si>
  <si>
    <t>251109994dsnlQaurf0ID51U7Dz4GW</t>
  </si>
  <si>
    <t>251110997Ncmfi3jhydY19XwbBKyGi</t>
  </si>
  <si>
    <t>251111996iuYqgctDi4mxc94hMiw4l</t>
  </si>
  <si>
    <t>251112996KSwKKY3DjJBcXsYGs6wYl</t>
  </si>
  <si>
    <t>251113993kjPeBnXkgIumlLxISpPit</t>
  </si>
  <si>
    <t>25111499uZVbMFUZkTbxMdU8diFmN</t>
  </si>
  <si>
    <t>251115992ZEbfgOlfyeSLULNc57QLS</t>
  </si>
  <si>
    <t>251116993cKdk1r0Lc38R0SW2g9zhu</t>
  </si>
  <si>
    <t>251117995WSL7gVkqlaR82aHy6tA8b</t>
  </si>
  <si>
    <t>251118993U0cGaP6uFekvjz6n5TQ06</t>
  </si>
  <si>
    <t>251119992IyA4So6ArohaE7Mr4WrzV</t>
  </si>
  <si>
    <t>251120997U3qLE5BqyNv3Io6sxPdVw</t>
  </si>
  <si>
    <t>251121994NMYBrE791FQour8vPs5BC</t>
  </si>
  <si>
    <t>251122993B4UddmxN2aVHsCIwBgGqE</t>
  </si>
  <si>
    <t>2511239934eTeWdqOb7wJmFHsMEJ3U</t>
  </si>
  <si>
    <t>2511249945BFoQGMWjMAhZmswaZTmd</t>
  </si>
  <si>
    <t>251125995SEhw7Nzk0fXhP4gOik7sw</t>
  </si>
  <si>
    <t>251126993xTD1OouX41eU7qaspAa8B</t>
  </si>
  <si>
    <t>251127997UBJ5y33B70aQEuCzAOBa6</t>
  </si>
  <si>
    <t>251128993r9ZXhlxZ78OrIQfyPStqK</t>
  </si>
  <si>
    <t>251129992NEhoTWJLaYV4oG2t2ikKg</t>
  </si>
  <si>
    <t>251130996CXc2O86ErRQvUdurVxXQB</t>
  </si>
  <si>
    <t>25120199552IJDfit2r5D7xxam08MK</t>
  </si>
  <si>
    <t>251202991rFR1t6QFizhKR3vsq2UTq</t>
  </si>
  <si>
    <t>2512039918OA43tdrZmotxp3TvpMd7</t>
  </si>
  <si>
    <t>251204992hh4mUsF0lzg4HgVJCoga3</t>
  </si>
  <si>
    <t>251205995DqKfO5VGZlv23NZG6DLi4</t>
  </si>
  <si>
    <t>251206997UkzswYJ2a4GTS7SQ5YBQF</t>
  </si>
  <si>
    <t>251207995VeiWzsyIRbLTVnbxRv9x1</t>
  </si>
  <si>
    <t>251208991oxetxZVOJxuLHHNkWEYB2</t>
  </si>
  <si>
    <t>251209993UmVPigoOfTG9bF2NTgWCd</t>
  </si>
  <si>
    <t>251210992YMkEcSzTanuh78pfGJUL4</t>
  </si>
  <si>
    <t>251211991CQzng7uQdJfYB2sH8RZ63</t>
  </si>
  <si>
    <t>251212991hBF6thDqcJ3yesPWgCl7s</t>
  </si>
  <si>
    <t>251213996fsAnhsxgLckqlxPB5zk4L</t>
  </si>
  <si>
    <t>251214991zZAtiIacdUEgT9J7ZgJdE</t>
  </si>
  <si>
    <t>25121599ZoyNoff5nVSXWzSdLRSM2</t>
  </si>
  <si>
    <t>251216994cgt2gs9OEgfINLqyAn1W</t>
  </si>
  <si>
    <t>251217993BBNfRpgaIeYIa2s4MuZoZ</t>
  </si>
  <si>
    <t>251218996hZm23mmRaefuq2TXw6Zpc</t>
  </si>
  <si>
    <t>251219991NreSe2susAqeuXODCKn44</t>
  </si>
  <si>
    <t>251220991HReMgi5x0pplg2MxMo8If</t>
  </si>
  <si>
    <t>2512219917u4E0FW4G7xz13hMKl18z</t>
  </si>
  <si>
    <t>251222996hsFVtUx5b9LtAMFeFYFhh</t>
  </si>
  <si>
    <t>251223991UkOaYHE4DH8uogy1srCI7</t>
  </si>
  <si>
    <t>251224991XIzmLGtutKMV22XC7agA8</t>
  </si>
  <si>
    <t>251225996B0Gjmn3uhqX5jb2yhrV6O</t>
  </si>
  <si>
    <t>2512269948ICmYCrXiTht7E9P0XO2n</t>
  </si>
  <si>
    <t>2512279910c8hWWIE9cF9gMV992o4E</t>
  </si>
  <si>
    <t>251228995K2HPycxk6j0ZwbaAi5Puo</t>
  </si>
  <si>
    <t>251229991JkUe3QZ3U9rdXzcgpdsK8</t>
  </si>
  <si>
    <t>251230991lj21b4O6QTN45edZd4W4S</t>
  </si>
  <si>
    <t>251231994YewNuXSvsZq3vljjtslLO</t>
  </si>
  <si>
    <t>260101997TBV5rgaKlpEpUkXEnMwf5</t>
  </si>
  <si>
    <t>260102992g3tvoiqByPETzB4W9X5Qi</t>
  </si>
  <si>
    <t>260102995hUYE3DAn1If6d2IzBAjs0</t>
  </si>
  <si>
    <t>260103994OLkLz5p2q6eLrSsUpVNpQ</t>
  </si>
  <si>
    <t>260104994uVWaiOS4F2UD59ZGf0prS</t>
  </si>
  <si>
    <t>260105994H6WPe4zXIEtly9fMBrAAI</t>
  </si>
  <si>
    <t>260106991JUKEMXsocIIyfgZxMBpky</t>
  </si>
  <si>
    <t>260107994A1GoL6NlMkGAuV15tpnVn</t>
  </si>
  <si>
    <t>260108992DYjntrJT9nN4v2lNm2h9Q</t>
  </si>
  <si>
    <t>260109995RjX63BVtiF9YSmnizATY7</t>
  </si>
  <si>
    <t>260110997NTzf3ANmPapOeXNrsAStK</t>
  </si>
  <si>
    <t>260111997IYTO64Q6PoqeuYvnn5eMY</t>
  </si>
  <si>
    <t>260112992O3RhOOE00dOrIN8YV5g02</t>
  </si>
  <si>
    <t>26011399EhEFKM4mNBAG5nHN1tUF8</t>
  </si>
  <si>
    <t>260114992YtB0hCH75ZRDLEJCDRzhq</t>
  </si>
  <si>
    <t>260115991GVaFsPjh39GUnjNpIhYqq</t>
  </si>
  <si>
    <t>260116994Roew4GdkLd2WP0jUofEnh</t>
  </si>
  <si>
    <t>260117991nwr5kkkOCLQYXkpnHXW5n</t>
  </si>
  <si>
    <t>260118993i0bEQk2VA8FztDA3FQIQg</t>
  </si>
  <si>
    <t>260119996VRzmFSvGlO7XwWhTE23GJ</t>
  </si>
  <si>
    <t>2601209951Kin511jxtq1YCJ5DLhZr</t>
  </si>
  <si>
    <t>260121993QmQjYFN9thU6fBuZifxQj</t>
  </si>
  <si>
    <t>260122993Exox3yaMGB8wRar3Rirjj</t>
  </si>
  <si>
    <t>260123993iORVxWdZUAsjSX6PwbqWn</t>
  </si>
  <si>
    <t>260124993U62GZ5Poa2TsNlohXtzY5</t>
  </si>
  <si>
    <t>2601259975uXq0S3JyWce4H2GObZYN</t>
  </si>
  <si>
    <t>2601269938BQ3fJMs50GHao1Yaljip</t>
  </si>
  <si>
    <t>260127995FXDDfIkWE2M7H1jZyTDnI</t>
  </si>
  <si>
    <t>260128993QdciACscL7MwuU2iq3Eih</t>
  </si>
  <si>
    <t>260129993GSaIsYEn27BSp75qZtnLw</t>
  </si>
  <si>
    <t>260130991gYOR1D0pk6kJWbuW8vXNI</t>
  </si>
  <si>
    <t>260131994O18MRBkgWlXJDt3a3415</t>
  </si>
  <si>
    <t>260201994MD7ADClLm7HKpwfeWXCzX</t>
  </si>
  <si>
    <t>260202994kizhlvpQd8txVqoPAkEDQ</t>
  </si>
  <si>
    <t>260203992AhpUDMC1W8XBLXwLDz6ZS</t>
  </si>
  <si>
    <t>2602049919chDln28nLCU0tfrhjSDJ</t>
  </si>
  <si>
    <t>260205993hUPn2FgnUojSbLSgLzsqa</t>
  </si>
  <si>
    <t>260206994rqTN3X7HI6Z7dIZHmKhhx</t>
  </si>
  <si>
    <t>26020799zHZtQAsdrpS6gXRhIxc9y</t>
  </si>
  <si>
    <t>260208994DzChu3BFZCvh5xM2KdSSm</t>
  </si>
  <si>
    <t>2602099945JpeR5Yh8JfMkPdGXZjbw</t>
  </si>
  <si>
    <t>260210995oVDzL7jbYOIrjcV1OJ9ms</t>
  </si>
  <si>
    <t>2602119960ae6VOlrc7GApDaUZqcbV</t>
  </si>
  <si>
    <t>260212992uMDFRY8V0E1z9ZfZtmZdt</t>
  </si>
  <si>
    <t>2602139959xsTzuMT1rGv3JFBmzG1K</t>
  </si>
  <si>
    <t>26021499x7eZWfxTZDK7Kyi3zjEtk</t>
  </si>
  <si>
    <t>2602159964FrEsZ4MV1SBi0wJ8Qe0d</t>
  </si>
  <si>
    <t>260216992zews7bYbdlA8DClwPShqB</t>
  </si>
  <si>
    <t>260217994APKNrnkFGApSEKI10G5z7</t>
  </si>
  <si>
    <t>260218994vygBxolrKRV43biDOhT6T</t>
  </si>
  <si>
    <t>26021999OGjXEAGotKNOACXS57i7G</t>
  </si>
  <si>
    <t>260220995xoRgDRC7flAu5ZerSfpSX</t>
  </si>
  <si>
    <t>260221991D1K245j1v3Talt1g3MOQY</t>
  </si>
  <si>
    <t>260222992tf4wMHalIprpakE689yBc</t>
  </si>
  <si>
    <t>260223996psQ77fVeJASFNvnqDy5cu</t>
  </si>
  <si>
    <t>26022499Hnkcb9BsqNQrOZO4Vck8w</t>
  </si>
  <si>
    <t>26022599hcT04L8C76ZVntUrMivCd</t>
  </si>
  <si>
    <t>260226997bSomoyf6QIbxUDd6Hd8cS</t>
  </si>
  <si>
    <t>26022799UeSukpLHv7QvkiRVz2jdl</t>
  </si>
  <si>
    <t>260228993T2L1bcPxPZSwwsgL0zXpg</t>
  </si>
  <si>
    <t>260301995f5jiJvDZCrW76a7uveqg5</t>
  </si>
  <si>
    <t>2603029941NlHrQqKo3PeyRVPKzxl8</t>
  </si>
  <si>
    <t>26030399508Jef30peUiOTxwPZsjco</t>
  </si>
  <si>
    <t>260304993oM2OSplbzlqz1lqKGHwP5</t>
  </si>
  <si>
    <t>260305997TlDpk0eT7wPFhwY2ldnMr</t>
  </si>
  <si>
    <t>260306994H9jdAtXmNSEbaau4hf2rV</t>
  </si>
  <si>
    <t>260307997IicgyqyKQm1kzl5fEBc9i</t>
  </si>
  <si>
    <t>Net Flow</t>
  </si>
  <si>
    <t>WALLET TRANSACTIONS</t>
  </si>
  <si>
    <t>PERFORMANCE DASHBOARD</t>
  </si>
  <si>
    <t>Tobechukwu Daniel Ezeuko  •  OPay Acc: 8144409727  •  Feb 2025 – Mar 2026</t>
  </si>
  <si>
    <t>14 Months  •  1,937 Transactions  •  ₦13.9M Total Volume</t>
  </si>
  <si>
    <t>TOTAL DEBITS</t>
  </si>
  <si>
    <t>TOTAL CREDITS</t>
  </si>
  <si>
    <t>NET FLOW</t>
  </si>
  <si>
    <t>AVG MONTHLY VOLUME</t>
  </si>
  <si>
    <t>debit surplus</t>
  </si>
  <si>
    <t>Debits</t>
  </si>
  <si>
    <t>Credits</t>
  </si>
  <si>
    <t>Debit Category</t>
  </si>
  <si>
    <t>Amount</t>
  </si>
  <si>
    <t>Credit Category</t>
  </si>
  <si>
    <t>Monthly Cash Flow Trend</t>
  </si>
  <si>
    <t>Debits vs Credits over 14 months</t>
  </si>
  <si>
    <t>Transaction Volume</t>
  </si>
  <si>
    <t>Monthly transaction count</t>
  </si>
  <si>
    <t>Spending Breakdown</t>
  </si>
  <si>
    <t>Debit categories by amount</t>
  </si>
  <si>
    <t>Income Sources</t>
  </si>
  <si>
    <t>Credit categories by amount</t>
  </si>
  <si>
    <t>Avg Debit/Tx</t>
  </si>
  <si>
    <t>Debit vs Credit Comparison</t>
  </si>
  <si>
    <t>Monthly inflows vs outflows (₦)</t>
  </si>
  <si>
    <t>Cumulative Cash Flow</t>
  </si>
  <si>
    <t>Running total of debits vs credits (₦)</t>
  </si>
  <si>
    <t>Recipient</t>
  </si>
  <si>
    <t>Total (₦)</t>
  </si>
  <si>
    <t>T.D. Ezeuko</t>
  </si>
  <si>
    <t>F.C. Anekwe</t>
  </si>
  <si>
    <t>O. Moses</t>
  </si>
  <si>
    <t>E.S. Ehiremhen</t>
  </si>
  <si>
    <t>O. Rafiu</t>
  </si>
  <si>
    <t>A.B. Emmanson</t>
  </si>
  <si>
    <t>M.B. Isah</t>
  </si>
  <si>
    <t>E.E. Christopher</t>
  </si>
  <si>
    <t>J.A. Okechukwu</t>
  </si>
  <si>
    <t>B.A. Rufai</t>
  </si>
  <si>
    <t xml:space="preserve">OPAY FINANCIAL STATEMENT </t>
  </si>
  <si>
    <t>ACCOUNT OVERVIEW</t>
  </si>
  <si>
    <t>WALLET — MONTHLY TRANSACTION SUMMARY</t>
  </si>
  <si>
    <t>SAVINGS — MONTHLY TRANSACTION SUMMARY</t>
  </si>
  <si>
    <t>WALLET — SPEND BREAKDOWN BY CATEGORY</t>
  </si>
  <si>
    <t xml:space="preserve"> </t>
  </si>
  <si>
    <r>
      <t>PROJECT README</t>
    </r>
    <r>
      <rPr>
        <sz val="11"/>
        <color theme="1"/>
        <rFont val="Calibri"/>
        <family val="2"/>
        <scheme val="minor"/>
      </rPr>
      <t xml:space="preserve"> OPay Personal Financial Analytics Dashboard Tobechukwu Daniel Ezeuko</t>
    </r>
  </si>
  <si>
    <t>ABOUT THIS PROJECT</t>
  </si>
  <si>
    <t>This project is a personal financial analytics dashboard built from a raw OPay bank statement covering 14 months of real transaction data. It was designed as a portfolio project to demonstrate practical data skills — from raw data cleaning to insight generation and dashboard presentation.</t>
  </si>
  <si>
    <t>The goal was simple: take an unstructured PDF bank statement, convert it into a structured dataset, and extract meaningful patterns about personal financial behaviour.</t>
  </si>
  <si>
    <t>DATA SOURCE</t>
  </si>
  <si>
    <t>Source: OPay Digital Services Limited — Personal Account Statement Account Name: Tobechukwu Daniel Ezeuko Account Number: 8144409727 Period Covered: 01 February 2025 – 07 March 2026 Data Type: Real personal transaction data (sanitized for portfolio use)</t>
  </si>
  <si>
    <t>SCOPE OF ANALYSIS</t>
  </si>
  <si>
    <t>Two accounts were analyzed:</t>
  </si>
  <si>
    <t>1. Wallet Account — Primary transaction account used for daily transfers, payments, and spending</t>
  </si>
  <si>
    <t>2. Savings Account (OWealth) — Linked savings and investment account with daily interest accruals</t>
  </si>
  <si>
    <t>Combined, the dataset covers 3,003 transactions and approximately ₦13.9 million in total transaction volume across 14 months.</t>
  </si>
  <si>
    <t>TOOLS USED</t>
  </si>
  <si>
    <t>Microsoft Excel — full project built entirely in Excel</t>
  </si>
  <si>
    <t>Data cleaning and structuring</t>
  </si>
  <si>
    <t>Transaction categorization (manual + formula-based)</t>
  </si>
  <si>
    <t>Pivot tables for aggregation</t>
  </si>
  <si>
    <t>Month-by-month summary tables</t>
  </si>
  <si>
    <t>Multi-section dashboard layout with KPI cards, trend tables, and category breakdowns</t>
  </si>
  <si>
    <t>WORKBOOK STRUCTURE</t>
  </si>
  <si>
    <t>Sheet</t>
  </si>
  <si>
    <t>Dashboard</t>
  </si>
  <si>
    <t>Visual summary — KPI cards, monthly trends, spending and income breakdowns, top recipients</t>
  </si>
  <si>
    <t>Summary</t>
  </si>
  <si>
    <t>Consolidated monthly figures for both wallet and savings accounts</t>
  </si>
  <si>
    <t>Wallet Transactions</t>
  </si>
  <si>
    <t>Full cleaned transaction log for the OPay Wallet account (1,937 rows)</t>
  </si>
  <si>
    <t>Savings Transactions</t>
  </si>
  <si>
    <t>Full cleaned transaction log for the OWealth Savings account (1,066 rows)</t>
  </si>
  <si>
    <t>README</t>
  </si>
  <si>
    <t>Project documentation (this sheet)</t>
  </si>
  <si>
    <t>KEY METRICS</t>
  </si>
  <si>
    <t>Value</t>
  </si>
  <si>
    <t>Total Period</t>
  </si>
  <si>
    <t>14 months</t>
  </si>
  <si>
    <t>Total Volume (Wallet)</t>
  </si>
  <si>
    <t>₦13,933,660.08</t>
  </si>
  <si>
    <t>Total Debits (Wallet)</t>
  </si>
  <si>
    <t>₦6,970,809.54</t>
  </si>
  <si>
    <t>Total Credits (Wallet)</t>
  </si>
  <si>
    <t>₦6,962,850.54</t>
  </si>
  <si>
    <t>Net Cash Flow (Wallet)</t>
  </si>
  <si>
    <t>-₦7,959.00</t>
  </si>
  <si>
    <t>Average Monthly Volume</t>
  </si>
  <si>
    <t>~₦995,261</t>
  </si>
  <si>
    <t>Average Transactions/Month</t>
  </si>
  <si>
    <t>~138</t>
  </si>
  <si>
    <t>Savings Closing Balance</t>
  </si>
  <si>
    <t>₦31,514.84</t>
  </si>
  <si>
    <t>Interest Earned (OWealth)</t>
  </si>
  <si>
    <t>₦3,172+</t>
  </si>
  <si>
    <t>CATEGORIES USED</t>
  </si>
  <si>
    <t>Debit Categories: Transfer Out, OWealth (savings deposit), POS, Payment, Airtime/Data, Other</t>
  </si>
  <si>
    <t>Credit Categories: Transfer In, OWealth (savings return), Transfer Out (reversals), Reversal</t>
  </si>
  <si>
    <t>Categories were assigned based on transaction description keywords and manually reviewed for accuracy.</t>
  </si>
  <si>
    <t>KEY FINDINGS</t>
  </si>
  <si>
    <t>1. The wallet functions primarily as a transit account — from May 2025 onward, net monthly cash flow was consistently ₦0, indicating money moves through rather than accumulates.</t>
  </si>
  <si>
    <t>2. Outward transfers to other people represent 53.9% of all debit spending — the dominant financial behaviour across the period.</t>
  </si>
  <si>
    <t>3. Over ₦1 million was transferred to the account holder's own external bank accounts, reflecting deliberate fund distribution across multiple accounts.</t>
  </si>
  <si>
    <t>4. June 2025 was the most active month with 248 transactions (nearly 8 per day). May 2025 recorded the highest transaction volume at ₦1.54 million.</t>
  </si>
  <si>
    <t>5. The OWealth savings account, opened in April 2025, demonstrates a consistent savings habit maintained across all 14 months despite modest balances.</t>
  </si>
  <si>
    <t>ANALYST NOTE</t>
  </si>
  <si>
    <t>This project was intentionally built on personal data to demonstrate that meaningful financial analysis does not require organizational datasets or expensive tools. A mobile banking statement, Excel, and analytical thinking are sufficient to generate decision-relevant insights.</t>
  </si>
  <si>
    <t>The same methodology applied here — data structuring, categorization, pattern detection, and narrative framing — translates directly to organizational and public finance contexts.</t>
  </si>
  <si>
    <t>CONTACT</t>
  </si>
  <si>
    <t>Tobechukwu Daniel Ezeuko Policy &amp;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</si>
</sst>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\ hh:mm"/>
    <numFmt numFmtId="165" formatCode="dd\-mmm\-yyyy"/>
    <numFmt numFmtId="166" formatCode="\₦#,##0"/>
    <numFmt numFmtId="167" formatCode="\₦#,##0;\(\₦#,##0\);\-"/>
  </numFmts>
  <fonts count="23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name val="Arial"/>
    </font>
    <font>
      <b/>
      <sz val="11"/>
      <color rgb="FFFFFFFF"/>
      <name val="Arial"/>
    </font>
    <font>
      <b/>
      <sz val="10"/>
      <name val="Arial"/>
    </font>
    <font>
      <sz val="9"/>
      <name val="Arial"/>
    </font>
    <font>
      <sz val="9"/>
      <color rgb="FFC0392B"/>
      <name val="Arial"/>
    </font>
    <font>
      <sz val="9"/>
      <color rgb="FF1E8449"/>
      <name val="Arial"/>
    </font>
    <font>
      <b/>
      <sz val="10"/>
      <color rgb="FFFFFFFF"/>
      <name val="Arial"/>
    </font>
    <font>
      <sz val="11"/>
      <color rgb="FFFFFFFF"/>
      <name val="Calibri"/>
      <family val="2"/>
      <scheme val="minor"/>
    </font>
    <font>
      <b/>
      <sz val="22"/>
      <color rgb="FFFFFFFF"/>
      <name val="Segoe UI"/>
    </font>
    <font>
      <sz val="9"/>
      <color rgb="FF999999"/>
      <name val="Segoe UI"/>
    </font>
    <font>
      <sz val="9"/>
      <color rgb="FF777777"/>
      <name val="Segoe UI"/>
    </font>
    <font>
      <b/>
      <sz val="8"/>
      <color rgb="FF999999"/>
      <name val="Segoe UI"/>
    </font>
    <font>
      <b/>
      <sz val="20"/>
      <color rgb="FF1A1A1A"/>
      <name val="Segoe UI"/>
    </font>
    <font>
      <b/>
      <sz val="20"/>
      <color rgb="FFC8A951"/>
      <name val="Segoe UI"/>
    </font>
    <font>
      <sz val="8"/>
      <color rgb="FFAAAAAA"/>
      <name val="Segoe UI"/>
    </font>
    <font>
      <b/>
      <sz val="11"/>
      <color rgb="FF1A1A1A"/>
      <name val="Segoe UI"/>
    </font>
    <font>
      <b/>
      <sz val="9"/>
      <color rgb="FFC8A951"/>
      <name val="Segoe UI"/>
    </font>
    <font>
      <sz val="9"/>
      <color rgb="FFFFFFFF"/>
      <name val="Segoe UI"/>
    </font>
    <font>
      <i/>
      <sz val="8"/>
      <color rgb="FF666666"/>
      <name val="Segoe UI"/>
    </font>
    <font>
      <b/>
      <sz val="11"/>
      <color theme="1"/>
      <name val="Calibri"/>
      <family val="2"/>
      <scheme val="minor"/>
    </font>
    <font>
      <b/>
      <sz val="22"/>
      <color rgb="FFC8A95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AED6F1"/>
      </patternFill>
    </fill>
    <fill>
      <patternFill patternType="solid">
        <fgColor rgb="FFEBF5FB"/>
      </patternFill>
    </fill>
    <fill>
      <patternFill patternType="solid">
        <fgColor rgb="FFFFFFFF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C8A95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/>
      <bottom style="medium">
        <color rgb="FFC8A951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medium">
        <color rgb="FFC8A951"/>
      </bottom>
      <diagonal/>
    </border>
    <border>
      <left/>
      <right/>
      <top/>
      <bottom style="thin">
        <color rgb="FFE8E8E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5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right" vertical="center"/>
    </xf>
    <xf numFmtId="4" fontId="7" fillId="4" borderId="1" xfId="0" applyNumberFormat="1" applyFont="1" applyFill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6" fillId="5" borderId="0" xfId="0" applyFont="1" applyFill="1"/>
    <xf numFmtId="0" fontId="17" fillId="5" borderId="0" xfId="0" applyFont="1" applyFill="1"/>
    <xf numFmtId="0" fontId="0" fillId="5" borderId="8" xfId="0" applyFill="1" applyBorder="1"/>
    <xf numFmtId="0" fontId="18" fillId="6" borderId="0" xfId="0" applyFont="1" applyFill="1"/>
    <xf numFmtId="0" fontId="19" fillId="6" borderId="0" xfId="0" applyFont="1" applyFill="1"/>
    <xf numFmtId="3" fontId="19" fillId="6" borderId="0" xfId="0" applyNumberFormat="1" applyFont="1" applyFill="1"/>
    <xf numFmtId="0" fontId="20" fillId="6" borderId="0" xfId="0" applyFont="1" applyFill="1"/>
    <xf numFmtId="0" fontId="16" fillId="8" borderId="4" xfId="0" applyFont="1" applyFill="1" applyBorder="1" applyAlignment="1">
      <alignment horizontal="center"/>
    </xf>
    <xf numFmtId="0" fontId="16" fillId="8" borderId="7" xfId="0" applyFont="1" applyFill="1" applyBorder="1" applyAlignment="1">
      <alignment horizontal="center"/>
    </xf>
    <xf numFmtId="0" fontId="10" fillId="6" borderId="0" xfId="0" applyFont="1" applyFill="1" applyAlignment="1">
      <alignment horizontal="left"/>
    </xf>
    <xf numFmtId="0" fontId="0" fillId="0" borderId="0" xfId="0"/>
    <xf numFmtId="0" fontId="11" fillId="6" borderId="0" xfId="0" applyFont="1" applyFill="1"/>
    <xf numFmtId="0" fontId="12" fillId="6" borderId="0" xfId="0" applyFont="1" applyFill="1" applyAlignment="1">
      <alignment horizontal="right"/>
    </xf>
    <xf numFmtId="166" fontId="14" fillId="8" borderId="3" xfId="0" applyNumberFormat="1" applyFont="1" applyFill="1" applyBorder="1" applyAlignment="1">
      <alignment horizontal="center"/>
    </xf>
    <xf numFmtId="166" fontId="14" fillId="8" borderId="6" xfId="0" applyNumberFormat="1" applyFont="1" applyFill="1" applyBorder="1" applyAlignment="1">
      <alignment horizontal="center"/>
    </xf>
    <xf numFmtId="167" fontId="15" fillId="8" borderId="3" xfId="0" applyNumberFormat="1" applyFont="1" applyFill="1" applyBorder="1" applyAlignment="1">
      <alignment horizontal="center"/>
    </xf>
    <xf numFmtId="167" fontId="15" fillId="8" borderId="6" xfId="0" applyNumberFormat="1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9" borderId="0" xfId="0" applyFill="1"/>
    <xf numFmtId="0" fontId="22" fillId="6" borderId="0" xfId="0" applyFont="1" applyFill="1" applyAlignment="1">
      <alignment horizontal="right"/>
    </xf>
    <xf numFmtId="0" fontId="21" fillId="0" borderId="0" xfId="0" applyFont="1"/>
    <xf numFmtId="0" fontId="0" fillId="0" borderId="0" xfId="0" applyAlignment="1">
      <alignment horizontal="left" vertical="center" inden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C8A951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TOP 10 TRANSFER RECIPIENTS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C8A951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Dashboard!$AD$1</c:f>
              <c:strCache>
                <c:ptCount val="1"/>
                <c:pt idx="0">
                  <c:v>Total (₦)</c:v>
                </c:pt>
              </c:strCache>
            </c:strRef>
          </c:tx>
          <c:spPr>
            <a:solidFill>
              <a:srgbClr val="C8A951"/>
            </a:solidFill>
            <a:ln>
              <a:noFill/>
            </a:ln>
            <a:effectLst/>
          </c:spPr>
          <c:invertIfNegative val="0"/>
          <c:dLbls>
            <c:numFmt formatCode="\₦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Dashboard!$AC$2:$AC$11</c:f>
              <c:strCache>
                <c:ptCount val="10"/>
                <c:pt idx="0">
                  <c:v>T.D. Ezeuko</c:v>
                </c:pt>
                <c:pt idx="1">
                  <c:v>F.C. Anekwe</c:v>
                </c:pt>
                <c:pt idx="2">
                  <c:v>O. Moses</c:v>
                </c:pt>
                <c:pt idx="3">
                  <c:v>E.S. Ehiremhen</c:v>
                </c:pt>
                <c:pt idx="4">
                  <c:v>O. Rafiu</c:v>
                </c:pt>
                <c:pt idx="5">
                  <c:v>A.B. Emmanson</c:v>
                </c:pt>
                <c:pt idx="6">
                  <c:v>M.B. Isah</c:v>
                </c:pt>
                <c:pt idx="7">
                  <c:v>E.E. Christopher</c:v>
                </c:pt>
                <c:pt idx="8">
                  <c:v>J.A. Okechukwu</c:v>
                </c:pt>
                <c:pt idx="9">
                  <c:v>B.A. Rufai</c:v>
                </c:pt>
              </c:strCache>
            </c:strRef>
          </c:cat>
          <c:val>
            <c:numRef>
              <c:f>Dashboard!$AD$2:$AD$11</c:f>
              <c:numCache>
                <c:formatCode>#,##0</c:formatCode>
                <c:ptCount val="10"/>
                <c:pt idx="0">
                  <c:v>1015745</c:v>
                </c:pt>
                <c:pt idx="1">
                  <c:v>823710</c:v>
                </c:pt>
                <c:pt idx="2">
                  <c:v>150000</c:v>
                </c:pt>
                <c:pt idx="3">
                  <c:v>84000</c:v>
                </c:pt>
                <c:pt idx="4">
                  <c:v>79000</c:v>
                </c:pt>
                <c:pt idx="5">
                  <c:v>74000</c:v>
                </c:pt>
                <c:pt idx="6">
                  <c:v>45000</c:v>
                </c:pt>
                <c:pt idx="7">
                  <c:v>43000</c:v>
                </c:pt>
                <c:pt idx="8">
                  <c:v>31500</c:v>
                </c:pt>
                <c:pt idx="9">
                  <c:v>30010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E-4495-BBF3-4448637BE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424600000"/>
        <c:axId val="1424595680"/>
      </c:barChart>
      <c:catAx>
        <c:axId val="1424600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424595680"/>
        <c:crosses val="autoZero"/>
        <c:auto val="1"/>
        <c:lblAlgn val="ctr"/>
        <c:lblOffset val="100"/>
        <c:noMultiLvlLbl val="0"/>
      </c:catAx>
      <c:valAx>
        <c:axId val="14245956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333333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424600000"/>
        <c:crosses val="autoZero"/>
        <c:crossBetween val="between"/>
      </c:valAx>
      <c:spPr>
        <a:solidFill>
          <a:srgbClr val="1A1A1A"/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Monthly Cash Flow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FFFFF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Dashboard!$AI$1</c:f>
              <c:strCache>
                <c:ptCount val="1"/>
                <c:pt idx="0">
                  <c:v>Debits</c:v>
                </c:pt>
              </c:strCache>
            </c:strRef>
          </c:tx>
          <c:spPr>
            <a:ln w="25400" cap="rnd">
              <a:solidFill>
                <a:srgbClr val="FF6B6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B6B"/>
              </a:solidFill>
              <a:ln w="9525">
                <a:solidFill>
                  <a:srgbClr val="FF6B6B"/>
                </a:solidFill>
                <a:prstDash val="solid"/>
              </a:ln>
              <a:effectLst/>
            </c:spPr>
          </c:marker>
          <c:cat>
            <c:strRef>
              <c:f>Dashboard!$AH$2:$AH$15</c:f>
              <c:strCache>
                <c:ptCount val="14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</c:strCache>
            </c:strRef>
          </c:cat>
          <c:val>
            <c:numRef>
              <c:f>Dashboard!$AI$2:$AI$15</c:f>
              <c:numCache>
                <c:formatCode>General</c:formatCode>
                <c:ptCount val="14"/>
                <c:pt idx="0">
                  <c:v>122020</c:v>
                </c:pt>
                <c:pt idx="1">
                  <c:v>158665</c:v>
                </c:pt>
                <c:pt idx="2">
                  <c:v>82769</c:v>
                </c:pt>
                <c:pt idx="3">
                  <c:v>1541451.58</c:v>
                </c:pt>
                <c:pt idx="4">
                  <c:v>741651</c:v>
                </c:pt>
                <c:pt idx="5">
                  <c:v>295507.5</c:v>
                </c:pt>
                <c:pt idx="6">
                  <c:v>220352</c:v>
                </c:pt>
                <c:pt idx="7">
                  <c:v>548023.5</c:v>
                </c:pt>
                <c:pt idx="8">
                  <c:v>527086</c:v>
                </c:pt>
                <c:pt idx="9">
                  <c:v>384460</c:v>
                </c:pt>
                <c:pt idx="10">
                  <c:v>993216.96</c:v>
                </c:pt>
                <c:pt idx="11">
                  <c:v>712898</c:v>
                </c:pt>
                <c:pt idx="12">
                  <c:v>580597</c:v>
                </c:pt>
                <c:pt idx="13">
                  <c:v>65112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E-441D-B4BF-88C7B3143355}"/>
            </c:ext>
          </c:extLst>
        </c:ser>
        <c:ser>
          <c:idx val="1"/>
          <c:order val="1"/>
          <c:tx>
            <c:strRef>
              <c:f>Dashboard!$AJ$1</c:f>
              <c:strCache>
                <c:ptCount val="1"/>
                <c:pt idx="0">
                  <c:v>Credits</c:v>
                </c:pt>
              </c:strCache>
            </c:strRef>
          </c:tx>
          <c:spPr>
            <a:ln w="25400" cap="rnd">
              <a:solidFill>
                <a:srgbClr val="4CAF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CAF50"/>
              </a:solidFill>
              <a:ln w="9525">
                <a:solidFill>
                  <a:srgbClr val="4CAF50"/>
                </a:solidFill>
                <a:prstDash val="solid"/>
              </a:ln>
              <a:effectLst/>
            </c:spPr>
          </c:marker>
          <c:cat>
            <c:strRef>
              <c:f>Dashboard!$AH$2:$AH$15</c:f>
              <c:strCache>
                <c:ptCount val="14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</c:strCache>
            </c:strRef>
          </c:cat>
          <c:val>
            <c:numRef>
              <c:f>Dashboard!$AJ$2:$AJ$15</c:f>
              <c:numCache>
                <c:formatCode>General</c:formatCode>
                <c:ptCount val="14"/>
                <c:pt idx="0">
                  <c:v>222000</c:v>
                </c:pt>
                <c:pt idx="1">
                  <c:v>56000</c:v>
                </c:pt>
                <c:pt idx="2">
                  <c:v>76495</c:v>
                </c:pt>
                <c:pt idx="3">
                  <c:v>1541451.58</c:v>
                </c:pt>
                <c:pt idx="4">
                  <c:v>741651</c:v>
                </c:pt>
                <c:pt idx="5">
                  <c:v>295507.5</c:v>
                </c:pt>
                <c:pt idx="6">
                  <c:v>218352</c:v>
                </c:pt>
                <c:pt idx="7">
                  <c:v>548023.5</c:v>
                </c:pt>
                <c:pt idx="8">
                  <c:v>527086</c:v>
                </c:pt>
                <c:pt idx="9">
                  <c:v>384460</c:v>
                </c:pt>
                <c:pt idx="10">
                  <c:v>993216.96</c:v>
                </c:pt>
                <c:pt idx="11">
                  <c:v>712898</c:v>
                </c:pt>
                <c:pt idx="12">
                  <c:v>580597</c:v>
                </c:pt>
                <c:pt idx="13">
                  <c:v>65112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E-441D-B4BF-88C7B3143355}"/>
            </c:ext>
          </c:extLst>
        </c:ser>
        <c:ser>
          <c:idx val="2"/>
          <c:order val="2"/>
          <c:tx>
            <c:strRef>
              <c:f>Dashboard!$AK$1</c:f>
              <c:strCache>
                <c:ptCount val="1"/>
                <c:pt idx="0">
                  <c:v>Net Flow</c:v>
                </c:pt>
              </c:strCache>
            </c:strRef>
          </c:tx>
          <c:spPr>
            <a:ln w="25400" cap="rnd">
              <a:solidFill>
                <a:srgbClr val="C8A951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C8A951"/>
              </a:solidFill>
              <a:ln w="9525">
                <a:solidFill>
                  <a:srgbClr val="C8A951"/>
                </a:solidFill>
                <a:prstDash val="solid"/>
              </a:ln>
              <a:effectLst/>
            </c:spPr>
          </c:marker>
          <c:cat>
            <c:strRef>
              <c:f>Dashboard!$AH$2:$AH$15</c:f>
              <c:strCache>
                <c:ptCount val="14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</c:strCache>
            </c:strRef>
          </c:cat>
          <c:val>
            <c:numRef>
              <c:f>Dashboard!$AK$2:$AK$15</c:f>
              <c:numCache>
                <c:formatCode>General</c:formatCode>
                <c:ptCount val="14"/>
                <c:pt idx="0">
                  <c:v>99980</c:v>
                </c:pt>
                <c:pt idx="1">
                  <c:v>-102665</c:v>
                </c:pt>
                <c:pt idx="2">
                  <c:v>-6274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7E-441D-B4BF-88C7B3143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628064"/>
        <c:axId val="1514617984"/>
      </c:lineChart>
      <c:catAx>
        <c:axId val="151462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999999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514617984"/>
        <c:crosses val="autoZero"/>
        <c:auto val="1"/>
        <c:lblAlgn val="ctr"/>
        <c:lblOffset val="100"/>
        <c:noMultiLvlLbl val="0"/>
      </c:catAx>
      <c:valAx>
        <c:axId val="15146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33333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99999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514628064"/>
        <c:crosses val="autoZero"/>
        <c:crossBetween val="between"/>
      </c:valAx>
      <c:spPr>
        <a:solidFill>
          <a:srgbClr val="1A1A1A"/>
        </a:solidFill>
        <a:ln w="25400">
          <a:noFill/>
        </a:ln>
        <a:effectLst/>
      </c:spPr>
    </c:plotArea>
    <c:legend>
      <c:legendPos val="b"/>
      <c:overlay val="0"/>
      <c:spPr>
        <a:solidFill>
          <a:srgbClr val="1A1A1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CCCCCC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Spending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FFFFF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Dashboard!$AM$1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C8A9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A3-4F44-BA8A-B76399134310}"/>
              </c:ext>
            </c:extLst>
          </c:dPt>
          <c:dPt>
            <c:idx val="1"/>
            <c:bubble3D val="0"/>
            <c:spPr>
              <a:solidFill>
                <a:srgbClr val="FF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2A3-4F44-BA8A-B76399134310}"/>
              </c:ext>
            </c:extLst>
          </c:dPt>
          <c:dPt>
            <c:idx val="2"/>
            <c:bubble3D val="0"/>
            <c:spPr>
              <a:solidFill>
                <a:srgbClr val="4CAF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A3-4F44-BA8A-B76399134310}"/>
              </c:ext>
            </c:extLst>
          </c:dPt>
          <c:dPt>
            <c:idx val="3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2A3-4F44-BA8A-B7639913431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A3-4F44-BA8A-B76399134310}"/>
              </c:ext>
            </c:extLst>
          </c:dPt>
          <c:dPt>
            <c:idx val="5"/>
            <c:bubble3D val="0"/>
            <c:spPr>
              <a:solidFill>
                <a:srgbClr val="7C7C7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A3-4F44-BA8A-B763991343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Dashboard!$AL$2:$AL$7</c:f>
              <c:strCache>
                <c:ptCount val="6"/>
                <c:pt idx="0">
                  <c:v>Transfer Out</c:v>
                </c:pt>
                <c:pt idx="1">
                  <c:v>OWealth</c:v>
                </c:pt>
                <c:pt idx="2">
                  <c:v>POS</c:v>
                </c:pt>
                <c:pt idx="3">
                  <c:v>Payment</c:v>
                </c:pt>
                <c:pt idx="4">
                  <c:v>Other</c:v>
                </c:pt>
                <c:pt idx="5">
                  <c:v>Airtime/Data</c:v>
                </c:pt>
              </c:strCache>
            </c:strRef>
          </c:cat>
          <c:val>
            <c:numRef>
              <c:f>Dashboard!$AM$2:$AM$7</c:f>
              <c:numCache>
                <c:formatCode>General</c:formatCode>
                <c:ptCount val="6"/>
                <c:pt idx="0">
                  <c:v>3754672.58</c:v>
                </c:pt>
                <c:pt idx="1">
                  <c:v>1540855.25</c:v>
                </c:pt>
                <c:pt idx="2">
                  <c:v>903900</c:v>
                </c:pt>
                <c:pt idx="3">
                  <c:v>607735.96</c:v>
                </c:pt>
                <c:pt idx="4">
                  <c:v>110308.25</c:v>
                </c:pt>
                <c:pt idx="5">
                  <c:v>56337.5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3-4F44-BA8A-B76399134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1A1A1A"/>
        </a:solidFill>
        <a:ln w="25400">
          <a:noFill/>
        </a:ln>
        <a:effectLst/>
      </c:spPr>
    </c:plotArea>
    <c:legend>
      <c:legendPos val="r"/>
      <c:overlay val="0"/>
      <c:spPr>
        <a:solidFill>
          <a:srgbClr val="1A1A1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CCCCCC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Debit vs Credit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FFFFF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Dashboard!$AQ$1</c:f>
              <c:strCache>
                <c:ptCount val="1"/>
                <c:pt idx="0">
                  <c:v>Debits</c:v>
                </c:pt>
              </c:strCache>
            </c:strRef>
          </c:tx>
          <c:spPr>
            <a:solidFill>
              <a:srgbClr val="FF6B6B"/>
            </a:solidFill>
            <a:ln>
              <a:noFill/>
            </a:ln>
            <a:effectLst/>
          </c:spPr>
          <c:invertIfNegative val="0"/>
          <c:cat>
            <c:strRef>
              <c:f>Dashboard!$AP$2:$AP$15</c:f>
              <c:strCache>
                <c:ptCount val="14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</c:strCache>
            </c:strRef>
          </c:cat>
          <c:val>
            <c:numRef>
              <c:f>Dashboard!$AQ$2:$AQ$15</c:f>
              <c:numCache>
                <c:formatCode>General</c:formatCode>
                <c:ptCount val="14"/>
                <c:pt idx="0">
                  <c:v>122020</c:v>
                </c:pt>
                <c:pt idx="1">
                  <c:v>158665</c:v>
                </c:pt>
                <c:pt idx="2">
                  <c:v>82769</c:v>
                </c:pt>
                <c:pt idx="3">
                  <c:v>1541451.58</c:v>
                </c:pt>
                <c:pt idx="4">
                  <c:v>741651</c:v>
                </c:pt>
                <c:pt idx="5">
                  <c:v>295507.5</c:v>
                </c:pt>
                <c:pt idx="6">
                  <c:v>220352</c:v>
                </c:pt>
                <c:pt idx="7">
                  <c:v>548023.5</c:v>
                </c:pt>
                <c:pt idx="8">
                  <c:v>527086</c:v>
                </c:pt>
                <c:pt idx="9">
                  <c:v>384460</c:v>
                </c:pt>
                <c:pt idx="10">
                  <c:v>993216.96</c:v>
                </c:pt>
                <c:pt idx="11">
                  <c:v>712898</c:v>
                </c:pt>
                <c:pt idx="12">
                  <c:v>580597</c:v>
                </c:pt>
                <c:pt idx="13">
                  <c:v>65112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C-4B3E-AC13-3967C57E0438}"/>
            </c:ext>
          </c:extLst>
        </c:ser>
        <c:ser>
          <c:idx val="1"/>
          <c:order val="1"/>
          <c:tx>
            <c:strRef>
              <c:f>Dashboard!$AR$1</c:f>
              <c:strCache>
                <c:ptCount val="1"/>
                <c:pt idx="0">
                  <c:v>Credits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cat>
            <c:strRef>
              <c:f>Dashboard!$AP$2:$AP$15</c:f>
              <c:strCache>
                <c:ptCount val="14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</c:strCache>
            </c:strRef>
          </c:cat>
          <c:val>
            <c:numRef>
              <c:f>Dashboard!$AR$2:$AR$15</c:f>
              <c:numCache>
                <c:formatCode>General</c:formatCode>
                <c:ptCount val="14"/>
                <c:pt idx="0">
                  <c:v>222000</c:v>
                </c:pt>
                <c:pt idx="1">
                  <c:v>56000</c:v>
                </c:pt>
                <c:pt idx="2">
                  <c:v>76495</c:v>
                </c:pt>
                <c:pt idx="3">
                  <c:v>1541451.58</c:v>
                </c:pt>
                <c:pt idx="4">
                  <c:v>741651</c:v>
                </c:pt>
                <c:pt idx="5">
                  <c:v>295507.5</c:v>
                </c:pt>
                <c:pt idx="6">
                  <c:v>218352</c:v>
                </c:pt>
                <c:pt idx="7">
                  <c:v>548023.5</c:v>
                </c:pt>
                <c:pt idx="8">
                  <c:v>527086</c:v>
                </c:pt>
                <c:pt idx="9">
                  <c:v>384460</c:v>
                </c:pt>
                <c:pt idx="10">
                  <c:v>993216.96</c:v>
                </c:pt>
                <c:pt idx="11">
                  <c:v>712898</c:v>
                </c:pt>
                <c:pt idx="12">
                  <c:v>580597</c:v>
                </c:pt>
                <c:pt idx="13">
                  <c:v>65112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C-4B3E-AC13-3967C57E0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514645344"/>
        <c:axId val="1514662144"/>
      </c:barChart>
      <c:catAx>
        <c:axId val="1514645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999999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514662144"/>
        <c:crosses val="autoZero"/>
        <c:auto val="1"/>
        <c:lblAlgn val="ctr"/>
        <c:lblOffset val="100"/>
        <c:noMultiLvlLbl val="0"/>
      </c:catAx>
      <c:valAx>
        <c:axId val="15146621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333333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99999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514645344"/>
        <c:crosses val="autoZero"/>
        <c:crossBetween val="between"/>
      </c:valAx>
      <c:spPr>
        <a:solidFill>
          <a:srgbClr val="1A1A1A"/>
        </a:solidFill>
        <a:ln w="25400">
          <a:noFill/>
        </a:ln>
        <a:effectLst/>
      </c:spPr>
    </c:plotArea>
    <c:legend>
      <c:legendPos val="b"/>
      <c:overlay val="0"/>
      <c:spPr>
        <a:solidFill>
          <a:srgbClr val="1A1A1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CCCCCC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Cumulative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FFFFF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Dashboard!$AT$1</c:f>
              <c:strCache>
                <c:ptCount val="1"/>
                <c:pt idx="0">
                  <c:v>Debits</c:v>
                </c:pt>
              </c:strCache>
            </c:strRef>
          </c:tx>
          <c:spPr>
            <a:ln w="25400" cap="rnd">
              <a:solidFill>
                <a:srgbClr val="FF6B6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B6B"/>
              </a:solidFill>
              <a:ln w="9525">
                <a:solidFill>
                  <a:srgbClr val="FF6B6B"/>
                </a:solidFill>
                <a:prstDash val="solid"/>
              </a:ln>
              <a:effectLst/>
            </c:spPr>
          </c:marker>
          <c:cat>
            <c:strRef>
              <c:f>Dashboard!$AS$2:$AS$15</c:f>
              <c:strCache>
                <c:ptCount val="14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</c:strCache>
            </c:strRef>
          </c:cat>
          <c:val>
            <c:numRef>
              <c:f>Dashboard!$AT$2:$AT$15</c:f>
              <c:numCache>
                <c:formatCode>General</c:formatCode>
                <c:ptCount val="14"/>
                <c:pt idx="0">
                  <c:v>122020</c:v>
                </c:pt>
                <c:pt idx="1">
                  <c:v>280685</c:v>
                </c:pt>
                <c:pt idx="2">
                  <c:v>363454</c:v>
                </c:pt>
                <c:pt idx="3">
                  <c:v>1904905.58</c:v>
                </c:pt>
                <c:pt idx="4">
                  <c:v>2646556.58</c:v>
                </c:pt>
                <c:pt idx="5">
                  <c:v>2942064.08</c:v>
                </c:pt>
                <c:pt idx="6">
                  <c:v>3162416.08</c:v>
                </c:pt>
                <c:pt idx="7">
                  <c:v>3710439.58</c:v>
                </c:pt>
                <c:pt idx="8">
                  <c:v>4237525.58</c:v>
                </c:pt>
                <c:pt idx="9">
                  <c:v>4621985.58</c:v>
                </c:pt>
                <c:pt idx="10">
                  <c:v>5615202.54</c:v>
                </c:pt>
                <c:pt idx="11">
                  <c:v>6328100.54</c:v>
                </c:pt>
                <c:pt idx="12">
                  <c:v>6908697.54</c:v>
                </c:pt>
                <c:pt idx="13">
                  <c:v>6973809.54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7-4726-9EDB-5317C45FF600}"/>
            </c:ext>
          </c:extLst>
        </c:ser>
        <c:ser>
          <c:idx val="1"/>
          <c:order val="1"/>
          <c:tx>
            <c:strRef>
              <c:f>Dashboard!$AU$1</c:f>
              <c:strCache>
                <c:ptCount val="1"/>
                <c:pt idx="0">
                  <c:v>Credits</c:v>
                </c:pt>
              </c:strCache>
            </c:strRef>
          </c:tx>
          <c:spPr>
            <a:ln w="25400" cap="rnd">
              <a:solidFill>
                <a:srgbClr val="4CAF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CAF50"/>
              </a:solidFill>
              <a:ln w="9525">
                <a:solidFill>
                  <a:srgbClr val="4CAF50"/>
                </a:solidFill>
                <a:prstDash val="solid"/>
              </a:ln>
              <a:effectLst/>
            </c:spPr>
          </c:marker>
          <c:cat>
            <c:strRef>
              <c:f>Dashboard!$AS$2:$AS$15</c:f>
              <c:strCache>
                <c:ptCount val="14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</c:strCache>
            </c:strRef>
          </c:cat>
          <c:val>
            <c:numRef>
              <c:f>Dashboard!$AU$2:$AU$15</c:f>
              <c:numCache>
                <c:formatCode>General</c:formatCode>
                <c:ptCount val="14"/>
                <c:pt idx="0">
                  <c:v>222000</c:v>
                </c:pt>
                <c:pt idx="1">
                  <c:v>278000</c:v>
                </c:pt>
                <c:pt idx="2">
                  <c:v>354495</c:v>
                </c:pt>
                <c:pt idx="3">
                  <c:v>1895946.58</c:v>
                </c:pt>
                <c:pt idx="4">
                  <c:v>2637597.58</c:v>
                </c:pt>
                <c:pt idx="5">
                  <c:v>2933105.08</c:v>
                </c:pt>
                <c:pt idx="6">
                  <c:v>3151457.08</c:v>
                </c:pt>
                <c:pt idx="7">
                  <c:v>3699480.58</c:v>
                </c:pt>
                <c:pt idx="8">
                  <c:v>4226566.58</c:v>
                </c:pt>
                <c:pt idx="9">
                  <c:v>4611026.58</c:v>
                </c:pt>
                <c:pt idx="10">
                  <c:v>5604243.54</c:v>
                </c:pt>
                <c:pt idx="11">
                  <c:v>6317141.54</c:v>
                </c:pt>
                <c:pt idx="12">
                  <c:v>6897738.54</c:v>
                </c:pt>
                <c:pt idx="13">
                  <c:v>6962850.54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7-4726-9EDB-5317C45FF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667904"/>
        <c:axId val="1514665984"/>
      </c:lineChart>
      <c:catAx>
        <c:axId val="15146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999999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514665984"/>
        <c:crosses val="autoZero"/>
        <c:auto val="1"/>
        <c:lblAlgn val="ctr"/>
        <c:lblOffset val="100"/>
        <c:noMultiLvlLbl val="0"/>
      </c:catAx>
      <c:valAx>
        <c:axId val="15146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33333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99999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514667904"/>
        <c:crosses val="autoZero"/>
        <c:crossBetween val="between"/>
      </c:valAx>
      <c:spPr>
        <a:solidFill>
          <a:srgbClr val="1A1A1A"/>
        </a:solidFill>
        <a:ln w="25400">
          <a:noFill/>
        </a:ln>
        <a:effectLst/>
      </c:spPr>
    </c:plotArea>
    <c:legend>
      <c:legendPos val="b"/>
      <c:overlay val="0"/>
      <c:spPr>
        <a:solidFill>
          <a:srgbClr val="1A1A1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CCCCCC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Transaction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FFFFF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Dashboard!$AG$1</c:f>
              <c:strCache>
                <c:ptCount val="1"/>
                <c:pt idx="0">
                  <c:v>Tx Count</c:v>
                </c:pt>
              </c:strCache>
            </c:strRef>
          </c:tx>
          <c:spPr>
            <a:solidFill>
              <a:srgbClr val="C8A951"/>
            </a:solidFill>
            <a:ln>
              <a:noFill/>
            </a:ln>
            <a:effectLst/>
          </c:spPr>
          <c:invertIfNegative val="0"/>
          <c:cat>
            <c:strRef>
              <c:f>Dashboard!$AF$2:$AF$15</c:f>
              <c:strCache>
                <c:ptCount val="14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</c:strCache>
            </c:strRef>
          </c:cat>
          <c:val>
            <c:numRef>
              <c:f>Dashboard!$AG$2:$AG$15</c:f>
              <c:numCache>
                <c:formatCode>General</c:formatCode>
                <c:ptCount val="14"/>
                <c:pt idx="0">
                  <c:v>129</c:v>
                </c:pt>
                <c:pt idx="1">
                  <c:v>55</c:v>
                </c:pt>
                <c:pt idx="2">
                  <c:v>53</c:v>
                </c:pt>
                <c:pt idx="3">
                  <c:v>150</c:v>
                </c:pt>
                <c:pt idx="4">
                  <c:v>248</c:v>
                </c:pt>
                <c:pt idx="5">
                  <c:v>132</c:v>
                </c:pt>
                <c:pt idx="6">
                  <c:v>135</c:v>
                </c:pt>
                <c:pt idx="7">
                  <c:v>200</c:v>
                </c:pt>
                <c:pt idx="8">
                  <c:v>165</c:v>
                </c:pt>
                <c:pt idx="9">
                  <c:v>176</c:v>
                </c:pt>
                <c:pt idx="10">
                  <c:v>109</c:v>
                </c:pt>
                <c:pt idx="11">
                  <c:v>190</c:v>
                </c:pt>
                <c:pt idx="12">
                  <c:v>168</c:v>
                </c:pt>
                <c:pt idx="1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4-4DF4-B1E6-3C6D5FC3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18887552"/>
        <c:axId val="1618885152"/>
      </c:barChart>
      <c:catAx>
        <c:axId val="16188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999999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618885152"/>
        <c:crosses val="autoZero"/>
        <c:auto val="1"/>
        <c:lblAlgn val="ctr"/>
        <c:lblOffset val="100"/>
        <c:noMultiLvlLbl val="0"/>
      </c:catAx>
      <c:valAx>
        <c:axId val="16188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33333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999999"/>
                </a:solidFill>
                <a:latin typeface="Segoe UI"/>
                <a:ea typeface="Segoe UI"/>
                <a:cs typeface="Segoe UI"/>
              </a:defRPr>
            </a:pPr>
            <a:endParaRPr lang="en-NG"/>
          </a:p>
        </c:txPr>
        <c:crossAx val="1618887552"/>
        <c:crosses val="autoZero"/>
        <c:crossBetween val="between"/>
      </c:valAx>
      <c:spPr>
        <a:solidFill>
          <a:srgbClr val="1A1A1A"/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Income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FFFFF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Dashboard!$AW$1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rgbClr val="4CAF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04-49A9-AD79-ED639E9CE8A4}"/>
              </c:ext>
            </c:extLst>
          </c:dPt>
          <c:dPt>
            <c:idx val="1"/>
            <c:bubble3D val="0"/>
            <c:spPr>
              <a:solidFill>
                <a:srgbClr val="C8A9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104-49A9-AD79-ED639E9CE8A4}"/>
              </c:ext>
            </c:extLst>
          </c:dPt>
          <c:dPt>
            <c:idx val="2"/>
            <c:bubble3D val="0"/>
            <c:spPr>
              <a:solidFill>
                <a:srgbClr val="FF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04-49A9-AD79-ED639E9CE8A4}"/>
              </c:ext>
            </c:extLst>
          </c:dPt>
          <c:dPt>
            <c:idx val="3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104-49A9-AD79-ED639E9CE8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Dashboard!$AV$2:$AV$5</c:f>
              <c:strCache>
                <c:ptCount val="4"/>
                <c:pt idx="0">
                  <c:v>Transfer In</c:v>
                </c:pt>
                <c:pt idx="1">
                  <c:v>OWealth</c:v>
                </c:pt>
                <c:pt idx="2">
                  <c:v>Transfer Out</c:v>
                </c:pt>
                <c:pt idx="3">
                  <c:v>Reversal</c:v>
                </c:pt>
              </c:strCache>
            </c:strRef>
          </c:cat>
          <c:val>
            <c:numRef>
              <c:f>Dashboard!$AW$2:$AW$5</c:f>
              <c:numCache>
                <c:formatCode>General</c:formatCode>
                <c:ptCount val="4"/>
                <c:pt idx="0">
                  <c:v>4188460</c:v>
                </c:pt>
                <c:pt idx="1">
                  <c:v>2405288.54</c:v>
                </c:pt>
                <c:pt idx="2">
                  <c:v>369000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4-49A9-AD79-ED639E9C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1A1A1A"/>
        </a:solidFill>
        <a:ln w="25400">
          <a:noFill/>
        </a:ln>
        <a:effectLst/>
      </c:spPr>
    </c:plotArea>
    <c:legend>
      <c:legendPos val="r"/>
      <c:overlay val="0"/>
      <c:spPr>
        <a:solidFill>
          <a:srgbClr val="1A1A1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CCCCCC"/>
              </a:solidFill>
              <a:latin typeface="Segoe UI"/>
              <a:ea typeface="Segoe UI"/>
              <a:cs typeface="Segoe UI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101599</xdr:colOff>
      <xdr:row>70</xdr:row>
      <xdr:rowOff>95250</xdr:rowOff>
    </xdr:from>
    <xdr:to>
      <xdr:col>9</xdr:col>
      <xdr:colOff>1396999</xdr:colOff>
      <xdr:row>89</xdr:row>
      <xdr:rowOff>152400</xdr:rowOff>
    </xdr:to>
    <xdr:graphicFrame macro="">
      <xdr:nvGraphicFramePr>
        <xdr:cNvPr id="2" name="Chart 18">
          <a:extLst>
            <a:ext uri="{FF2B5EF4-FFF2-40B4-BE49-F238E27FC236}">
              <a16:creationId xmlns:a16="http://schemas.microsoft.com/office/drawing/2014/main" id="{44DAEDD5-093F-8E73-E51F-F95862DCB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101599</xdr:colOff>
      <xdr:row>12</xdr:row>
      <xdr:rowOff>0</xdr:rowOff>
    </xdr:from>
    <xdr:to>
      <xdr:col>4</xdr:col>
      <xdr:colOff>1396999</xdr:colOff>
      <xdr:row>29</xdr:row>
      <xdr:rowOff>0</xdr:rowOff>
    </xdr:to>
    <xdr:graphicFrame macro="">
      <xdr:nvGraphicFramePr>
        <xdr:cNvPr id="16" name="Chart 6">
          <a:extLst>
            <a:ext uri="{FF2B5EF4-FFF2-40B4-BE49-F238E27FC236}">
              <a16:creationId xmlns:a16="http://schemas.microsoft.com/office/drawing/2014/main" id="{332ACCAC-F42E-539C-702F-ABA019177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101599</xdr:colOff>
      <xdr:row>31</xdr:row>
      <xdr:rowOff>0</xdr:rowOff>
    </xdr:from>
    <xdr:to>
      <xdr:col>4</xdr:col>
      <xdr:colOff>1396999</xdr:colOff>
      <xdr:row>48</xdr:row>
      <xdr:rowOff>0</xdr:rowOff>
    </xdr:to>
    <xdr:graphicFrame macro="">
      <xdr:nvGraphicFramePr>
        <xdr:cNvPr id="17" name="Chart 8">
          <a:extLst>
            <a:ext uri="{FF2B5EF4-FFF2-40B4-BE49-F238E27FC236}">
              <a16:creationId xmlns:a16="http://schemas.microsoft.com/office/drawing/2014/main" id="{B3EF4F73-45B2-0DC1-BE25-05ED6D14A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101599</xdr:colOff>
      <xdr:row>50</xdr:row>
      <xdr:rowOff>0</xdr:rowOff>
    </xdr:from>
    <xdr:to>
      <xdr:col>4</xdr:col>
      <xdr:colOff>1396999</xdr:colOff>
      <xdr:row>67</xdr:row>
      <xdr:rowOff>6350</xdr:rowOff>
    </xdr:to>
    <xdr:graphicFrame macro="">
      <xdr:nvGraphicFramePr>
        <xdr:cNvPr id="20" name="Chart 12">
          <a:extLst>
            <a:ext uri="{FF2B5EF4-FFF2-40B4-BE49-F238E27FC236}">
              <a16:creationId xmlns:a16="http://schemas.microsoft.com/office/drawing/2014/main" id="{CA508A14-1C0C-F32C-6A01-77451F42B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101599</xdr:colOff>
      <xdr:row>50</xdr:row>
      <xdr:rowOff>0</xdr:rowOff>
    </xdr:from>
    <xdr:to>
      <xdr:col>9</xdr:col>
      <xdr:colOff>1396999</xdr:colOff>
      <xdr:row>67</xdr:row>
      <xdr:rowOff>6350</xdr:rowOff>
    </xdr:to>
    <xdr:graphicFrame macro="">
      <xdr:nvGraphicFramePr>
        <xdr:cNvPr id="3" name="Chart 17">
          <a:extLst>
            <a:ext uri="{FF2B5EF4-FFF2-40B4-BE49-F238E27FC236}">
              <a16:creationId xmlns:a16="http://schemas.microsoft.com/office/drawing/2014/main" id="{4EEA0B96-AEB1-5AA7-2FB8-8398DD183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101599</xdr:colOff>
      <xdr:row>12</xdr:row>
      <xdr:rowOff>0</xdr:rowOff>
    </xdr:from>
    <xdr:to>
      <xdr:col>9</xdr:col>
      <xdr:colOff>1396999</xdr:colOff>
      <xdr:row>29</xdr:row>
      <xdr:rowOff>0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249570F3-EE58-03C8-BBAF-41152A5A9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101599</xdr:colOff>
      <xdr:row>30</xdr:row>
      <xdr:rowOff>177799</xdr:rowOff>
    </xdr:from>
    <xdr:to>
      <xdr:col>9</xdr:col>
      <xdr:colOff>1396999</xdr:colOff>
      <xdr:row>47</xdr:row>
      <xdr:rowOff>101599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4B74ECF4-7509-D827-7249-1AAE936E2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B640B9-71A2-4F14-8AD8-2DC205FF0FB7}">
  <we:reference id="wa200009404" version="1.0.0.8" store="en-GB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FA1D-8DAE-4DCA-9DF9-C00F51B99CDA}">
  <sheetPr>
    <tabColor rgb="FF0066CC"/>
  </sheetPr>
  <dimension ref="A1:AW95"/>
  <sheetViews>
    <sheetView showGridLines="0" tabSelected="1" zoomScale="60" zoomScaleNormal="60" workbookViewId="0">
      <selection activeCell="AB79" sqref="AB79"/>
    </sheetView>
  </sheetViews>
  <sheetFormatPr defaultRowHeight="14.5" outlineLevelCol="1" x14ac:dyDescent="0.35"/>
  <cols>
    <col min="1" max="1" width="1.453125" customWidth="1"/>
    <col min="2" max="5" width="20" customWidth="1"/>
    <col min="6" max="6" width="1.453125" customWidth="1"/>
    <col min="7" max="10" width="20" customWidth="1"/>
    <col min="11" max="11" width="1.453125" customWidth="1"/>
    <col min="12" max="13" width="13.08984375" customWidth="1"/>
    <col min="14" max="20" width="13.08984375" hidden="1" customWidth="1" outlineLevel="1"/>
    <col min="21" max="27" width="0" hidden="1" customWidth="1" outlineLevel="1"/>
    <col min="28" max="28" width="8.7265625" collapsed="1"/>
    <col min="30" max="30" width="10.26953125" bestFit="1" customWidth="1"/>
    <col min="33" max="33" width="8.81640625" bestFit="1" customWidth="1"/>
    <col min="35" max="36" width="10.90625" bestFit="1" customWidth="1"/>
    <col min="37" max="37" width="8.81640625" bestFit="1" customWidth="1"/>
    <col min="39" max="39" width="10.90625" bestFit="1" customWidth="1"/>
    <col min="41" max="41" width="10.90625" bestFit="1" customWidth="1"/>
    <col min="43" max="44" width="10.90625" bestFit="1" customWidth="1"/>
    <col min="46" max="47" width="10.90625" bestFit="1" customWidth="1"/>
    <col min="49" max="49" width="10.90625" bestFit="1" customWidth="1"/>
  </cols>
  <sheetData>
    <row r="1" spans="1:49" ht="8" customHeight="1" x14ac:dyDescent="0.4">
      <c r="A1" s="22"/>
      <c r="B1" s="23"/>
      <c r="C1" s="23"/>
      <c r="D1" s="23"/>
      <c r="E1" s="23"/>
      <c r="F1" s="47"/>
      <c r="G1" s="23"/>
      <c r="H1" s="23"/>
      <c r="I1" s="23"/>
      <c r="J1" s="23"/>
      <c r="K1" s="22"/>
      <c r="N1" s="21" t="s">
        <v>11</v>
      </c>
      <c r="O1" s="21" t="s">
        <v>2855</v>
      </c>
      <c r="P1" s="21" t="s">
        <v>2856</v>
      </c>
      <c r="Q1" s="21" t="s">
        <v>2845</v>
      </c>
      <c r="R1" s="21" t="s">
        <v>13</v>
      </c>
      <c r="S1" s="21" t="s">
        <v>2868</v>
      </c>
      <c r="T1" s="21" t="s">
        <v>2857</v>
      </c>
      <c r="U1" s="21" t="s">
        <v>2858</v>
      </c>
      <c r="V1" s="21"/>
      <c r="W1" s="21" t="s">
        <v>2859</v>
      </c>
      <c r="X1" s="21" t="s">
        <v>2858</v>
      </c>
      <c r="Y1" s="21" t="s">
        <v>11</v>
      </c>
      <c r="Z1" s="21" t="s">
        <v>2855</v>
      </c>
      <c r="AA1" s="21" t="s">
        <v>2856</v>
      </c>
      <c r="AC1" s="28" t="s">
        <v>2873</v>
      </c>
      <c r="AD1" s="28" t="s">
        <v>2874</v>
      </c>
      <c r="AF1" t="s">
        <v>11</v>
      </c>
      <c r="AG1" t="s">
        <v>13</v>
      </c>
      <c r="AH1" t="s">
        <v>11</v>
      </c>
      <c r="AI1" t="s">
        <v>2855</v>
      </c>
      <c r="AJ1" t="s">
        <v>2856</v>
      </c>
      <c r="AK1" t="s">
        <v>2845</v>
      </c>
      <c r="AL1" t="s">
        <v>2857</v>
      </c>
      <c r="AM1" t="s">
        <v>2858</v>
      </c>
      <c r="AN1" t="s">
        <v>2859</v>
      </c>
      <c r="AO1" t="s">
        <v>2858</v>
      </c>
      <c r="AP1" t="s">
        <v>11</v>
      </c>
      <c r="AQ1" t="s">
        <v>2855</v>
      </c>
      <c r="AR1" t="s">
        <v>2856</v>
      </c>
      <c r="AS1" t="s">
        <v>11</v>
      </c>
      <c r="AT1" t="s">
        <v>2855</v>
      </c>
      <c r="AU1" t="s">
        <v>2856</v>
      </c>
      <c r="AV1" t="s">
        <v>2859</v>
      </c>
      <c r="AW1" t="s">
        <v>2858</v>
      </c>
    </row>
    <row r="2" spans="1:49" ht="42" customHeight="1" x14ac:dyDescent="0.85">
      <c r="A2" s="22"/>
      <c r="B2" s="34" t="s">
        <v>2846</v>
      </c>
      <c r="C2" s="34"/>
      <c r="D2" s="34"/>
      <c r="E2" s="34"/>
      <c r="F2" s="47"/>
      <c r="G2" s="48" t="s">
        <v>2847</v>
      </c>
      <c r="H2" s="35"/>
      <c r="I2" s="35"/>
      <c r="J2" s="35"/>
      <c r="K2" s="22"/>
      <c r="N2" s="21" t="str">
        <f>Summary!A16</f>
        <v>2025-02</v>
      </c>
      <c r="O2" s="21">
        <f>Summary!B16</f>
        <v>122020</v>
      </c>
      <c r="P2" s="21">
        <f>Summary!C16</f>
        <v>222000</v>
      </c>
      <c r="Q2" s="21">
        <f>Summary!D16</f>
        <v>99980</v>
      </c>
      <c r="R2" s="21">
        <f>Summary!E16</f>
        <v>129</v>
      </c>
      <c r="S2" s="21">
        <f>IF(R2&gt;0,O2/R2,0)</f>
        <v>945.89147286821708</v>
      </c>
      <c r="T2" s="21" t="str">
        <f>Summary!A48</f>
        <v>Transfer Out</v>
      </c>
      <c r="U2" s="21">
        <f>Summary!B48</f>
        <v>3754672.58</v>
      </c>
      <c r="V2" s="21"/>
      <c r="W2" s="21" t="str">
        <f>Summary!E48</f>
        <v>Transfer In</v>
      </c>
      <c r="X2" s="21">
        <f>Summary!F48</f>
        <v>4188460</v>
      </c>
      <c r="Y2" s="21" t="str">
        <f>N2</f>
        <v>2025-02</v>
      </c>
      <c r="Z2" s="21">
        <f>O2</f>
        <v>122020</v>
      </c>
      <c r="AA2" s="21">
        <f>P2</f>
        <v>222000</v>
      </c>
      <c r="AC2" s="29" t="s">
        <v>2875</v>
      </c>
      <c r="AD2" s="30">
        <v>1015745</v>
      </c>
      <c r="AF2" t="s">
        <v>14</v>
      </c>
      <c r="AG2">
        <v>129</v>
      </c>
      <c r="AH2" t="s">
        <v>14</v>
      </c>
      <c r="AI2">
        <v>122020</v>
      </c>
      <c r="AJ2">
        <v>222000</v>
      </c>
      <c r="AK2">
        <v>99980</v>
      </c>
      <c r="AL2" t="s">
        <v>30</v>
      </c>
      <c r="AM2">
        <v>3754672.58</v>
      </c>
      <c r="AN2" t="s">
        <v>31</v>
      </c>
      <c r="AO2">
        <v>4188460</v>
      </c>
      <c r="AP2" t="s">
        <v>14</v>
      </c>
      <c r="AQ2">
        <v>122020</v>
      </c>
      <c r="AR2">
        <v>222000</v>
      </c>
      <c r="AS2" t="s">
        <v>14</v>
      </c>
      <c r="AT2">
        <v>122020</v>
      </c>
      <c r="AU2">
        <v>222000</v>
      </c>
      <c r="AV2" t="s">
        <v>31</v>
      </c>
      <c r="AW2">
        <v>4188460</v>
      </c>
    </row>
    <row r="3" spans="1:49" ht="18" customHeight="1" x14ac:dyDescent="0.4">
      <c r="A3" s="22"/>
      <c r="B3" s="36" t="s">
        <v>2848</v>
      </c>
      <c r="C3" s="36"/>
      <c r="D3" s="36"/>
      <c r="E3" s="36"/>
      <c r="F3" s="47"/>
      <c r="G3" s="37" t="s">
        <v>2849</v>
      </c>
      <c r="H3" s="35"/>
      <c r="I3" s="35"/>
      <c r="J3" s="35"/>
      <c r="K3" s="22"/>
      <c r="N3" s="21" t="str">
        <f>Summary!A17</f>
        <v>2025-03</v>
      </c>
      <c r="O3" s="21">
        <f>Summary!B17</f>
        <v>158665</v>
      </c>
      <c r="P3" s="21">
        <f>Summary!C17</f>
        <v>56000</v>
      </c>
      <c r="Q3" s="21">
        <f>Summary!D17</f>
        <v>-102665</v>
      </c>
      <c r="R3" s="21">
        <f>Summary!E17</f>
        <v>55</v>
      </c>
      <c r="S3" s="21" t="s">
        <v>2868</v>
      </c>
      <c r="T3" s="21" t="str">
        <f>Summary!A49</f>
        <v>OWealth</v>
      </c>
      <c r="U3" s="21">
        <f>Summary!B49</f>
        <v>1540855.25</v>
      </c>
      <c r="V3" s="21"/>
      <c r="W3" s="21" t="str">
        <f>Summary!E49</f>
        <v>OWealth</v>
      </c>
      <c r="X3" s="21">
        <f>Summary!F49</f>
        <v>2405288.54</v>
      </c>
      <c r="Y3" s="21" t="str">
        <f t="shared" ref="Y3:Y15" si="0">N3</f>
        <v>2025-03</v>
      </c>
      <c r="Z3" s="21">
        <f t="shared" ref="Z3:Z15" si="1">Z2+O3</f>
        <v>280685</v>
      </c>
      <c r="AA3" s="21">
        <f t="shared" ref="AA3:AA15" si="2">AA2+P3</f>
        <v>278000</v>
      </c>
      <c r="AC3" s="29" t="s">
        <v>2876</v>
      </c>
      <c r="AD3" s="30">
        <v>823710</v>
      </c>
      <c r="AF3" t="s">
        <v>15</v>
      </c>
      <c r="AG3">
        <v>55</v>
      </c>
      <c r="AH3" t="s">
        <v>15</v>
      </c>
      <c r="AI3">
        <v>158665</v>
      </c>
      <c r="AJ3">
        <v>56000</v>
      </c>
      <c r="AK3">
        <v>-102665</v>
      </c>
      <c r="AL3" t="s">
        <v>32</v>
      </c>
      <c r="AM3">
        <v>1540855.25</v>
      </c>
      <c r="AN3" t="s">
        <v>32</v>
      </c>
      <c r="AO3">
        <v>2405288.54</v>
      </c>
      <c r="AP3" t="s">
        <v>15</v>
      </c>
      <c r="AQ3">
        <v>158665</v>
      </c>
      <c r="AR3">
        <v>56000</v>
      </c>
      <c r="AS3" t="s">
        <v>15</v>
      </c>
      <c r="AT3">
        <v>280685</v>
      </c>
      <c r="AU3">
        <v>278000</v>
      </c>
      <c r="AV3" t="s">
        <v>32</v>
      </c>
      <c r="AW3">
        <v>2405288.54</v>
      </c>
    </row>
    <row r="4" spans="1:49" ht="3" customHeight="1" x14ac:dyDescent="0.4">
      <c r="A4" s="22"/>
      <c r="B4" s="24"/>
      <c r="C4" s="24"/>
      <c r="D4" s="24"/>
      <c r="E4" s="24"/>
      <c r="F4" s="22"/>
      <c r="G4" s="24"/>
      <c r="H4" s="24"/>
      <c r="I4" s="24"/>
      <c r="J4" s="24"/>
      <c r="K4" s="22"/>
      <c r="N4" s="21" t="str">
        <f>Summary!A18</f>
        <v>2025-04</v>
      </c>
      <c r="O4" s="21">
        <f>Summary!B18</f>
        <v>82769</v>
      </c>
      <c r="P4" s="21">
        <f>Summary!C18</f>
        <v>76495</v>
      </c>
      <c r="Q4" s="21">
        <f>Summary!D18</f>
        <v>-6274</v>
      </c>
      <c r="R4" s="21">
        <f>Summary!E18</f>
        <v>53</v>
      </c>
      <c r="S4" s="21">
        <f>IF(R4&gt;0,O4/R4,0)</f>
        <v>1561.6792452830189</v>
      </c>
      <c r="T4" s="21" t="str">
        <f>Summary!A50</f>
        <v>POS</v>
      </c>
      <c r="U4" s="21">
        <f>Summary!B50</f>
        <v>903900</v>
      </c>
      <c r="V4" s="21"/>
      <c r="W4" s="21" t="str">
        <f>Summary!E50</f>
        <v>Transfer Out</v>
      </c>
      <c r="X4" s="21">
        <f>Summary!F50</f>
        <v>369000</v>
      </c>
      <c r="Y4" s="21" t="str">
        <f t="shared" si="0"/>
        <v>2025-04</v>
      </c>
      <c r="Z4" s="21">
        <f t="shared" si="1"/>
        <v>363454</v>
      </c>
      <c r="AA4" s="21">
        <f t="shared" si="2"/>
        <v>354495</v>
      </c>
      <c r="AC4" s="29" t="s">
        <v>2877</v>
      </c>
      <c r="AD4" s="30">
        <v>150000</v>
      </c>
      <c r="AF4" t="s">
        <v>16</v>
      </c>
      <c r="AG4">
        <v>53</v>
      </c>
      <c r="AH4" t="s">
        <v>16</v>
      </c>
      <c r="AI4">
        <v>82769</v>
      </c>
      <c r="AJ4">
        <v>76495</v>
      </c>
      <c r="AK4">
        <v>-6274</v>
      </c>
      <c r="AL4" t="s">
        <v>33</v>
      </c>
      <c r="AM4">
        <v>903900</v>
      </c>
      <c r="AN4" t="s">
        <v>30</v>
      </c>
      <c r="AO4">
        <v>369000</v>
      </c>
      <c r="AP4" t="s">
        <v>16</v>
      </c>
      <c r="AQ4">
        <v>82769</v>
      </c>
      <c r="AR4">
        <v>76495</v>
      </c>
      <c r="AS4" t="s">
        <v>16</v>
      </c>
      <c r="AT4">
        <v>363454</v>
      </c>
      <c r="AU4">
        <v>354495</v>
      </c>
      <c r="AV4" t="s">
        <v>30</v>
      </c>
      <c r="AW4">
        <v>369000</v>
      </c>
    </row>
    <row r="5" spans="1:49" ht="12" customHeigh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N5" s="21" t="str">
        <f>Summary!A19</f>
        <v>2025-05</v>
      </c>
      <c r="O5" s="21">
        <f>Summary!B19</f>
        <v>1541451.58</v>
      </c>
      <c r="P5" s="21">
        <f>Summary!C19</f>
        <v>1541451.58</v>
      </c>
      <c r="Q5" s="21">
        <f>Summary!D19</f>
        <v>0</v>
      </c>
      <c r="R5" s="21">
        <f>Summary!E19</f>
        <v>150</v>
      </c>
      <c r="S5" s="21"/>
      <c r="T5" s="21" t="str">
        <f>Summary!A51</f>
        <v>Payment</v>
      </c>
      <c r="U5" s="21">
        <f>Summary!B51</f>
        <v>607735.96</v>
      </c>
      <c r="V5" s="21"/>
      <c r="W5" s="21" t="str">
        <f>Summary!E51</f>
        <v>Reversal</v>
      </c>
      <c r="X5" s="21">
        <f>Summary!F51</f>
        <v>102</v>
      </c>
      <c r="Y5" s="21" t="str">
        <f t="shared" si="0"/>
        <v>2025-05</v>
      </c>
      <c r="Z5" s="21">
        <f t="shared" si="1"/>
        <v>1904905.58</v>
      </c>
      <c r="AA5" s="21">
        <f t="shared" si="2"/>
        <v>1895946.58</v>
      </c>
      <c r="AC5" s="29" t="s">
        <v>2878</v>
      </c>
      <c r="AD5" s="30">
        <v>84000</v>
      </c>
      <c r="AF5" t="s">
        <v>17</v>
      </c>
      <c r="AG5">
        <v>150</v>
      </c>
      <c r="AH5" t="s">
        <v>17</v>
      </c>
      <c r="AI5">
        <v>1541451.58</v>
      </c>
      <c r="AJ5">
        <v>1541451.58</v>
      </c>
      <c r="AK5">
        <v>0</v>
      </c>
      <c r="AL5" t="s">
        <v>34</v>
      </c>
      <c r="AM5">
        <v>607735.96</v>
      </c>
      <c r="AN5" t="s">
        <v>35</v>
      </c>
      <c r="AO5">
        <v>102</v>
      </c>
      <c r="AP5" t="s">
        <v>17</v>
      </c>
      <c r="AQ5">
        <v>1541451.58</v>
      </c>
      <c r="AR5">
        <v>1541451.58</v>
      </c>
      <c r="AS5" t="s">
        <v>17</v>
      </c>
      <c r="AT5">
        <v>1904905.58</v>
      </c>
      <c r="AU5">
        <v>1895946.58</v>
      </c>
      <c r="AV5" t="s">
        <v>35</v>
      </c>
      <c r="AW5">
        <v>102</v>
      </c>
    </row>
    <row r="6" spans="1:49" ht="14" customHeight="1" x14ac:dyDescent="0.4">
      <c r="A6" s="22"/>
      <c r="B6" s="42" t="s">
        <v>2850</v>
      </c>
      <c r="C6" s="43"/>
      <c r="D6" s="42" t="s">
        <v>2851</v>
      </c>
      <c r="E6" s="43"/>
      <c r="F6" s="22"/>
      <c r="G6" s="42" t="s">
        <v>2852</v>
      </c>
      <c r="H6" s="43"/>
      <c r="I6" s="42" t="s">
        <v>2853</v>
      </c>
      <c r="J6" s="43"/>
      <c r="K6" s="22"/>
      <c r="N6" s="21" t="str">
        <f>Summary!A20</f>
        <v>2025-06</v>
      </c>
      <c r="O6" s="21">
        <f>Summary!B20</f>
        <v>741651</v>
      </c>
      <c r="P6" s="21">
        <f>Summary!C20</f>
        <v>741651</v>
      </c>
      <c r="Q6" s="21">
        <f>Summary!D20</f>
        <v>0</v>
      </c>
      <c r="R6" s="21">
        <f>Summary!E20</f>
        <v>248</v>
      </c>
      <c r="S6" s="21"/>
      <c r="T6" s="21" t="str">
        <f>Summary!A52</f>
        <v>Other</v>
      </c>
      <c r="U6" s="21">
        <f>Summary!B52</f>
        <v>110308.25</v>
      </c>
      <c r="V6" s="21"/>
      <c r="W6" s="21"/>
      <c r="X6" s="21"/>
      <c r="Y6" s="21" t="str">
        <f t="shared" si="0"/>
        <v>2025-06</v>
      </c>
      <c r="Z6" s="21">
        <f t="shared" si="1"/>
        <v>2646556.58</v>
      </c>
      <c r="AA6" s="21">
        <f t="shared" si="2"/>
        <v>2637597.58</v>
      </c>
      <c r="AC6" s="29" t="s">
        <v>2879</v>
      </c>
      <c r="AD6" s="30">
        <v>79000</v>
      </c>
      <c r="AF6" t="s">
        <v>18</v>
      </c>
      <c r="AG6">
        <v>248</v>
      </c>
      <c r="AH6" t="s">
        <v>18</v>
      </c>
      <c r="AI6">
        <v>741651</v>
      </c>
      <c r="AJ6">
        <v>741651</v>
      </c>
      <c r="AK6">
        <v>0</v>
      </c>
      <c r="AL6" t="s">
        <v>36</v>
      </c>
      <c r="AM6">
        <v>110308.25</v>
      </c>
      <c r="AP6" t="s">
        <v>18</v>
      </c>
      <c r="AQ6">
        <v>741651</v>
      </c>
      <c r="AR6">
        <v>741651</v>
      </c>
      <c r="AS6" t="s">
        <v>18</v>
      </c>
      <c r="AT6">
        <v>2646556.58</v>
      </c>
      <c r="AU6">
        <v>2637597.58</v>
      </c>
    </row>
    <row r="7" spans="1:49" ht="36" customHeight="1" x14ac:dyDescent="0.75">
      <c r="A7" s="22"/>
      <c r="B7" s="38">
        <f>Summary!B8</f>
        <v>6970809.54</v>
      </c>
      <c r="C7" s="39"/>
      <c r="D7" s="38">
        <f>Summary!B9</f>
        <v>6962850.54</v>
      </c>
      <c r="E7" s="39"/>
      <c r="F7" s="22"/>
      <c r="G7" s="40">
        <f>D7-B7</f>
        <v>-7959</v>
      </c>
      <c r="H7" s="41"/>
      <c r="I7" s="38">
        <f>(B7+D7)/14</f>
        <v>995261.43428571429</v>
      </c>
      <c r="J7" s="39"/>
      <c r="K7" s="22"/>
      <c r="N7" s="21" t="str">
        <f>Summary!A21</f>
        <v>2025-07</v>
      </c>
      <c r="O7" s="21">
        <f>Summary!B21</f>
        <v>295507.5</v>
      </c>
      <c r="P7" s="21">
        <f>Summary!C21</f>
        <v>295507.5</v>
      </c>
      <c r="Q7" s="21">
        <f>Summary!D21</f>
        <v>0</v>
      </c>
      <c r="R7" s="21">
        <f>Summary!E21</f>
        <v>132</v>
      </c>
      <c r="S7" s="21"/>
      <c r="T7" s="21" t="str">
        <f>Summary!A53</f>
        <v>Airtime/Data</v>
      </c>
      <c r="U7" s="21">
        <f>Summary!B53</f>
        <v>56337.5</v>
      </c>
      <c r="V7" s="21"/>
      <c r="W7" s="21"/>
      <c r="X7" s="21"/>
      <c r="Y7" s="21" t="str">
        <f t="shared" si="0"/>
        <v>2025-07</v>
      </c>
      <c r="Z7" s="21">
        <f t="shared" si="1"/>
        <v>2942064.08</v>
      </c>
      <c r="AA7" s="21">
        <f t="shared" si="2"/>
        <v>2933105.08</v>
      </c>
      <c r="AC7" s="29" t="s">
        <v>2880</v>
      </c>
      <c r="AD7" s="30">
        <v>74000</v>
      </c>
      <c r="AF7" t="s">
        <v>19</v>
      </c>
      <c r="AG7">
        <v>132</v>
      </c>
      <c r="AH7" t="s">
        <v>19</v>
      </c>
      <c r="AI7">
        <v>295507.5</v>
      </c>
      <c r="AJ7">
        <v>295507.5</v>
      </c>
      <c r="AK7">
        <v>0</v>
      </c>
      <c r="AL7" t="s">
        <v>37</v>
      </c>
      <c r="AM7">
        <v>56337.5</v>
      </c>
      <c r="AP7" t="s">
        <v>19</v>
      </c>
      <c r="AQ7">
        <v>295507.5</v>
      </c>
      <c r="AR7">
        <v>295507.5</v>
      </c>
      <c r="AS7" t="s">
        <v>19</v>
      </c>
      <c r="AT7">
        <v>2942064.08</v>
      </c>
      <c r="AU7">
        <v>2933105.08</v>
      </c>
    </row>
    <row r="8" spans="1:49" ht="14" customHeight="1" thickBot="1" x14ac:dyDescent="0.45">
      <c r="A8" s="22"/>
      <c r="B8" s="32" t="str">
        <f>Summary!B10&amp;" transactions"</f>
        <v>1135 transactions</v>
      </c>
      <c r="C8" s="33"/>
      <c r="D8" s="32" t="str">
        <f>Summary!B11&amp;" transactions"</f>
        <v>802 transactions</v>
      </c>
      <c r="E8" s="33"/>
      <c r="F8" s="22"/>
      <c r="G8" s="32" t="s">
        <v>2854</v>
      </c>
      <c r="H8" s="33"/>
      <c r="I8" s="32" t="str">
        <f>"avg "&amp;TEXT(Summary!B12/14,"#,##0")&amp;" txs/month"</f>
        <v>avg 138 txs/month</v>
      </c>
      <c r="J8" s="33"/>
      <c r="K8" s="22"/>
      <c r="N8" s="21" t="str">
        <f>Summary!A22</f>
        <v>2025-08</v>
      </c>
      <c r="O8" s="21">
        <f>Summary!B22</f>
        <v>220352</v>
      </c>
      <c r="P8" s="21">
        <f>Summary!C22</f>
        <v>218352</v>
      </c>
      <c r="Q8" s="21">
        <f>Summary!D22</f>
        <v>-2000</v>
      </c>
      <c r="R8" s="21">
        <f>Summary!E22</f>
        <v>135</v>
      </c>
      <c r="S8" s="21"/>
      <c r="T8" s="21"/>
      <c r="U8" s="21"/>
      <c r="V8" s="21"/>
      <c r="W8" s="21"/>
      <c r="X8" s="21"/>
      <c r="Y8" s="21" t="str">
        <f t="shared" si="0"/>
        <v>2025-08</v>
      </c>
      <c r="Z8" s="21">
        <f t="shared" si="1"/>
        <v>3162416.08</v>
      </c>
      <c r="AA8" s="21">
        <f t="shared" si="2"/>
        <v>3151457.08</v>
      </c>
      <c r="AC8" s="29" t="s">
        <v>2881</v>
      </c>
      <c r="AD8" s="30">
        <v>45000</v>
      </c>
      <c r="AF8" t="s">
        <v>20</v>
      </c>
      <c r="AG8">
        <v>135</v>
      </c>
      <c r="AH8" t="s">
        <v>20</v>
      </c>
      <c r="AI8">
        <v>220352</v>
      </c>
      <c r="AJ8">
        <v>218352</v>
      </c>
      <c r="AK8">
        <v>-2000</v>
      </c>
      <c r="AP8" t="s">
        <v>20</v>
      </c>
      <c r="AQ8">
        <v>220352</v>
      </c>
      <c r="AR8">
        <v>218352</v>
      </c>
      <c r="AS8" t="s">
        <v>20</v>
      </c>
      <c r="AT8">
        <v>3162416.08</v>
      </c>
      <c r="AU8">
        <v>3151457.08</v>
      </c>
    </row>
    <row r="9" spans="1:49" ht="3" customHeight="1" x14ac:dyDescent="0.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N9" s="21" t="str">
        <f>Summary!A23</f>
        <v>2025-09</v>
      </c>
      <c r="O9" s="21">
        <f>Summary!B23</f>
        <v>548023.5</v>
      </c>
      <c r="P9" s="21">
        <f>Summary!C23</f>
        <v>548023.5</v>
      </c>
      <c r="Q9" s="21">
        <f>Summary!D23</f>
        <v>0</v>
      </c>
      <c r="R9" s="21">
        <f>Summary!E23</f>
        <v>200</v>
      </c>
      <c r="S9" s="21"/>
      <c r="T9" s="21"/>
      <c r="U9" s="21"/>
      <c r="V9" s="21"/>
      <c r="W9" s="21"/>
      <c r="X9" s="21"/>
      <c r="Y9" s="21" t="str">
        <f t="shared" si="0"/>
        <v>2025-09</v>
      </c>
      <c r="Z9" s="21">
        <f t="shared" si="1"/>
        <v>3710439.58</v>
      </c>
      <c r="AA9" s="21">
        <f t="shared" si="2"/>
        <v>3699480.58</v>
      </c>
      <c r="AC9" s="29" t="s">
        <v>2882</v>
      </c>
      <c r="AD9" s="30">
        <v>43000</v>
      </c>
      <c r="AF9" t="s">
        <v>21</v>
      </c>
      <c r="AG9">
        <v>200</v>
      </c>
      <c r="AH9" t="s">
        <v>21</v>
      </c>
      <c r="AI9">
        <v>548023.5</v>
      </c>
      <c r="AJ9">
        <v>548023.5</v>
      </c>
      <c r="AK9">
        <v>0</v>
      </c>
      <c r="AP9" t="s">
        <v>21</v>
      </c>
      <c r="AQ9">
        <v>548023.5</v>
      </c>
      <c r="AR9">
        <v>548023.5</v>
      </c>
      <c r="AS9" t="s">
        <v>21</v>
      </c>
      <c r="AT9">
        <v>3710439.58</v>
      </c>
      <c r="AU9">
        <v>3699480.58</v>
      </c>
    </row>
    <row r="10" spans="1:49" ht="1" customHeight="1" x14ac:dyDescent="0.4">
      <c r="A10" s="22"/>
      <c r="B10" s="24"/>
      <c r="C10" s="24"/>
      <c r="D10" s="24"/>
      <c r="E10" s="24"/>
      <c r="F10" s="22"/>
      <c r="G10" s="24"/>
      <c r="H10" s="24"/>
      <c r="I10" s="24"/>
      <c r="J10" s="24"/>
      <c r="K10" s="22"/>
      <c r="N10" s="21" t="str">
        <f>Summary!A24</f>
        <v>2025-10</v>
      </c>
      <c r="O10" s="21">
        <f>Summary!B24</f>
        <v>527086</v>
      </c>
      <c r="P10" s="21">
        <f>Summary!C24</f>
        <v>527086</v>
      </c>
      <c r="Q10" s="21">
        <f>Summary!D24</f>
        <v>0</v>
      </c>
      <c r="R10" s="21">
        <f>Summary!E24</f>
        <v>165</v>
      </c>
      <c r="S10" s="21"/>
      <c r="T10" s="21"/>
      <c r="U10" s="21"/>
      <c r="V10" s="21"/>
      <c r="W10" s="21"/>
      <c r="X10" s="21"/>
      <c r="Y10" s="21" t="str">
        <f t="shared" si="0"/>
        <v>2025-10</v>
      </c>
      <c r="Z10" s="21">
        <f t="shared" si="1"/>
        <v>4237525.58</v>
      </c>
      <c r="AA10" s="21">
        <f t="shared" si="2"/>
        <v>4226566.58</v>
      </c>
      <c r="AC10" s="29" t="s">
        <v>2883</v>
      </c>
      <c r="AD10" s="30">
        <v>31500</v>
      </c>
      <c r="AF10" t="s">
        <v>22</v>
      </c>
      <c r="AG10">
        <v>165</v>
      </c>
      <c r="AH10" t="s">
        <v>22</v>
      </c>
      <c r="AI10">
        <v>527086</v>
      </c>
      <c r="AJ10">
        <v>527086</v>
      </c>
      <c r="AK10">
        <v>0</v>
      </c>
      <c r="AP10" t="s">
        <v>22</v>
      </c>
      <c r="AQ10">
        <v>527086</v>
      </c>
      <c r="AR10">
        <v>527086</v>
      </c>
      <c r="AS10" t="s">
        <v>22</v>
      </c>
      <c r="AT10">
        <v>4237525.58</v>
      </c>
      <c r="AU10">
        <v>4226566.58</v>
      </c>
    </row>
    <row r="11" spans="1:49" ht="18" customHeight="1" x14ac:dyDescent="0.45">
      <c r="A11" s="22"/>
      <c r="B11" s="26" t="s">
        <v>2860</v>
      </c>
      <c r="C11" s="22"/>
      <c r="D11" s="22"/>
      <c r="E11" s="22"/>
      <c r="F11" s="22"/>
      <c r="G11" s="26" t="s">
        <v>2862</v>
      </c>
      <c r="H11" s="22"/>
      <c r="I11" s="22"/>
      <c r="J11" s="22"/>
      <c r="K11" s="22"/>
      <c r="N11" s="21" t="str">
        <f>Summary!A25</f>
        <v>2025-11</v>
      </c>
      <c r="O11" s="21">
        <f>Summary!B25</f>
        <v>384460</v>
      </c>
      <c r="P11" s="21">
        <f>Summary!C25</f>
        <v>384460</v>
      </c>
      <c r="Q11" s="21">
        <f>Summary!D25</f>
        <v>0</v>
      </c>
      <c r="R11" s="21">
        <f>Summary!E25</f>
        <v>176</v>
      </c>
      <c r="S11" s="21"/>
      <c r="T11" s="21"/>
      <c r="U11" s="21"/>
      <c r="V11" s="21"/>
      <c r="W11" s="21"/>
      <c r="X11" s="21"/>
      <c r="Y11" s="21" t="str">
        <f t="shared" si="0"/>
        <v>2025-11</v>
      </c>
      <c r="Z11" s="21">
        <f t="shared" si="1"/>
        <v>4621985.58</v>
      </c>
      <c r="AA11" s="21">
        <f t="shared" si="2"/>
        <v>4611026.58</v>
      </c>
      <c r="AC11" s="29" t="s">
        <v>2884</v>
      </c>
      <c r="AD11" s="30">
        <v>30010</v>
      </c>
      <c r="AF11" t="s">
        <v>23</v>
      </c>
      <c r="AG11">
        <v>176</v>
      </c>
      <c r="AH11" t="s">
        <v>23</v>
      </c>
      <c r="AI11">
        <v>384460</v>
      </c>
      <c r="AJ11">
        <v>384460</v>
      </c>
      <c r="AK11">
        <v>0</v>
      </c>
      <c r="AP11" t="s">
        <v>23</v>
      </c>
      <c r="AQ11">
        <v>384460</v>
      </c>
      <c r="AR11">
        <v>384460</v>
      </c>
      <c r="AS11" t="s">
        <v>23</v>
      </c>
      <c r="AT11">
        <v>4621985.58</v>
      </c>
      <c r="AU11">
        <v>4611026.58</v>
      </c>
    </row>
    <row r="12" spans="1:49" ht="14" customHeight="1" x14ac:dyDescent="0.35">
      <c r="A12" s="22"/>
      <c r="B12" s="25" t="s">
        <v>2861</v>
      </c>
      <c r="C12" s="22"/>
      <c r="D12" s="22"/>
      <c r="E12" s="22"/>
      <c r="F12" s="22"/>
      <c r="G12" s="25" t="s">
        <v>2863</v>
      </c>
      <c r="H12" s="22"/>
      <c r="I12" s="22"/>
      <c r="J12" s="22"/>
      <c r="K12" s="22"/>
      <c r="N12" s="21" t="str">
        <f>Summary!A26</f>
        <v>2025-12</v>
      </c>
      <c r="O12" s="21">
        <f>Summary!B26</f>
        <v>993216.96</v>
      </c>
      <c r="P12" s="21">
        <f>Summary!C26</f>
        <v>993216.96</v>
      </c>
      <c r="Q12" s="21">
        <f>Summary!D26</f>
        <v>0</v>
      </c>
      <c r="R12" s="21">
        <f>Summary!E26</f>
        <v>109</v>
      </c>
      <c r="S12" s="21"/>
      <c r="T12" s="21"/>
      <c r="U12" s="21"/>
      <c r="V12" s="21"/>
      <c r="W12" s="21"/>
      <c r="X12" s="21"/>
      <c r="Y12" s="21" t="str">
        <f t="shared" si="0"/>
        <v>2025-12</v>
      </c>
      <c r="Z12" s="21">
        <f t="shared" si="1"/>
        <v>5615202.54</v>
      </c>
      <c r="AA12" s="21">
        <f t="shared" si="2"/>
        <v>5604243.54</v>
      </c>
      <c r="AF12" t="s">
        <v>24</v>
      </c>
      <c r="AG12">
        <v>109</v>
      </c>
      <c r="AH12" t="s">
        <v>24</v>
      </c>
      <c r="AI12">
        <v>993216.96</v>
      </c>
      <c r="AJ12">
        <v>993216.96</v>
      </c>
      <c r="AK12">
        <v>0</v>
      </c>
      <c r="AP12" t="s">
        <v>24</v>
      </c>
      <c r="AQ12">
        <v>993216.96</v>
      </c>
      <c r="AR12">
        <v>993216.96</v>
      </c>
      <c r="AS12" t="s">
        <v>24</v>
      </c>
      <c r="AT12">
        <v>5615202.54</v>
      </c>
      <c r="AU12">
        <v>5604243.54</v>
      </c>
    </row>
    <row r="13" spans="1:49" x14ac:dyDescent="0.3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N13" s="21" t="str">
        <f>Summary!A27</f>
        <v>2026-01</v>
      </c>
      <c r="O13" s="21">
        <f>Summary!B27</f>
        <v>712898</v>
      </c>
      <c r="P13" s="21">
        <f>Summary!C27</f>
        <v>712898</v>
      </c>
      <c r="Q13" s="21">
        <f>Summary!D27</f>
        <v>0</v>
      </c>
      <c r="R13" s="21">
        <f>Summary!E27</f>
        <v>190</v>
      </c>
      <c r="S13" s="21"/>
      <c r="T13" s="21"/>
      <c r="U13" s="21"/>
      <c r="V13" s="21"/>
      <c r="W13" s="21"/>
      <c r="X13" s="21"/>
      <c r="Y13" s="21" t="str">
        <f t="shared" si="0"/>
        <v>2026-01</v>
      </c>
      <c r="Z13" s="21">
        <f t="shared" si="1"/>
        <v>6328100.54</v>
      </c>
      <c r="AA13" s="21">
        <f t="shared" si="2"/>
        <v>6317141.54</v>
      </c>
      <c r="AF13" t="s">
        <v>25</v>
      </c>
      <c r="AG13">
        <v>190</v>
      </c>
      <c r="AH13" t="s">
        <v>25</v>
      </c>
      <c r="AI13">
        <v>712898</v>
      </c>
      <c r="AJ13">
        <v>712898</v>
      </c>
      <c r="AK13">
        <v>0</v>
      </c>
      <c r="AP13" t="s">
        <v>25</v>
      </c>
      <c r="AQ13">
        <v>712898</v>
      </c>
      <c r="AR13">
        <v>712898</v>
      </c>
      <c r="AS13" t="s">
        <v>25</v>
      </c>
      <c r="AT13">
        <v>6328100.54</v>
      </c>
      <c r="AU13">
        <v>6317141.54</v>
      </c>
    </row>
    <row r="14" spans="1:49" x14ac:dyDescent="0.3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N14" s="21" t="str">
        <f>Summary!A28</f>
        <v>2026-02</v>
      </c>
      <c r="O14" s="21">
        <f>Summary!B28</f>
        <v>580597</v>
      </c>
      <c r="P14" s="21">
        <f>Summary!C28</f>
        <v>580597</v>
      </c>
      <c r="Q14" s="21">
        <f>Summary!D28</f>
        <v>0</v>
      </c>
      <c r="R14" s="21">
        <f>Summary!E28</f>
        <v>168</v>
      </c>
      <c r="S14" s="21"/>
      <c r="T14" s="21"/>
      <c r="U14" s="21"/>
      <c r="V14" s="21"/>
      <c r="W14" s="21"/>
      <c r="X14" s="21"/>
      <c r="Y14" s="21" t="str">
        <f t="shared" si="0"/>
        <v>2026-02</v>
      </c>
      <c r="Z14" s="21">
        <f t="shared" si="1"/>
        <v>6908697.54</v>
      </c>
      <c r="AA14" s="21">
        <f t="shared" si="2"/>
        <v>6897738.54</v>
      </c>
      <c r="AF14" t="s">
        <v>26</v>
      </c>
      <c r="AG14">
        <v>168</v>
      </c>
      <c r="AH14" t="s">
        <v>26</v>
      </c>
      <c r="AI14">
        <v>580597</v>
      </c>
      <c r="AJ14">
        <v>580597</v>
      </c>
      <c r="AK14">
        <v>0</v>
      </c>
      <c r="AP14" t="s">
        <v>26</v>
      </c>
      <c r="AQ14">
        <v>580597</v>
      </c>
      <c r="AR14">
        <v>580597</v>
      </c>
      <c r="AS14" t="s">
        <v>26</v>
      </c>
      <c r="AT14">
        <v>6908697.54</v>
      </c>
      <c r="AU14">
        <v>6897738.54</v>
      </c>
    </row>
    <row r="15" spans="1:49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N15" s="21" t="str">
        <f>Summary!A29</f>
        <v>2026-03</v>
      </c>
      <c r="O15" s="21">
        <f>Summary!B29</f>
        <v>65112</v>
      </c>
      <c r="P15" s="21">
        <f>Summary!C29</f>
        <v>65112</v>
      </c>
      <c r="Q15" s="21">
        <f>Summary!D29</f>
        <v>0</v>
      </c>
      <c r="R15" s="21">
        <f>Summary!E29</f>
        <v>27</v>
      </c>
      <c r="S15" s="21"/>
      <c r="T15" s="21"/>
      <c r="U15" s="21"/>
      <c r="V15" s="21"/>
      <c r="W15" s="21"/>
      <c r="X15" s="21"/>
      <c r="Y15" s="21" t="str">
        <f t="shared" si="0"/>
        <v>2026-03</v>
      </c>
      <c r="Z15" s="21">
        <f t="shared" si="1"/>
        <v>6973809.54</v>
      </c>
      <c r="AA15" s="21">
        <f t="shared" si="2"/>
        <v>6962850.54</v>
      </c>
      <c r="AF15" t="s">
        <v>27</v>
      </c>
      <c r="AG15">
        <v>27</v>
      </c>
      <c r="AH15" t="s">
        <v>27</v>
      </c>
      <c r="AI15">
        <v>65112</v>
      </c>
      <c r="AJ15">
        <v>65112</v>
      </c>
      <c r="AK15">
        <v>0</v>
      </c>
      <c r="AP15" t="s">
        <v>27</v>
      </c>
      <c r="AQ15">
        <v>65112</v>
      </c>
      <c r="AR15">
        <v>65112</v>
      </c>
      <c r="AS15" t="s">
        <v>27</v>
      </c>
      <c r="AT15">
        <v>6973809.54</v>
      </c>
      <c r="AU15">
        <v>6962850.54</v>
      </c>
    </row>
    <row r="16" spans="1:49" x14ac:dyDescent="0.3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x14ac:dyDescent="0.3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x14ac:dyDescent="0.3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 x14ac:dyDescent="0.3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1" x14ac:dyDescent="0.3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spans="1:11" x14ac:dyDescent="0.3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x14ac:dyDescent="0.3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x14ac:dyDescent="0.3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x14ac:dyDescent="0.3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0" customHeight="1" x14ac:dyDescent="0.3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22" customHeight="1" x14ac:dyDescent="0.3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8" customHeight="1" x14ac:dyDescent="0.3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28" customHeight="1" x14ac:dyDescent="0.3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8" customHeight="1" x14ac:dyDescent="0.35">
      <c r="A29" s="22"/>
      <c r="B29" s="27"/>
      <c r="C29" s="27"/>
      <c r="D29" s="27"/>
      <c r="E29" s="27"/>
      <c r="F29" s="27"/>
      <c r="G29" s="27"/>
      <c r="H29" s="27"/>
      <c r="I29" s="27"/>
      <c r="J29" s="27"/>
      <c r="K29" s="22"/>
    </row>
    <row r="30" spans="1:11" ht="18" customHeight="1" x14ac:dyDescent="0.45">
      <c r="A30" s="22"/>
      <c r="B30" s="26" t="s">
        <v>2864</v>
      </c>
      <c r="C30" s="22"/>
      <c r="D30" s="22"/>
      <c r="E30" s="22"/>
      <c r="F30" s="22"/>
      <c r="G30" s="26" t="s">
        <v>2866</v>
      </c>
      <c r="H30" s="22"/>
      <c r="I30" s="22"/>
      <c r="J30" s="22"/>
      <c r="K30" s="22"/>
    </row>
    <row r="31" spans="1:11" ht="14" customHeight="1" x14ac:dyDescent="0.35">
      <c r="A31" s="22"/>
      <c r="B31" s="25" t="s">
        <v>2865</v>
      </c>
      <c r="C31" s="22"/>
      <c r="D31" s="22"/>
      <c r="E31" s="22"/>
      <c r="F31" s="22"/>
      <c r="G31" s="25" t="s">
        <v>2867</v>
      </c>
      <c r="H31" s="22"/>
      <c r="I31" s="22"/>
      <c r="J31" s="22"/>
      <c r="K31" s="22"/>
    </row>
    <row r="32" spans="1:11" x14ac:dyDescent="0.3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1" x14ac:dyDescent="0.3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x14ac:dyDescent="0.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spans="1:11" x14ac:dyDescent="0.3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x14ac:dyDescent="0.3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x14ac:dyDescent="0.3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x14ac:dyDescent="0.3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spans="1:11" x14ac:dyDescent="0.3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x14ac:dyDescent="0.3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spans="1:11" x14ac:dyDescent="0.3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x14ac:dyDescent="0.3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 spans="1:11" x14ac:dyDescent="0.3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x14ac:dyDescent="0.3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ht="8" customHeight="1" x14ac:dyDescent="0.35">
      <c r="A48" s="22"/>
      <c r="B48" s="27"/>
      <c r="C48" s="27"/>
      <c r="D48" s="27"/>
      <c r="E48" s="27"/>
      <c r="F48" s="27"/>
      <c r="G48" s="27"/>
      <c r="H48" s="27"/>
      <c r="I48" s="27"/>
      <c r="J48" s="27"/>
      <c r="K48" s="22"/>
    </row>
    <row r="49" spans="1:11" ht="18" customHeight="1" x14ac:dyDescent="0.45">
      <c r="A49" s="22"/>
      <c r="B49" s="26" t="s">
        <v>2869</v>
      </c>
      <c r="C49" s="22"/>
      <c r="D49" s="22"/>
      <c r="E49" s="22"/>
      <c r="F49" s="22"/>
      <c r="G49" s="26" t="s">
        <v>2871</v>
      </c>
      <c r="H49" s="22"/>
      <c r="I49" s="22"/>
      <c r="J49" s="22"/>
      <c r="K49" s="22"/>
    </row>
    <row r="50" spans="1:11" ht="14" customHeight="1" x14ac:dyDescent="0.35">
      <c r="A50" s="22"/>
      <c r="B50" s="25" t="s">
        <v>2870</v>
      </c>
      <c r="C50" s="22"/>
      <c r="D50" s="22"/>
      <c r="E50" s="22"/>
      <c r="F50" s="22"/>
      <c r="G50" s="25" t="s">
        <v>2872</v>
      </c>
      <c r="H50" s="22"/>
      <c r="I50" s="22"/>
      <c r="J50" s="22"/>
      <c r="K50" s="22"/>
    </row>
    <row r="51" spans="1:11" x14ac:dyDescent="0.3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spans="1:11" x14ac:dyDescent="0.3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 x14ac:dyDescent="0.3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1" x14ac:dyDescent="0.3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1" x14ac:dyDescent="0.3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 x14ac:dyDescent="0.3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 spans="1:11" x14ac:dyDescent="0.3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spans="1:11" x14ac:dyDescent="0.3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</row>
    <row r="59" spans="1:11" x14ac:dyDescent="0.3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</row>
    <row r="60" spans="1:11" x14ac:dyDescent="0.3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spans="1:11" x14ac:dyDescent="0.3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1" x14ac:dyDescent="0.3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spans="1:11" x14ac:dyDescent="0.3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 spans="1:11" x14ac:dyDescent="0.3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x14ac:dyDescent="0.3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spans="1:11" x14ac:dyDescent="0.3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1:1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3" customHeight="1" x14ac:dyDescent="0.35">
      <c r="B68" s="22"/>
      <c r="C68" s="22"/>
      <c r="D68" s="22"/>
      <c r="E68" s="22"/>
      <c r="F68" s="22"/>
      <c r="G68" s="22"/>
      <c r="H68" s="22"/>
      <c r="I68" s="22"/>
      <c r="J68" s="22"/>
    </row>
    <row r="69" spans="1:11" ht="1" customHeight="1" x14ac:dyDescent="0.35">
      <c r="B69" s="23"/>
      <c r="C69" s="23"/>
      <c r="D69" s="23"/>
      <c r="E69" s="23"/>
      <c r="F69" s="23"/>
      <c r="G69" s="23"/>
      <c r="H69" s="23"/>
      <c r="I69" s="23"/>
      <c r="J69" s="23"/>
    </row>
    <row r="70" spans="1:11" ht="20" customHeight="1" x14ac:dyDescent="0.35">
      <c r="B70" s="23"/>
      <c r="C70" s="23"/>
      <c r="D70" s="23"/>
      <c r="E70" s="23"/>
      <c r="F70" s="23"/>
      <c r="G70" s="23"/>
      <c r="H70" s="23"/>
      <c r="I70" s="23"/>
      <c r="J70" s="23"/>
    </row>
    <row r="71" spans="1:11" x14ac:dyDescent="0.35">
      <c r="B71" s="23"/>
      <c r="C71" s="23"/>
      <c r="D71" s="23"/>
      <c r="E71" s="23"/>
      <c r="F71" s="23"/>
      <c r="G71" s="23"/>
      <c r="H71" s="23"/>
      <c r="I71" s="23"/>
      <c r="J71" s="23"/>
    </row>
    <row r="72" spans="1:11" x14ac:dyDescent="0.35">
      <c r="B72" s="23"/>
      <c r="C72" s="23"/>
      <c r="D72" s="23"/>
      <c r="E72" s="23"/>
      <c r="F72" s="23"/>
      <c r="G72" s="23"/>
      <c r="H72" s="23"/>
      <c r="I72" s="23"/>
      <c r="J72" s="23"/>
    </row>
    <row r="73" spans="1:11" x14ac:dyDescent="0.35">
      <c r="B73" s="23"/>
      <c r="C73" s="23"/>
      <c r="D73" s="23"/>
      <c r="E73" s="23"/>
      <c r="F73" s="23"/>
      <c r="G73" s="23"/>
      <c r="H73" s="23"/>
      <c r="I73" s="23"/>
      <c r="J73" s="23"/>
    </row>
    <row r="74" spans="1:11" x14ac:dyDescent="0.35">
      <c r="B74" s="23"/>
      <c r="C74" s="23"/>
      <c r="D74" s="23"/>
      <c r="E74" s="23"/>
      <c r="F74" s="23"/>
      <c r="G74" s="23"/>
      <c r="H74" s="23"/>
      <c r="I74" s="23"/>
      <c r="J74" s="23"/>
    </row>
    <row r="75" spans="1:11" x14ac:dyDescent="0.35">
      <c r="B75" s="23"/>
      <c r="C75" s="23"/>
      <c r="D75" s="23"/>
      <c r="E75" s="23"/>
      <c r="F75" s="23"/>
      <c r="G75" s="23"/>
      <c r="H75" s="23"/>
      <c r="I75" s="23"/>
      <c r="J75" s="23"/>
    </row>
    <row r="76" spans="1:11" x14ac:dyDescent="0.35">
      <c r="B76" s="23"/>
      <c r="C76" s="23"/>
      <c r="D76" s="23"/>
      <c r="E76" s="23"/>
      <c r="F76" s="23"/>
      <c r="G76" s="23"/>
      <c r="H76" s="23"/>
      <c r="I76" s="23"/>
      <c r="J76" s="23"/>
    </row>
    <row r="77" spans="1:11" x14ac:dyDescent="0.35">
      <c r="B77" s="23"/>
      <c r="C77" s="23"/>
      <c r="D77" s="23"/>
      <c r="E77" s="23"/>
      <c r="F77" s="23"/>
      <c r="G77" s="23"/>
      <c r="H77" s="23"/>
      <c r="I77" s="23"/>
      <c r="J77" s="23"/>
    </row>
    <row r="78" spans="1:11" x14ac:dyDescent="0.35">
      <c r="B78" s="23"/>
      <c r="C78" s="23"/>
      <c r="D78" s="23"/>
      <c r="E78" s="23"/>
      <c r="F78" s="23"/>
      <c r="G78" s="23"/>
      <c r="H78" s="23"/>
      <c r="I78" s="23"/>
      <c r="J78" s="23"/>
    </row>
    <row r="79" spans="1:11" x14ac:dyDescent="0.35">
      <c r="B79" s="23"/>
      <c r="C79" s="23"/>
      <c r="D79" s="23"/>
      <c r="E79" s="23"/>
      <c r="F79" s="23"/>
      <c r="G79" s="23"/>
      <c r="H79" s="23"/>
      <c r="I79" s="23"/>
      <c r="J79" s="23"/>
    </row>
    <row r="80" spans="1:11" x14ac:dyDescent="0.35">
      <c r="B80" s="23"/>
      <c r="C80" s="23"/>
      <c r="D80" s="23"/>
      <c r="E80" s="23"/>
      <c r="F80" s="23"/>
      <c r="G80" s="23"/>
      <c r="H80" s="23"/>
      <c r="I80" s="23"/>
      <c r="J80" s="23"/>
    </row>
    <row r="81" spans="2:10" x14ac:dyDescent="0.35">
      <c r="B81" s="23"/>
      <c r="C81" s="23"/>
      <c r="D81" s="23"/>
      <c r="E81" s="23"/>
      <c r="F81" s="23"/>
      <c r="G81" s="23"/>
      <c r="H81" s="23"/>
      <c r="I81" s="23"/>
      <c r="J81" s="23"/>
    </row>
    <row r="82" spans="2:10" x14ac:dyDescent="0.35">
      <c r="B82" s="23"/>
      <c r="C82" s="23"/>
      <c r="D82" s="23"/>
      <c r="E82" s="23"/>
      <c r="F82" s="23"/>
      <c r="G82" s="23"/>
      <c r="H82" s="23"/>
      <c r="I82" s="23"/>
      <c r="J82" s="23"/>
    </row>
    <row r="83" spans="2:10" x14ac:dyDescent="0.35">
      <c r="B83" s="23"/>
      <c r="C83" s="23"/>
      <c r="D83" s="23"/>
      <c r="E83" s="23"/>
      <c r="F83" s="23"/>
      <c r="G83" s="23"/>
      <c r="H83" s="23"/>
      <c r="I83" s="23"/>
      <c r="J83" s="23"/>
    </row>
    <row r="84" spans="2:10" x14ac:dyDescent="0.35">
      <c r="B84" s="23"/>
      <c r="C84" s="23"/>
      <c r="D84" s="23"/>
      <c r="E84" s="23"/>
      <c r="F84" s="23"/>
      <c r="G84" s="23"/>
      <c r="H84" s="23"/>
      <c r="I84" s="23"/>
      <c r="J84" s="23"/>
    </row>
    <row r="85" spans="2:10" x14ac:dyDescent="0.35">
      <c r="B85" s="23"/>
      <c r="C85" s="23"/>
      <c r="D85" s="23"/>
      <c r="E85" s="23"/>
      <c r="F85" s="23"/>
      <c r="G85" s="23"/>
      <c r="H85" s="23"/>
      <c r="I85" s="23"/>
      <c r="J85" s="23"/>
    </row>
    <row r="86" spans="2:10" x14ac:dyDescent="0.35">
      <c r="B86" s="23"/>
      <c r="C86" s="23"/>
      <c r="D86" s="23"/>
      <c r="E86" s="23"/>
      <c r="F86" s="23"/>
      <c r="G86" s="23"/>
      <c r="H86" s="23"/>
      <c r="I86" s="23"/>
      <c r="J86" s="23"/>
    </row>
    <row r="87" spans="2:10" x14ac:dyDescent="0.35">
      <c r="B87" s="23"/>
      <c r="C87" s="23"/>
      <c r="D87" s="23"/>
      <c r="E87" s="23"/>
      <c r="F87" s="23"/>
      <c r="G87" s="23"/>
      <c r="H87" s="23"/>
      <c r="I87" s="23"/>
      <c r="J87" s="23"/>
    </row>
    <row r="88" spans="2:10" x14ac:dyDescent="0.35">
      <c r="B88" s="23"/>
      <c r="C88" s="23"/>
      <c r="D88" s="23"/>
      <c r="E88" s="23"/>
      <c r="F88" s="23"/>
      <c r="G88" s="23"/>
      <c r="H88" s="23"/>
      <c r="I88" s="23"/>
      <c r="J88" s="23"/>
    </row>
    <row r="89" spans="2:10" x14ac:dyDescent="0.35">
      <c r="B89" s="23"/>
      <c r="C89" s="23"/>
      <c r="D89" s="23"/>
      <c r="E89" s="23"/>
      <c r="F89" s="23"/>
      <c r="G89" s="23"/>
      <c r="H89" s="23"/>
      <c r="I89" s="23"/>
      <c r="J89" s="23"/>
    </row>
    <row r="90" spans="2:10" x14ac:dyDescent="0.35">
      <c r="B90" s="23"/>
      <c r="C90" s="23"/>
      <c r="D90" s="23"/>
      <c r="E90" s="23"/>
      <c r="F90" s="23"/>
      <c r="G90" s="23"/>
      <c r="H90" s="23"/>
      <c r="I90" s="23"/>
      <c r="J90" s="23"/>
    </row>
    <row r="91" spans="2:10" x14ac:dyDescent="0.35">
      <c r="B91" s="23"/>
      <c r="C91" s="23"/>
      <c r="D91" s="23"/>
      <c r="E91" s="23"/>
      <c r="F91" s="23"/>
      <c r="G91" s="23"/>
      <c r="H91" s="23"/>
      <c r="I91" s="23"/>
      <c r="J91" s="23"/>
    </row>
    <row r="92" spans="2:10" x14ac:dyDescent="0.35">
      <c r="B92" s="23"/>
      <c r="C92" s="23"/>
      <c r="D92" s="23"/>
      <c r="E92" s="23"/>
      <c r="F92" s="23"/>
      <c r="G92" s="23"/>
      <c r="H92" s="23"/>
      <c r="I92" s="23"/>
      <c r="J92" s="23"/>
    </row>
    <row r="93" spans="2:10" x14ac:dyDescent="0.35">
      <c r="B93" s="23"/>
      <c r="C93" s="23"/>
      <c r="D93" s="23"/>
      <c r="E93" s="23"/>
      <c r="F93" s="23"/>
      <c r="G93" s="23"/>
      <c r="H93" s="23"/>
      <c r="I93" s="23"/>
      <c r="J93" s="23"/>
    </row>
    <row r="94" spans="2:10" x14ac:dyDescent="0.35">
      <c r="B94" s="31"/>
      <c r="C94" s="23" t="s">
        <v>2890</v>
      </c>
      <c r="D94" s="23" t="s">
        <v>2890</v>
      </c>
      <c r="E94" s="23"/>
      <c r="F94" s="23"/>
      <c r="G94" s="23"/>
      <c r="H94" s="23"/>
      <c r="I94" s="31"/>
      <c r="J94" s="23"/>
    </row>
    <row r="95" spans="2:10" x14ac:dyDescent="0.35">
      <c r="B95" s="23"/>
      <c r="C95" s="23"/>
      <c r="D95" s="23"/>
      <c r="E95" s="23"/>
      <c r="F95" s="23"/>
      <c r="G95" s="23"/>
      <c r="H95" s="23"/>
      <c r="I95" s="23"/>
      <c r="J95" s="23"/>
    </row>
  </sheetData>
  <mergeCells count="16">
    <mergeCell ref="B8:C8"/>
    <mergeCell ref="D8:E8"/>
    <mergeCell ref="G8:H8"/>
    <mergeCell ref="I8:J8"/>
    <mergeCell ref="B2:E2"/>
    <mergeCell ref="G2:J2"/>
    <mergeCell ref="B3:E3"/>
    <mergeCell ref="G3:J3"/>
    <mergeCell ref="B7:C7"/>
    <mergeCell ref="D7:E7"/>
    <mergeCell ref="G7:H7"/>
    <mergeCell ref="I7:J7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opLeftCell="B1" workbookViewId="0">
      <selection activeCell="D34" sqref="D34"/>
    </sheetView>
  </sheetViews>
  <sheetFormatPr defaultRowHeight="14.5" x14ac:dyDescent="0.35"/>
  <cols>
    <col min="1" max="1" width="30" customWidth="1"/>
    <col min="2" max="3" width="22" customWidth="1"/>
    <col min="4" max="4" width="16.90625" customWidth="1"/>
    <col min="5" max="5" width="26" customWidth="1"/>
    <col min="6" max="6" width="18" customWidth="1"/>
    <col min="7" max="7" width="14" customWidth="1"/>
  </cols>
  <sheetData>
    <row r="1" spans="1:7" ht="28" customHeight="1" x14ac:dyDescent="0.35">
      <c r="A1" s="45" t="s">
        <v>2885</v>
      </c>
      <c r="B1" s="35"/>
      <c r="C1" s="35"/>
      <c r="D1" s="35"/>
      <c r="E1" s="35"/>
      <c r="F1" s="35"/>
      <c r="G1" s="35"/>
    </row>
    <row r="2" spans="1:7" x14ac:dyDescent="0.35">
      <c r="A2" s="46" t="s">
        <v>0</v>
      </c>
      <c r="B2" s="35"/>
      <c r="C2" s="35"/>
      <c r="D2" s="35"/>
      <c r="E2" s="35"/>
      <c r="F2" s="35"/>
      <c r="G2" s="35"/>
    </row>
    <row r="4" spans="1:7" x14ac:dyDescent="0.35">
      <c r="A4" s="44" t="s">
        <v>2886</v>
      </c>
      <c r="B4" s="35"/>
      <c r="C4" s="35"/>
      <c r="D4" s="35"/>
      <c r="E4" s="35"/>
      <c r="F4" s="35"/>
      <c r="G4" s="35"/>
    </row>
    <row r="5" spans="1:7" x14ac:dyDescent="0.35">
      <c r="A5" s="1" t="s">
        <v>1</v>
      </c>
      <c r="B5" s="1" t="s">
        <v>2</v>
      </c>
      <c r="C5" s="1" t="s">
        <v>3</v>
      </c>
    </row>
    <row r="6" spans="1:7" x14ac:dyDescent="0.35">
      <c r="A6" s="2" t="s">
        <v>4</v>
      </c>
      <c r="B6" s="3">
        <v>7959</v>
      </c>
      <c r="C6" s="3">
        <v>0</v>
      </c>
    </row>
    <row r="7" spans="1:7" x14ac:dyDescent="0.35">
      <c r="A7" s="4" t="s">
        <v>5</v>
      </c>
      <c r="B7" s="5">
        <v>0</v>
      </c>
      <c r="C7" s="5">
        <v>31514.84</v>
      </c>
    </row>
    <row r="8" spans="1:7" x14ac:dyDescent="0.35">
      <c r="A8" s="2" t="s">
        <v>6</v>
      </c>
      <c r="B8" s="3">
        <v>6970809.54</v>
      </c>
      <c r="C8" s="3">
        <v>2405288.54</v>
      </c>
    </row>
    <row r="9" spans="1:7" x14ac:dyDescent="0.35">
      <c r="A9" s="4" t="s">
        <v>7</v>
      </c>
      <c r="B9" s="5">
        <v>6962850.54</v>
      </c>
      <c r="C9" s="5">
        <v>2436803.38</v>
      </c>
    </row>
    <row r="10" spans="1:7" x14ac:dyDescent="0.35">
      <c r="A10" s="2" t="s">
        <v>8</v>
      </c>
      <c r="B10" s="6">
        <v>1135</v>
      </c>
      <c r="C10" s="6">
        <v>692</v>
      </c>
    </row>
    <row r="11" spans="1:7" x14ac:dyDescent="0.35">
      <c r="A11" s="4" t="s">
        <v>9</v>
      </c>
      <c r="B11" s="7">
        <v>802</v>
      </c>
      <c r="C11" s="7">
        <v>374</v>
      </c>
    </row>
    <row r="12" spans="1:7" x14ac:dyDescent="0.35">
      <c r="A12" s="2" t="s">
        <v>10</v>
      </c>
      <c r="B12" s="6">
        <v>1937</v>
      </c>
      <c r="C12" s="6">
        <v>1066</v>
      </c>
    </row>
    <row r="14" spans="1:7" x14ac:dyDescent="0.35">
      <c r="A14" s="44" t="s">
        <v>2887</v>
      </c>
      <c r="B14" s="35"/>
      <c r="C14" s="35"/>
      <c r="D14" s="35"/>
      <c r="E14" s="35"/>
      <c r="F14" s="35"/>
      <c r="G14" s="35"/>
    </row>
    <row r="15" spans="1:7" x14ac:dyDescent="0.35">
      <c r="A15" s="1" t="s">
        <v>11</v>
      </c>
      <c r="B15" s="1" t="s">
        <v>6</v>
      </c>
      <c r="C15" s="1" t="s">
        <v>7</v>
      </c>
      <c r="D15" s="1" t="s">
        <v>12</v>
      </c>
      <c r="E15" s="1" t="s">
        <v>13</v>
      </c>
    </row>
    <row r="16" spans="1:7" x14ac:dyDescent="0.35">
      <c r="A16" s="8" t="s">
        <v>14</v>
      </c>
      <c r="B16" s="3">
        <v>122020</v>
      </c>
      <c r="C16" s="3">
        <v>222000</v>
      </c>
      <c r="D16" s="3">
        <v>99980</v>
      </c>
      <c r="E16" s="9">
        <v>129</v>
      </c>
    </row>
    <row r="17" spans="1:7" x14ac:dyDescent="0.35">
      <c r="A17" s="10" t="s">
        <v>15</v>
      </c>
      <c r="B17" s="5">
        <v>158665</v>
      </c>
      <c r="C17" s="5">
        <v>56000</v>
      </c>
      <c r="D17" s="5">
        <v>-102665</v>
      </c>
      <c r="E17" s="11">
        <v>55</v>
      </c>
    </row>
    <row r="18" spans="1:7" x14ac:dyDescent="0.35">
      <c r="A18" s="8" t="s">
        <v>16</v>
      </c>
      <c r="B18" s="3">
        <v>82769</v>
      </c>
      <c r="C18" s="3">
        <v>76495</v>
      </c>
      <c r="D18" s="3">
        <v>-6274</v>
      </c>
      <c r="E18" s="9">
        <v>53</v>
      </c>
    </row>
    <row r="19" spans="1:7" x14ac:dyDescent="0.35">
      <c r="A19" s="10" t="s">
        <v>17</v>
      </c>
      <c r="B19" s="5">
        <v>1541451.58</v>
      </c>
      <c r="C19" s="5">
        <v>1541451.58</v>
      </c>
      <c r="D19" s="5">
        <v>0</v>
      </c>
      <c r="E19" s="11">
        <v>150</v>
      </c>
    </row>
    <row r="20" spans="1:7" x14ac:dyDescent="0.35">
      <c r="A20" s="8" t="s">
        <v>18</v>
      </c>
      <c r="B20" s="3">
        <v>741651</v>
      </c>
      <c r="C20" s="3">
        <v>741651</v>
      </c>
      <c r="D20" s="3">
        <v>0</v>
      </c>
      <c r="E20" s="9">
        <v>248</v>
      </c>
    </row>
    <row r="21" spans="1:7" x14ac:dyDescent="0.35">
      <c r="A21" s="10" t="s">
        <v>19</v>
      </c>
      <c r="B21" s="5">
        <v>295507.5</v>
      </c>
      <c r="C21" s="5">
        <v>295507.5</v>
      </c>
      <c r="D21" s="5">
        <v>0</v>
      </c>
      <c r="E21" s="11">
        <v>132</v>
      </c>
    </row>
    <row r="22" spans="1:7" x14ac:dyDescent="0.35">
      <c r="A22" s="8" t="s">
        <v>20</v>
      </c>
      <c r="B22" s="3">
        <v>220352</v>
      </c>
      <c r="C22" s="3">
        <v>218352</v>
      </c>
      <c r="D22" s="3">
        <v>-2000</v>
      </c>
      <c r="E22" s="9">
        <v>135</v>
      </c>
    </row>
    <row r="23" spans="1:7" x14ac:dyDescent="0.35">
      <c r="A23" s="10" t="s">
        <v>21</v>
      </c>
      <c r="B23" s="5">
        <v>548023.5</v>
      </c>
      <c r="C23" s="5">
        <v>548023.5</v>
      </c>
      <c r="D23" s="5">
        <v>0</v>
      </c>
      <c r="E23" s="11">
        <v>200</v>
      </c>
    </row>
    <row r="24" spans="1:7" x14ac:dyDescent="0.35">
      <c r="A24" s="8" t="s">
        <v>22</v>
      </c>
      <c r="B24" s="3">
        <v>527086</v>
      </c>
      <c r="C24" s="3">
        <v>527086</v>
      </c>
      <c r="D24" s="3">
        <v>0</v>
      </c>
      <c r="E24" s="9">
        <v>165</v>
      </c>
    </row>
    <row r="25" spans="1:7" x14ac:dyDescent="0.35">
      <c r="A25" s="10" t="s">
        <v>23</v>
      </c>
      <c r="B25" s="5">
        <v>384460</v>
      </c>
      <c r="C25" s="5">
        <v>384460</v>
      </c>
      <c r="D25" s="5">
        <v>0</v>
      </c>
      <c r="E25" s="11">
        <v>176</v>
      </c>
    </row>
    <row r="26" spans="1:7" x14ac:dyDescent="0.35">
      <c r="A26" s="8" t="s">
        <v>24</v>
      </c>
      <c r="B26" s="3">
        <v>993216.96</v>
      </c>
      <c r="C26" s="3">
        <v>993216.96</v>
      </c>
      <c r="D26" s="3">
        <v>0</v>
      </c>
      <c r="E26" s="9">
        <v>109</v>
      </c>
    </row>
    <row r="27" spans="1:7" x14ac:dyDescent="0.35">
      <c r="A27" s="10" t="s">
        <v>25</v>
      </c>
      <c r="B27" s="5">
        <v>712898</v>
      </c>
      <c r="C27" s="5">
        <v>712898</v>
      </c>
      <c r="D27" s="5">
        <v>0</v>
      </c>
      <c r="E27" s="11">
        <v>190</v>
      </c>
    </row>
    <row r="28" spans="1:7" x14ac:dyDescent="0.35">
      <c r="A28" s="8" t="s">
        <v>26</v>
      </c>
      <c r="B28" s="3">
        <v>580597</v>
      </c>
      <c r="C28" s="3">
        <v>580597</v>
      </c>
      <c r="D28" s="3">
        <v>0</v>
      </c>
      <c r="E28" s="9">
        <v>168</v>
      </c>
    </row>
    <row r="29" spans="1:7" x14ac:dyDescent="0.35">
      <c r="A29" s="10" t="s">
        <v>27</v>
      </c>
      <c r="B29" s="5">
        <v>65112</v>
      </c>
      <c r="C29" s="5">
        <v>65112</v>
      </c>
      <c r="D29" s="5">
        <v>0</v>
      </c>
      <c r="E29" s="11">
        <v>27</v>
      </c>
    </row>
    <row r="31" spans="1:7" x14ac:dyDescent="0.35">
      <c r="A31" s="44" t="s">
        <v>2888</v>
      </c>
      <c r="B31" s="35"/>
      <c r="C31" s="35"/>
      <c r="D31" s="35"/>
      <c r="E31" s="35"/>
      <c r="F31" s="35"/>
      <c r="G31" s="35"/>
    </row>
    <row r="32" spans="1:7" x14ac:dyDescent="0.35">
      <c r="A32" s="1" t="s">
        <v>11</v>
      </c>
      <c r="B32" s="1" t="s">
        <v>6</v>
      </c>
      <c r="C32" s="1" t="s">
        <v>7</v>
      </c>
      <c r="D32" s="1" t="s">
        <v>12</v>
      </c>
      <c r="E32" s="1" t="s">
        <v>13</v>
      </c>
    </row>
    <row r="33" spans="1:7" x14ac:dyDescent="0.35">
      <c r="A33" s="10" t="s">
        <v>16</v>
      </c>
      <c r="B33" s="5">
        <v>2995</v>
      </c>
      <c r="C33" s="5">
        <v>11390.76</v>
      </c>
      <c r="D33" s="5">
        <v>8395.76</v>
      </c>
      <c r="E33" s="11">
        <v>4</v>
      </c>
    </row>
    <row r="34" spans="1:7" x14ac:dyDescent="0.35">
      <c r="A34" s="8" t="s">
        <v>17</v>
      </c>
      <c r="B34" s="3">
        <v>209741.58</v>
      </c>
      <c r="C34" s="3">
        <v>277674.13</v>
      </c>
      <c r="D34" s="3">
        <v>67932.549999999988</v>
      </c>
      <c r="E34" s="9">
        <v>91</v>
      </c>
    </row>
    <row r="35" spans="1:7" x14ac:dyDescent="0.35">
      <c r="A35" s="10" t="s">
        <v>18</v>
      </c>
      <c r="B35" s="5">
        <v>397351</v>
      </c>
      <c r="C35" s="5">
        <v>325916.26</v>
      </c>
      <c r="D35" s="5">
        <v>-71434.739999999991</v>
      </c>
      <c r="E35" s="11">
        <v>134</v>
      </c>
    </row>
    <row r="36" spans="1:7" x14ac:dyDescent="0.35">
      <c r="A36" s="8" t="s">
        <v>19</v>
      </c>
      <c r="B36" s="3">
        <v>107507.5</v>
      </c>
      <c r="C36" s="3">
        <v>103992.52</v>
      </c>
      <c r="D36" s="3">
        <v>-3514.9799999999959</v>
      </c>
      <c r="E36" s="9">
        <v>89</v>
      </c>
    </row>
    <row r="37" spans="1:7" x14ac:dyDescent="0.35">
      <c r="A37" s="10" t="s">
        <v>20</v>
      </c>
      <c r="B37" s="5">
        <v>45852</v>
      </c>
      <c r="C37" s="5">
        <v>46680.92</v>
      </c>
      <c r="D37" s="5">
        <v>828.91999999999825</v>
      </c>
      <c r="E37" s="11">
        <v>83</v>
      </c>
    </row>
    <row r="38" spans="1:7" x14ac:dyDescent="0.35">
      <c r="A38" s="8" t="s">
        <v>21</v>
      </c>
      <c r="B38" s="3">
        <v>204921.5</v>
      </c>
      <c r="C38" s="3">
        <v>210920.57</v>
      </c>
      <c r="D38" s="3">
        <v>5999.070000000007</v>
      </c>
      <c r="E38" s="9">
        <v>119</v>
      </c>
    </row>
    <row r="39" spans="1:7" x14ac:dyDescent="0.35">
      <c r="A39" s="10" t="s">
        <v>22</v>
      </c>
      <c r="B39" s="5">
        <v>144036</v>
      </c>
      <c r="C39" s="5">
        <v>164371.57</v>
      </c>
      <c r="D39" s="5">
        <v>20335.570000000011</v>
      </c>
      <c r="E39" s="11">
        <v>99</v>
      </c>
    </row>
    <row r="40" spans="1:7" x14ac:dyDescent="0.35">
      <c r="A40" s="8" t="s">
        <v>23</v>
      </c>
      <c r="B40" s="3">
        <v>135160</v>
      </c>
      <c r="C40" s="3">
        <v>110912.51</v>
      </c>
      <c r="D40" s="3">
        <v>-24247.490000000009</v>
      </c>
      <c r="E40" s="9">
        <v>110</v>
      </c>
    </row>
    <row r="41" spans="1:7" x14ac:dyDescent="0.35">
      <c r="A41" s="10" t="s">
        <v>24</v>
      </c>
      <c r="B41" s="5">
        <v>233216.96</v>
      </c>
      <c r="C41" s="5">
        <v>320390.71000000002</v>
      </c>
      <c r="D41" s="5">
        <v>87173.75</v>
      </c>
      <c r="E41" s="11">
        <v>79</v>
      </c>
    </row>
    <row r="42" spans="1:7" x14ac:dyDescent="0.35">
      <c r="A42" s="8" t="s">
        <v>25</v>
      </c>
      <c r="B42" s="3">
        <v>599898</v>
      </c>
      <c r="C42" s="3">
        <v>548190.80999999994</v>
      </c>
      <c r="D42" s="3">
        <v>-51707.190000000061</v>
      </c>
      <c r="E42" s="9">
        <v>126</v>
      </c>
    </row>
    <row r="43" spans="1:7" x14ac:dyDescent="0.35">
      <c r="A43" s="10" t="s">
        <v>26</v>
      </c>
      <c r="B43" s="5">
        <v>299497</v>
      </c>
      <c r="C43" s="5">
        <v>281334.3</v>
      </c>
      <c r="D43" s="5">
        <v>-18162.700000000012</v>
      </c>
      <c r="E43" s="11">
        <v>112</v>
      </c>
    </row>
    <row r="44" spans="1:7" x14ac:dyDescent="0.35">
      <c r="A44" s="8" t="s">
        <v>27</v>
      </c>
      <c r="B44" s="3">
        <v>25112</v>
      </c>
      <c r="C44" s="3">
        <v>35028.32</v>
      </c>
      <c r="D44" s="3">
        <v>9916.32</v>
      </c>
      <c r="E44" s="9">
        <v>20</v>
      </c>
    </row>
    <row r="46" spans="1:7" x14ac:dyDescent="0.35">
      <c r="A46" s="44" t="s">
        <v>2889</v>
      </c>
      <c r="B46" s="35"/>
      <c r="C46" s="35"/>
      <c r="D46" s="35"/>
      <c r="E46" s="35"/>
      <c r="F46" s="35"/>
      <c r="G46" s="35"/>
    </row>
    <row r="47" spans="1:7" x14ac:dyDescent="0.35">
      <c r="A47" s="1" t="s">
        <v>28</v>
      </c>
      <c r="B47" s="1" t="s">
        <v>6</v>
      </c>
      <c r="C47" s="1" t="s">
        <v>13</v>
      </c>
      <c r="D47" s="1"/>
      <c r="E47" s="1" t="s">
        <v>29</v>
      </c>
      <c r="F47" s="1" t="s">
        <v>7</v>
      </c>
      <c r="G47" s="1" t="s">
        <v>13</v>
      </c>
    </row>
    <row r="48" spans="1:7" x14ac:dyDescent="0.35">
      <c r="A48" s="8" t="s">
        <v>30</v>
      </c>
      <c r="B48" s="12">
        <v>3754672.58</v>
      </c>
      <c r="C48" s="9">
        <v>450</v>
      </c>
      <c r="E48" s="8" t="s">
        <v>31</v>
      </c>
      <c r="F48" s="13">
        <v>4188460</v>
      </c>
      <c r="G48" s="9">
        <v>97</v>
      </c>
    </row>
    <row r="49" spans="1:7" x14ac:dyDescent="0.35">
      <c r="A49" s="10" t="s">
        <v>32</v>
      </c>
      <c r="B49" s="14">
        <v>1540855.25</v>
      </c>
      <c r="C49" s="11">
        <v>56</v>
      </c>
      <c r="E49" s="10" t="s">
        <v>32</v>
      </c>
      <c r="F49" s="15">
        <v>2405288.54</v>
      </c>
      <c r="G49" s="11">
        <v>692</v>
      </c>
    </row>
    <row r="50" spans="1:7" x14ac:dyDescent="0.35">
      <c r="A50" s="8" t="s">
        <v>33</v>
      </c>
      <c r="B50" s="12">
        <v>903900</v>
      </c>
      <c r="C50" s="9">
        <v>217</v>
      </c>
      <c r="E50" s="8" t="s">
        <v>30</v>
      </c>
      <c r="F50" s="13">
        <v>369000</v>
      </c>
      <c r="G50" s="9">
        <v>11</v>
      </c>
    </row>
    <row r="51" spans="1:7" x14ac:dyDescent="0.35">
      <c r="A51" s="10" t="s">
        <v>34</v>
      </c>
      <c r="B51" s="14">
        <v>607735.96</v>
      </c>
      <c r="C51" s="11">
        <v>134</v>
      </c>
      <c r="E51" s="10" t="s">
        <v>35</v>
      </c>
      <c r="F51" s="15">
        <v>102</v>
      </c>
      <c r="G51" s="11">
        <v>2</v>
      </c>
    </row>
    <row r="52" spans="1:7" x14ac:dyDescent="0.35">
      <c r="A52" s="8" t="s">
        <v>36</v>
      </c>
      <c r="B52" s="12">
        <v>110308.25</v>
      </c>
      <c r="C52" s="9">
        <v>231</v>
      </c>
    </row>
    <row r="53" spans="1:7" x14ac:dyDescent="0.35">
      <c r="A53" s="10" t="s">
        <v>37</v>
      </c>
      <c r="B53" s="14">
        <v>56337.5</v>
      </c>
      <c r="C53" s="11">
        <v>47</v>
      </c>
    </row>
  </sheetData>
  <mergeCells count="6">
    <mergeCell ref="A46:G46"/>
    <mergeCell ref="A14:G14"/>
    <mergeCell ref="A1:G1"/>
    <mergeCell ref="A31:G31"/>
    <mergeCell ref="A4:G4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38"/>
  <sheetViews>
    <sheetView workbookViewId="0">
      <pane ySplit="1" topLeftCell="A2" activePane="bottomLeft" state="frozen"/>
      <selection pane="bottomLeft" activeCell="L5" sqref="L5"/>
    </sheetView>
  </sheetViews>
  <sheetFormatPr defaultRowHeight="14.5" x14ac:dyDescent="0.35"/>
  <cols>
    <col min="1" max="1" width="5" customWidth="1"/>
    <col min="2" max="2" width="20" customWidth="1"/>
    <col min="3" max="3" width="17.453125" customWidth="1"/>
    <col min="4" max="4" width="55" customWidth="1"/>
    <col min="5" max="6" width="14" customWidth="1"/>
    <col min="7" max="7" width="20.7265625" customWidth="1"/>
    <col min="8" max="8" width="15.81640625" customWidth="1"/>
    <col min="9" max="9" width="22.7265625" customWidth="1"/>
    <col min="10" max="10" width="16" customWidth="1"/>
    <col min="11" max="11" width="16.90625" customWidth="1"/>
    <col min="12" max="12" width="35" customWidth="1"/>
  </cols>
  <sheetData>
    <row r="1" spans="1:12" x14ac:dyDescent="0.35">
      <c r="A1" s="16" t="s">
        <v>38</v>
      </c>
      <c r="B1" s="16" t="s">
        <v>39</v>
      </c>
      <c r="C1" s="16" t="s">
        <v>40</v>
      </c>
      <c r="D1" s="16" t="s">
        <v>41</v>
      </c>
      <c r="E1" s="16" t="s">
        <v>42</v>
      </c>
      <c r="F1" s="16" t="s">
        <v>43</v>
      </c>
      <c r="G1" s="16" t="s">
        <v>44</v>
      </c>
      <c r="H1" s="16" t="s">
        <v>45</v>
      </c>
      <c r="I1" s="16" t="s">
        <v>46</v>
      </c>
      <c r="J1" s="16" t="s">
        <v>47</v>
      </c>
      <c r="K1" s="16" t="s">
        <v>48</v>
      </c>
      <c r="L1" s="16" t="s">
        <v>49</v>
      </c>
    </row>
    <row r="2" spans="1:12" x14ac:dyDescent="0.35">
      <c r="A2" s="11">
        <v>1</v>
      </c>
      <c r="B2" s="17">
        <v>45689.380462962959</v>
      </c>
      <c r="C2" s="18">
        <v>45689</v>
      </c>
      <c r="D2" s="10" t="s">
        <v>50</v>
      </c>
      <c r="E2" s="14">
        <v>600</v>
      </c>
      <c r="F2" s="5">
        <v>0</v>
      </c>
      <c r="G2" s="5">
        <v>7359</v>
      </c>
      <c r="H2" s="10" t="s">
        <v>51</v>
      </c>
      <c r="I2" s="10" t="s">
        <v>52</v>
      </c>
      <c r="J2" s="10" t="s">
        <v>30</v>
      </c>
      <c r="K2" s="10" t="s">
        <v>14</v>
      </c>
      <c r="L2" s="10" t="s">
        <v>53</v>
      </c>
    </row>
    <row r="3" spans="1:12" x14ac:dyDescent="0.35">
      <c r="A3" s="9">
        <v>2</v>
      </c>
      <c r="B3" s="19">
        <v>45689.922743055547</v>
      </c>
      <c r="C3" s="20">
        <v>45689</v>
      </c>
      <c r="D3" s="8" t="s">
        <v>54</v>
      </c>
      <c r="E3" s="12">
        <v>500</v>
      </c>
      <c r="F3" s="3">
        <v>0</v>
      </c>
      <c r="G3" s="3">
        <v>6859</v>
      </c>
      <c r="H3" s="8" t="s">
        <v>51</v>
      </c>
      <c r="I3" s="8" t="s">
        <v>52</v>
      </c>
      <c r="J3" s="8" t="s">
        <v>30</v>
      </c>
      <c r="K3" s="8" t="s">
        <v>14</v>
      </c>
      <c r="L3" s="8" t="s">
        <v>55</v>
      </c>
    </row>
    <row r="4" spans="1:12" x14ac:dyDescent="0.35">
      <c r="A4" s="11">
        <v>3</v>
      </c>
      <c r="B4" s="17">
        <v>45689.960358796299</v>
      </c>
      <c r="C4" s="18">
        <v>45689</v>
      </c>
      <c r="D4" s="10" t="s">
        <v>56</v>
      </c>
      <c r="E4" s="14">
        <v>800</v>
      </c>
      <c r="F4" s="5">
        <v>0</v>
      </c>
      <c r="G4" s="5">
        <v>6059</v>
      </c>
      <c r="H4" s="10" t="s">
        <v>51</v>
      </c>
      <c r="I4" s="10" t="s">
        <v>52</v>
      </c>
      <c r="J4" s="10" t="s">
        <v>30</v>
      </c>
      <c r="K4" s="10" t="s">
        <v>14</v>
      </c>
      <c r="L4" s="10" t="s">
        <v>57</v>
      </c>
    </row>
    <row r="5" spans="1:12" x14ac:dyDescent="0.35">
      <c r="A5" s="9">
        <v>4</v>
      </c>
      <c r="B5" s="19">
        <v>45690.436990740738</v>
      </c>
      <c r="C5" s="20">
        <v>45690</v>
      </c>
      <c r="D5" s="8" t="s">
        <v>58</v>
      </c>
      <c r="E5" s="12">
        <v>500</v>
      </c>
      <c r="F5" s="3">
        <v>0</v>
      </c>
      <c r="G5" s="3">
        <v>5559</v>
      </c>
      <c r="H5" s="8" t="s">
        <v>51</v>
      </c>
      <c r="I5" s="8" t="s">
        <v>52</v>
      </c>
      <c r="J5" s="8" t="s">
        <v>30</v>
      </c>
      <c r="K5" s="8" t="s">
        <v>14</v>
      </c>
      <c r="L5" s="8" t="s">
        <v>59</v>
      </c>
    </row>
    <row r="6" spans="1:12" x14ac:dyDescent="0.35">
      <c r="A6" s="11">
        <v>5</v>
      </c>
      <c r="B6" s="17">
        <v>45690.658506944441</v>
      </c>
      <c r="C6" s="18">
        <v>45690</v>
      </c>
      <c r="D6" s="10" t="s">
        <v>60</v>
      </c>
      <c r="E6" s="14">
        <v>2250</v>
      </c>
      <c r="F6" s="5">
        <v>0</v>
      </c>
      <c r="G6" s="5">
        <v>3309</v>
      </c>
      <c r="H6" s="10" t="s">
        <v>51</v>
      </c>
      <c r="I6" s="10" t="s">
        <v>52</v>
      </c>
      <c r="J6" s="10" t="s">
        <v>30</v>
      </c>
      <c r="K6" s="10" t="s">
        <v>14</v>
      </c>
      <c r="L6" s="10" t="s">
        <v>61</v>
      </c>
    </row>
    <row r="7" spans="1:12" x14ac:dyDescent="0.35">
      <c r="A7" s="9">
        <v>6</v>
      </c>
      <c r="B7" s="19">
        <v>45691.369953703703</v>
      </c>
      <c r="C7" s="20">
        <v>45691</v>
      </c>
      <c r="D7" s="8" t="s">
        <v>62</v>
      </c>
      <c r="E7" s="12">
        <v>200</v>
      </c>
      <c r="F7" s="3">
        <v>0</v>
      </c>
      <c r="G7" s="3">
        <v>3109</v>
      </c>
      <c r="H7" s="8" t="s">
        <v>51</v>
      </c>
      <c r="I7" s="8" t="s">
        <v>52</v>
      </c>
      <c r="J7" s="8" t="s">
        <v>30</v>
      </c>
      <c r="K7" s="8" t="s">
        <v>14</v>
      </c>
      <c r="L7" s="8" t="s">
        <v>63</v>
      </c>
    </row>
    <row r="8" spans="1:12" x14ac:dyDescent="0.35">
      <c r="A8" s="11">
        <v>7</v>
      </c>
      <c r="B8" s="17">
        <v>45691.397060185183</v>
      </c>
      <c r="C8" s="18">
        <v>45691</v>
      </c>
      <c r="D8" s="10" t="s">
        <v>64</v>
      </c>
      <c r="E8" s="14">
        <v>400</v>
      </c>
      <c r="F8" s="5">
        <v>0</v>
      </c>
      <c r="G8" s="5">
        <v>2709</v>
      </c>
      <c r="H8" s="10" t="s">
        <v>51</v>
      </c>
      <c r="I8" s="10" t="s">
        <v>52</v>
      </c>
      <c r="J8" s="10" t="s">
        <v>30</v>
      </c>
      <c r="K8" s="10" t="s">
        <v>14</v>
      </c>
      <c r="L8" s="10" t="s">
        <v>65</v>
      </c>
    </row>
    <row r="9" spans="1:12" x14ac:dyDescent="0.35">
      <c r="A9" s="9">
        <v>8</v>
      </c>
      <c r="B9" s="19">
        <v>45691.565439814818</v>
      </c>
      <c r="C9" s="20">
        <v>45691</v>
      </c>
      <c r="D9" s="8" t="s">
        <v>66</v>
      </c>
      <c r="E9" s="12">
        <v>1600</v>
      </c>
      <c r="F9" s="3">
        <v>0</v>
      </c>
      <c r="G9" s="3">
        <v>1109</v>
      </c>
      <c r="H9" s="8" t="s">
        <v>51</v>
      </c>
      <c r="I9" s="8" t="s">
        <v>52</v>
      </c>
      <c r="J9" s="8" t="s">
        <v>30</v>
      </c>
      <c r="K9" s="8" t="s">
        <v>14</v>
      </c>
      <c r="L9" s="8" t="s">
        <v>67</v>
      </c>
    </row>
    <row r="10" spans="1:12" x14ac:dyDescent="0.35">
      <c r="A10" s="11">
        <v>9</v>
      </c>
      <c r="B10" s="17">
        <v>45691.794606481482</v>
      </c>
      <c r="C10" s="18">
        <v>45691</v>
      </c>
      <c r="D10" s="10" t="s">
        <v>68</v>
      </c>
      <c r="E10" s="14">
        <v>200</v>
      </c>
      <c r="F10" s="5">
        <v>0</v>
      </c>
      <c r="G10" s="5">
        <v>909</v>
      </c>
      <c r="H10" s="10" t="s">
        <v>51</v>
      </c>
      <c r="I10" s="10" t="s">
        <v>52</v>
      </c>
      <c r="J10" s="10" t="s">
        <v>30</v>
      </c>
      <c r="K10" s="10" t="s">
        <v>14</v>
      </c>
      <c r="L10" s="10" t="s">
        <v>69</v>
      </c>
    </row>
    <row r="11" spans="1:12" x14ac:dyDescent="0.35">
      <c r="A11" s="9">
        <v>10</v>
      </c>
      <c r="B11" s="19">
        <v>45691.799490740741</v>
      </c>
      <c r="C11" s="20">
        <v>45691</v>
      </c>
      <c r="D11" s="8" t="s">
        <v>70</v>
      </c>
      <c r="E11" s="3">
        <v>0</v>
      </c>
      <c r="F11" s="13">
        <v>7000</v>
      </c>
      <c r="G11" s="3">
        <v>7909</v>
      </c>
      <c r="H11" s="8" t="s">
        <v>51</v>
      </c>
      <c r="I11" s="8" t="s">
        <v>71</v>
      </c>
      <c r="J11" s="8" t="s">
        <v>30</v>
      </c>
      <c r="K11" s="8" t="s">
        <v>14</v>
      </c>
      <c r="L11" s="8" t="s">
        <v>72</v>
      </c>
    </row>
    <row r="12" spans="1:12" x14ac:dyDescent="0.35">
      <c r="A12" s="11">
        <v>11</v>
      </c>
      <c r="B12" s="17">
        <v>45691.908668981479</v>
      </c>
      <c r="C12" s="18">
        <v>45691</v>
      </c>
      <c r="D12" s="10" t="s">
        <v>73</v>
      </c>
      <c r="E12" s="14">
        <v>300</v>
      </c>
      <c r="F12" s="5">
        <v>0</v>
      </c>
      <c r="G12" s="5">
        <v>7609</v>
      </c>
      <c r="H12" s="10" t="s">
        <v>51</v>
      </c>
      <c r="I12" s="10" t="s">
        <v>52</v>
      </c>
      <c r="J12" s="10" t="s">
        <v>30</v>
      </c>
      <c r="K12" s="10" t="s">
        <v>14</v>
      </c>
      <c r="L12" s="10" t="s">
        <v>74</v>
      </c>
    </row>
    <row r="13" spans="1:12" x14ac:dyDescent="0.35">
      <c r="A13" s="9">
        <v>12</v>
      </c>
      <c r="B13" s="19">
        <v>45692.54347222222</v>
      </c>
      <c r="C13" s="20">
        <v>45692</v>
      </c>
      <c r="D13" s="8" t="s">
        <v>75</v>
      </c>
      <c r="E13" s="12">
        <v>1300</v>
      </c>
      <c r="F13" s="3">
        <v>0</v>
      </c>
      <c r="G13" s="3">
        <v>6309</v>
      </c>
      <c r="H13" s="8" t="s">
        <v>51</v>
      </c>
      <c r="I13" s="8" t="s">
        <v>52</v>
      </c>
      <c r="J13" s="8" t="s">
        <v>30</v>
      </c>
      <c r="K13" s="8" t="s">
        <v>14</v>
      </c>
      <c r="L13" s="8" t="s">
        <v>76</v>
      </c>
    </row>
    <row r="14" spans="1:12" x14ac:dyDescent="0.35">
      <c r="A14" s="11">
        <v>13</v>
      </c>
      <c r="B14" s="17">
        <v>45692.78696759259</v>
      </c>
      <c r="C14" s="18">
        <v>45692</v>
      </c>
      <c r="D14" s="10" t="s">
        <v>77</v>
      </c>
      <c r="E14" s="5">
        <v>0</v>
      </c>
      <c r="F14" s="15">
        <v>26000</v>
      </c>
      <c r="G14" s="5">
        <v>32309</v>
      </c>
      <c r="H14" s="10" t="s">
        <v>51</v>
      </c>
      <c r="I14" s="10" t="s">
        <v>71</v>
      </c>
      <c r="J14" s="10" t="s">
        <v>31</v>
      </c>
      <c r="K14" s="10" t="s">
        <v>14</v>
      </c>
      <c r="L14" s="10" t="s">
        <v>78</v>
      </c>
    </row>
    <row r="15" spans="1:12" x14ac:dyDescent="0.35">
      <c r="A15" s="9">
        <v>14</v>
      </c>
      <c r="B15" s="19">
        <v>45692.78702546296</v>
      </c>
      <c r="C15" s="20">
        <v>45692</v>
      </c>
      <c r="D15" s="8" t="s">
        <v>79</v>
      </c>
      <c r="E15" s="12">
        <v>50</v>
      </c>
      <c r="F15" s="3">
        <v>0</v>
      </c>
      <c r="G15" s="3">
        <v>32259</v>
      </c>
      <c r="H15" s="8" t="s">
        <v>51</v>
      </c>
      <c r="I15" s="8" t="s">
        <v>52</v>
      </c>
      <c r="J15" s="8" t="s">
        <v>36</v>
      </c>
      <c r="K15" s="8" t="s">
        <v>14</v>
      </c>
      <c r="L15" s="8" t="s">
        <v>80</v>
      </c>
    </row>
    <row r="16" spans="1:12" x14ac:dyDescent="0.35">
      <c r="A16" s="11">
        <v>15</v>
      </c>
      <c r="B16" s="17">
        <v>45692.825023148151</v>
      </c>
      <c r="C16" s="18">
        <v>45692</v>
      </c>
      <c r="D16" s="10" t="s">
        <v>81</v>
      </c>
      <c r="E16" s="14">
        <v>1700</v>
      </c>
      <c r="F16" s="5">
        <v>0</v>
      </c>
      <c r="G16" s="5">
        <v>30559</v>
      </c>
      <c r="H16" s="10" t="s">
        <v>51</v>
      </c>
      <c r="I16" s="10" t="s">
        <v>52</v>
      </c>
      <c r="J16" s="10" t="s">
        <v>30</v>
      </c>
      <c r="K16" s="10" t="s">
        <v>14</v>
      </c>
      <c r="L16" s="10" t="s">
        <v>82</v>
      </c>
    </row>
    <row r="17" spans="1:12" x14ac:dyDescent="0.35">
      <c r="A17" s="9">
        <v>16</v>
      </c>
      <c r="B17" s="19">
        <v>45693.493449074071</v>
      </c>
      <c r="C17" s="20">
        <v>45693</v>
      </c>
      <c r="D17" s="8" t="s">
        <v>83</v>
      </c>
      <c r="E17" s="12">
        <v>1000</v>
      </c>
      <c r="F17" s="3">
        <v>0</v>
      </c>
      <c r="G17" s="3">
        <v>29559</v>
      </c>
      <c r="H17" s="8" t="s">
        <v>51</v>
      </c>
      <c r="I17" s="8" t="s">
        <v>52</v>
      </c>
      <c r="J17" s="8" t="s">
        <v>30</v>
      </c>
      <c r="K17" s="8" t="s">
        <v>14</v>
      </c>
      <c r="L17" s="8" t="s">
        <v>84</v>
      </c>
    </row>
    <row r="18" spans="1:12" x14ac:dyDescent="0.35">
      <c r="A18" s="11">
        <v>17</v>
      </c>
      <c r="B18" s="17">
        <v>45693.586053240739</v>
      </c>
      <c r="C18" s="18">
        <v>45693</v>
      </c>
      <c r="D18" s="10" t="s">
        <v>85</v>
      </c>
      <c r="E18" s="14">
        <v>3200</v>
      </c>
      <c r="F18" s="5">
        <v>0</v>
      </c>
      <c r="G18" s="5">
        <v>26359</v>
      </c>
      <c r="H18" s="10" t="s">
        <v>51</v>
      </c>
      <c r="I18" s="10" t="s">
        <v>52</v>
      </c>
      <c r="J18" s="10" t="s">
        <v>30</v>
      </c>
      <c r="K18" s="10" t="s">
        <v>14</v>
      </c>
      <c r="L18" s="10" t="s">
        <v>86</v>
      </c>
    </row>
    <row r="19" spans="1:12" x14ac:dyDescent="0.35">
      <c r="A19" s="9">
        <v>18</v>
      </c>
      <c r="B19" s="19">
        <v>45693.587569444448</v>
      </c>
      <c r="C19" s="20">
        <v>45693</v>
      </c>
      <c r="D19" s="8" t="s">
        <v>87</v>
      </c>
      <c r="E19" s="12">
        <v>800</v>
      </c>
      <c r="F19" s="3">
        <v>0</v>
      </c>
      <c r="G19" s="3">
        <v>25559</v>
      </c>
      <c r="H19" s="8" t="s">
        <v>51</v>
      </c>
      <c r="I19" s="8" t="s">
        <v>52</v>
      </c>
      <c r="J19" s="8" t="s">
        <v>30</v>
      </c>
      <c r="K19" s="8" t="s">
        <v>14</v>
      </c>
      <c r="L19" s="8" t="s">
        <v>88</v>
      </c>
    </row>
    <row r="20" spans="1:12" x14ac:dyDescent="0.35">
      <c r="A20" s="11">
        <v>19</v>
      </c>
      <c r="B20" s="17">
        <v>45693.716840277782</v>
      </c>
      <c r="C20" s="18">
        <v>45693</v>
      </c>
      <c r="D20" s="10" t="s">
        <v>89</v>
      </c>
      <c r="E20" s="14">
        <v>750</v>
      </c>
      <c r="F20" s="5">
        <v>0</v>
      </c>
      <c r="G20" s="5">
        <v>24809</v>
      </c>
      <c r="H20" s="10" t="s">
        <v>51</v>
      </c>
      <c r="I20" s="10" t="s">
        <v>52</v>
      </c>
      <c r="J20" s="10" t="s">
        <v>30</v>
      </c>
      <c r="K20" s="10" t="s">
        <v>14</v>
      </c>
      <c r="L20" s="10" t="s">
        <v>90</v>
      </c>
    </row>
    <row r="21" spans="1:12" x14ac:dyDescent="0.35">
      <c r="A21" s="9">
        <v>20</v>
      </c>
      <c r="B21" s="19">
        <v>45693.830057870371</v>
      </c>
      <c r="C21" s="20">
        <v>45693</v>
      </c>
      <c r="D21" s="8" t="s">
        <v>58</v>
      </c>
      <c r="E21" s="12">
        <v>200</v>
      </c>
      <c r="F21" s="3">
        <v>0</v>
      </c>
      <c r="G21" s="3">
        <v>24609</v>
      </c>
      <c r="H21" s="8" t="s">
        <v>51</v>
      </c>
      <c r="I21" s="8" t="s">
        <v>52</v>
      </c>
      <c r="J21" s="8" t="s">
        <v>30</v>
      </c>
      <c r="K21" s="8" t="s">
        <v>14</v>
      </c>
      <c r="L21" s="8" t="s">
        <v>91</v>
      </c>
    </row>
    <row r="22" spans="1:12" x14ac:dyDescent="0.35">
      <c r="A22" s="11">
        <v>21</v>
      </c>
      <c r="B22" s="17">
        <v>45693.904062499998</v>
      </c>
      <c r="C22" s="18">
        <v>45693</v>
      </c>
      <c r="D22" s="10" t="s">
        <v>92</v>
      </c>
      <c r="E22" s="14">
        <v>2000</v>
      </c>
      <c r="F22" s="5">
        <v>0</v>
      </c>
      <c r="G22" s="5">
        <v>22609</v>
      </c>
      <c r="H22" s="10" t="s">
        <v>51</v>
      </c>
      <c r="I22" s="10" t="s">
        <v>52</v>
      </c>
      <c r="J22" s="10" t="s">
        <v>30</v>
      </c>
      <c r="K22" s="10" t="s">
        <v>14</v>
      </c>
      <c r="L22" s="10" t="s">
        <v>93</v>
      </c>
    </row>
    <row r="23" spans="1:12" x14ac:dyDescent="0.35">
      <c r="A23" s="9">
        <v>22</v>
      </c>
      <c r="B23" s="19">
        <v>45693.911249999997</v>
      </c>
      <c r="C23" s="20">
        <v>45693</v>
      </c>
      <c r="D23" s="8" t="s">
        <v>73</v>
      </c>
      <c r="E23" s="12">
        <v>200</v>
      </c>
      <c r="F23" s="3">
        <v>0</v>
      </c>
      <c r="G23" s="3">
        <v>22409</v>
      </c>
      <c r="H23" s="8" t="s">
        <v>51</v>
      </c>
      <c r="I23" s="8" t="s">
        <v>52</v>
      </c>
      <c r="J23" s="8" t="s">
        <v>30</v>
      </c>
      <c r="K23" s="8" t="s">
        <v>14</v>
      </c>
      <c r="L23" s="8" t="s">
        <v>94</v>
      </c>
    </row>
    <row r="24" spans="1:12" x14ac:dyDescent="0.35">
      <c r="A24" s="11">
        <v>23</v>
      </c>
      <c r="B24" s="17">
        <v>45693.912465277783</v>
      </c>
      <c r="C24" s="18">
        <v>45693</v>
      </c>
      <c r="D24" s="10" t="s">
        <v>56</v>
      </c>
      <c r="E24" s="14">
        <v>400</v>
      </c>
      <c r="F24" s="5">
        <v>0</v>
      </c>
      <c r="G24" s="5">
        <v>22009</v>
      </c>
      <c r="H24" s="10" t="s">
        <v>51</v>
      </c>
      <c r="I24" s="10" t="s">
        <v>52</v>
      </c>
      <c r="J24" s="10" t="s">
        <v>30</v>
      </c>
      <c r="K24" s="10" t="s">
        <v>14</v>
      </c>
      <c r="L24" s="10" t="s">
        <v>95</v>
      </c>
    </row>
    <row r="25" spans="1:12" x14ac:dyDescent="0.35">
      <c r="A25" s="9">
        <v>24</v>
      </c>
      <c r="B25" s="19">
        <v>45694.575335648151</v>
      </c>
      <c r="C25" s="20">
        <v>45694</v>
      </c>
      <c r="D25" s="8" t="s">
        <v>96</v>
      </c>
      <c r="E25" s="12">
        <v>500</v>
      </c>
      <c r="F25" s="3">
        <v>0</v>
      </c>
      <c r="G25" s="3">
        <v>21509</v>
      </c>
      <c r="H25" s="8" t="s">
        <v>51</v>
      </c>
      <c r="I25" s="8" t="s">
        <v>52</v>
      </c>
      <c r="J25" s="8" t="s">
        <v>30</v>
      </c>
      <c r="K25" s="8" t="s">
        <v>14</v>
      </c>
      <c r="L25" s="8" t="s">
        <v>97</v>
      </c>
    </row>
    <row r="26" spans="1:12" x14ac:dyDescent="0.35">
      <c r="A26" s="11">
        <v>25</v>
      </c>
      <c r="B26" s="17">
        <v>45694.742152777777</v>
      </c>
      <c r="C26" s="18">
        <v>45694</v>
      </c>
      <c r="D26" s="10" t="s">
        <v>98</v>
      </c>
      <c r="E26" s="14">
        <v>10</v>
      </c>
      <c r="F26" s="5">
        <v>0</v>
      </c>
      <c r="G26" s="5">
        <v>21499</v>
      </c>
      <c r="H26" s="10" t="s">
        <v>99</v>
      </c>
      <c r="I26" s="10" t="s">
        <v>52</v>
      </c>
      <c r="J26" s="10" t="s">
        <v>36</v>
      </c>
      <c r="K26" s="10" t="s">
        <v>14</v>
      </c>
      <c r="L26" s="10" t="s">
        <v>100</v>
      </c>
    </row>
    <row r="27" spans="1:12" x14ac:dyDescent="0.35">
      <c r="A27" s="9">
        <v>26</v>
      </c>
      <c r="B27" s="19">
        <v>45694.742650462962</v>
      </c>
      <c r="C27" s="20">
        <v>45694</v>
      </c>
      <c r="D27" s="8" t="s">
        <v>101</v>
      </c>
      <c r="E27" s="12">
        <v>1000</v>
      </c>
      <c r="F27" s="3">
        <v>0</v>
      </c>
      <c r="G27" s="3">
        <v>20499</v>
      </c>
      <c r="H27" s="8" t="s">
        <v>99</v>
      </c>
      <c r="I27" s="8" t="s">
        <v>52</v>
      </c>
      <c r="J27" s="8" t="s">
        <v>30</v>
      </c>
      <c r="K27" s="8" t="s">
        <v>14</v>
      </c>
      <c r="L27" s="8" t="s">
        <v>102</v>
      </c>
    </row>
    <row r="28" spans="1:12" x14ac:dyDescent="0.35">
      <c r="A28" s="11">
        <v>27</v>
      </c>
      <c r="B28" s="17">
        <v>45694.819340277783</v>
      </c>
      <c r="C28" s="18">
        <v>45694</v>
      </c>
      <c r="D28" s="10" t="s">
        <v>103</v>
      </c>
      <c r="E28" s="14">
        <v>300</v>
      </c>
      <c r="F28" s="5">
        <v>0</v>
      </c>
      <c r="G28" s="5">
        <v>20199</v>
      </c>
      <c r="H28" s="10" t="s">
        <v>51</v>
      </c>
      <c r="I28" s="10" t="s">
        <v>52</v>
      </c>
      <c r="J28" s="10" t="s">
        <v>30</v>
      </c>
      <c r="K28" s="10" t="s">
        <v>14</v>
      </c>
      <c r="L28" s="10" t="s">
        <v>104</v>
      </c>
    </row>
    <row r="29" spans="1:12" x14ac:dyDescent="0.35">
      <c r="A29" s="9">
        <v>28</v>
      </c>
      <c r="B29" s="19">
        <v>45694.906006944453</v>
      </c>
      <c r="C29" s="20">
        <v>45694</v>
      </c>
      <c r="D29" s="8" t="s">
        <v>56</v>
      </c>
      <c r="E29" s="12">
        <v>1800</v>
      </c>
      <c r="F29" s="3">
        <v>0</v>
      </c>
      <c r="G29" s="3">
        <v>18399</v>
      </c>
      <c r="H29" s="8" t="s">
        <v>51</v>
      </c>
      <c r="I29" s="8" t="s">
        <v>52</v>
      </c>
      <c r="J29" s="8" t="s">
        <v>30</v>
      </c>
      <c r="K29" s="8" t="s">
        <v>14</v>
      </c>
      <c r="L29" s="8" t="s">
        <v>105</v>
      </c>
    </row>
    <row r="30" spans="1:12" x14ac:dyDescent="0.35">
      <c r="A30" s="11">
        <v>29</v>
      </c>
      <c r="B30" s="17">
        <v>45695.341087962966</v>
      </c>
      <c r="C30" s="18">
        <v>45695</v>
      </c>
      <c r="D30" s="10" t="s">
        <v>66</v>
      </c>
      <c r="E30" s="14">
        <v>600</v>
      </c>
      <c r="F30" s="5">
        <v>0</v>
      </c>
      <c r="G30" s="5">
        <v>17799</v>
      </c>
      <c r="H30" s="10" t="s">
        <v>51</v>
      </c>
      <c r="I30" s="10" t="s">
        <v>52</v>
      </c>
      <c r="J30" s="10" t="s">
        <v>30</v>
      </c>
      <c r="K30" s="10" t="s">
        <v>14</v>
      </c>
      <c r="L30" s="10" t="s">
        <v>106</v>
      </c>
    </row>
    <row r="31" spans="1:12" x14ac:dyDescent="0.35">
      <c r="A31" s="9">
        <v>30</v>
      </c>
      <c r="B31" s="19">
        <v>45695.364814814813</v>
      </c>
      <c r="C31" s="20">
        <v>45695</v>
      </c>
      <c r="D31" s="8" t="s">
        <v>107</v>
      </c>
      <c r="E31" s="12">
        <v>1700</v>
      </c>
      <c r="F31" s="3">
        <v>0</v>
      </c>
      <c r="G31" s="3">
        <v>16099</v>
      </c>
      <c r="H31" s="8" t="s">
        <v>51</v>
      </c>
      <c r="I31" s="8" t="s">
        <v>52</v>
      </c>
      <c r="J31" s="8" t="s">
        <v>30</v>
      </c>
      <c r="K31" s="8" t="s">
        <v>14</v>
      </c>
      <c r="L31" s="8" t="s">
        <v>108</v>
      </c>
    </row>
    <row r="32" spans="1:12" x14ac:dyDescent="0.35">
      <c r="A32" s="11">
        <v>31</v>
      </c>
      <c r="B32" s="17">
        <v>45695.44972222222</v>
      </c>
      <c r="C32" s="18">
        <v>45695</v>
      </c>
      <c r="D32" s="10" t="s">
        <v>109</v>
      </c>
      <c r="E32" s="14">
        <v>500</v>
      </c>
      <c r="F32" s="5">
        <v>0</v>
      </c>
      <c r="G32" s="5">
        <v>15599</v>
      </c>
      <c r="H32" s="10" t="s">
        <v>51</v>
      </c>
      <c r="I32" s="10" t="s">
        <v>52</v>
      </c>
      <c r="J32" s="10" t="s">
        <v>30</v>
      </c>
      <c r="K32" s="10" t="s">
        <v>14</v>
      </c>
      <c r="L32" s="10" t="s">
        <v>110</v>
      </c>
    </row>
    <row r="33" spans="1:12" x14ac:dyDescent="0.35">
      <c r="A33" s="9">
        <v>32</v>
      </c>
      <c r="B33" s="19">
        <v>45695.545393518521</v>
      </c>
      <c r="C33" s="20">
        <v>45695</v>
      </c>
      <c r="D33" s="8" t="s">
        <v>81</v>
      </c>
      <c r="E33" s="12">
        <v>250</v>
      </c>
      <c r="F33" s="3">
        <v>0</v>
      </c>
      <c r="G33" s="3">
        <v>15349</v>
      </c>
      <c r="H33" s="8" t="s">
        <v>51</v>
      </c>
      <c r="I33" s="8" t="s">
        <v>52</v>
      </c>
      <c r="J33" s="8" t="s">
        <v>30</v>
      </c>
      <c r="K33" s="8" t="s">
        <v>14</v>
      </c>
      <c r="L33" s="8" t="s">
        <v>111</v>
      </c>
    </row>
    <row r="34" spans="1:12" x14ac:dyDescent="0.35">
      <c r="A34" s="11">
        <v>33</v>
      </c>
      <c r="B34" s="17">
        <v>45695.769918981481</v>
      </c>
      <c r="C34" s="18">
        <v>45695</v>
      </c>
      <c r="D34" s="10" t="s">
        <v>112</v>
      </c>
      <c r="E34" s="14">
        <v>300</v>
      </c>
      <c r="F34" s="5">
        <v>0</v>
      </c>
      <c r="G34" s="5">
        <v>15049</v>
      </c>
      <c r="H34" s="10" t="s">
        <v>51</v>
      </c>
      <c r="I34" s="10" t="s">
        <v>52</v>
      </c>
      <c r="J34" s="10" t="s">
        <v>30</v>
      </c>
      <c r="K34" s="10" t="s">
        <v>14</v>
      </c>
      <c r="L34" s="10" t="s">
        <v>113</v>
      </c>
    </row>
    <row r="35" spans="1:12" x14ac:dyDescent="0.35">
      <c r="A35" s="9">
        <v>34</v>
      </c>
      <c r="B35" s="19">
        <v>45695.877939814818</v>
      </c>
      <c r="C35" s="20">
        <v>45695</v>
      </c>
      <c r="D35" s="8" t="s">
        <v>101</v>
      </c>
      <c r="E35" s="12">
        <v>200</v>
      </c>
      <c r="F35" s="3">
        <v>0</v>
      </c>
      <c r="G35" s="3">
        <v>14849</v>
      </c>
      <c r="H35" s="8" t="s">
        <v>51</v>
      </c>
      <c r="I35" s="8" t="s">
        <v>52</v>
      </c>
      <c r="J35" s="8" t="s">
        <v>30</v>
      </c>
      <c r="K35" s="8" t="s">
        <v>14</v>
      </c>
      <c r="L35" s="8" t="s">
        <v>114</v>
      </c>
    </row>
    <row r="36" spans="1:12" x14ac:dyDescent="0.35">
      <c r="A36" s="11">
        <v>35</v>
      </c>
      <c r="B36" s="17">
        <v>45695.87872685185</v>
      </c>
      <c r="C36" s="18">
        <v>45695</v>
      </c>
      <c r="D36" s="10" t="s">
        <v>56</v>
      </c>
      <c r="E36" s="14">
        <v>410</v>
      </c>
      <c r="F36" s="5">
        <v>0</v>
      </c>
      <c r="G36" s="5">
        <v>14439</v>
      </c>
      <c r="H36" s="10" t="s">
        <v>51</v>
      </c>
      <c r="I36" s="10" t="s">
        <v>52</v>
      </c>
      <c r="J36" s="10" t="s">
        <v>30</v>
      </c>
      <c r="K36" s="10" t="s">
        <v>14</v>
      </c>
      <c r="L36" s="10" t="s">
        <v>115</v>
      </c>
    </row>
    <row r="37" spans="1:12" x14ac:dyDescent="0.35">
      <c r="A37" s="9">
        <v>36</v>
      </c>
      <c r="B37" s="19">
        <v>45695.927048611113</v>
      </c>
      <c r="C37" s="20">
        <v>45695</v>
      </c>
      <c r="D37" s="8" t="s">
        <v>109</v>
      </c>
      <c r="E37" s="12">
        <v>850</v>
      </c>
      <c r="F37" s="3">
        <v>0</v>
      </c>
      <c r="G37" s="3">
        <v>13589</v>
      </c>
      <c r="H37" s="8" t="s">
        <v>51</v>
      </c>
      <c r="I37" s="8" t="s">
        <v>52</v>
      </c>
      <c r="J37" s="8" t="s">
        <v>30</v>
      </c>
      <c r="K37" s="8" t="s">
        <v>14</v>
      </c>
      <c r="L37" s="8" t="s">
        <v>116</v>
      </c>
    </row>
    <row r="38" spans="1:12" x14ac:dyDescent="0.35">
      <c r="A38" s="11">
        <v>37</v>
      </c>
      <c r="B38" s="17">
        <v>45696.320451388892</v>
      </c>
      <c r="C38" s="18">
        <v>45696</v>
      </c>
      <c r="D38" s="10" t="s">
        <v>103</v>
      </c>
      <c r="E38" s="14">
        <v>300</v>
      </c>
      <c r="F38" s="5">
        <v>0</v>
      </c>
      <c r="G38" s="5">
        <v>13289</v>
      </c>
      <c r="H38" s="10" t="s">
        <v>51</v>
      </c>
      <c r="I38" s="10" t="s">
        <v>52</v>
      </c>
      <c r="J38" s="10" t="s">
        <v>30</v>
      </c>
      <c r="K38" s="10" t="s">
        <v>14</v>
      </c>
      <c r="L38" s="10" t="s">
        <v>117</v>
      </c>
    </row>
    <row r="39" spans="1:12" x14ac:dyDescent="0.35">
      <c r="A39" s="9">
        <v>38</v>
      </c>
      <c r="B39" s="19">
        <v>45696.323634259257</v>
      </c>
      <c r="C39" s="20">
        <v>45696</v>
      </c>
      <c r="D39" s="8" t="s">
        <v>118</v>
      </c>
      <c r="E39" s="12">
        <v>5500</v>
      </c>
      <c r="F39" s="3">
        <v>0</v>
      </c>
      <c r="G39" s="3">
        <v>7789</v>
      </c>
      <c r="H39" s="8" t="s">
        <v>51</v>
      </c>
      <c r="I39" s="8" t="s">
        <v>52</v>
      </c>
      <c r="J39" s="8" t="s">
        <v>30</v>
      </c>
      <c r="K39" s="8" t="s">
        <v>14</v>
      </c>
      <c r="L39" s="8" t="s">
        <v>119</v>
      </c>
    </row>
    <row r="40" spans="1:12" x14ac:dyDescent="0.35">
      <c r="A40" s="11">
        <v>39</v>
      </c>
      <c r="B40" s="17">
        <v>45696.325532407413</v>
      </c>
      <c r="C40" s="18">
        <v>45696</v>
      </c>
      <c r="D40" s="10" t="s">
        <v>58</v>
      </c>
      <c r="E40" s="14">
        <v>300</v>
      </c>
      <c r="F40" s="5">
        <v>0</v>
      </c>
      <c r="G40" s="5">
        <v>7489</v>
      </c>
      <c r="H40" s="10" t="s">
        <v>51</v>
      </c>
      <c r="I40" s="10" t="s">
        <v>52</v>
      </c>
      <c r="J40" s="10" t="s">
        <v>30</v>
      </c>
      <c r="K40" s="10" t="s">
        <v>14</v>
      </c>
      <c r="L40" s="10" t="s">
        <v>120</v>
      </c>
    </row>
    <row r="41" spans="1:12" x14ac:dyDescent="0.35">
      <c r="A41" s="9">
        <v>40</v>
      </c>
      <c r="B41" s="19">
        <v>45696.370358796303</v>
      </c>
      <c r="C41" s="20">
        <v>45696</v>
      </c>
      <c r="D41" s="8" t="s">
        <v>66</v>
      </c>
      <c r="E41" s="12">
        <v>1100</v>
      </c>
      <c r="F41" s="3">
        <v>0</v>
      </c>
      <c r="G41" s="3">
        <v>6389</v>
      </c>
      <c r="H41" s="8" t="s">
        <v>51</v>
      </c>
      <c r="I41" s="8" t="s">
        <v>52</v>
      </c>
      <c r="J41" s="8" t="s">
        <v>30</v>
      </c>
      <c r="K41" s="8" t="s">
        <v>14</v>
      </c>
      <c r="L41" s="8" t="s">
        <v>121</v>
      </c>
    </row>
    <row r="42" spans="1:12" x14ac:dyDescent="0.35">
      <c r="A42" s="11">
        <v>41</v>
      </c>
      <c r="B42" s="17">
        <v>45696.37358796296</v>
      </c>
      <c r="C42" s="18">
        <v>45696</v>
      </c>
      <c r="D42" s="10" t="s">
        <v>122</v>
      </c>
      <c r="E42" s="14">
        <v>2000</v>
      </c>
      <c r="F42" s="5">
        <v>0</v>
      </c>
      <c r="G42" s="5">
        <v>4389</v>
      </c>
      <c r="H42" s="10" t="s">
        <v>51</v>
      </c>
      <c r="I42" s="10" t="s">
        <v>52</v>
      </c>
      <c r="J42" s="10" t="s">
        <v>30</v>
      </c>
      <c r="K42" s="10" t="s">
        <v>14</v>
      </c>
      <c r="L42" s="10" t="s">
        <v>123</v>
      </c>
    </row>
    <row r="43" spans="1:12" x14ac:dyDescent="0.35">
      <c r="A43" s="9">
        <v>42</v>
      </c>
      <c r="B43" s="19">
        <v>45696.520740740743</v>
      </c>
      <c r="C43" s="20">
        <v>45696</v>
      </c>
      <c r="D43" s="8" t="s">
        <v>124</v>
      </c>
      <c r="E43" s="12">
        <v>500</v>
      </c>
      <c r="F43" s="3">
        <v>0</v>
      </c>
      <c r="G43" s="3">
        <v>3889</v>
      </c>
      <c r="H43" s="8" t="s">
        <v>51</v>
      </c>
      <c r="I43" s="8" t="s">
        <v>52</v>
      </c>
      <c r="J43" s="8" t="s">
        <v>30</v>
      </c>
      <c r="K43" s="8" t="s">
        <v>14</v>
      </c>
      <c r="L43" s="8" t="s">
        <v>125</v>
      </c>
    </row>
    <row r="44" spans="1:12" x14ac:dyDescent="0.35">
      <c r="A44" s="11">
        <v>43</v>
      </c>
      <c r="B44" s="17">
        <v>45696.7030787037</v>
      </c>
      <c r="C44" s="18">
        <v>45696</v>
      </c>
      <c r="D44" s="10" t="s">
        <v>98</v>
      </c>
      <c r="E44" s="14">
        <v>10</v>
      </c>
      <c r="F44" s="5">
        <v>0</v>
      </c>
      <c r="G44" s="5">
        <v>3879</v>
      </c>
      <c r="H44" s="10" t="s">
        <v>99</v>
      </c>
      <c r="I44" s="10" t="s">
        <v>52</v>
      </c>
      <c r="J44" s="10" t="s">
        <v>36</v>
      </c>
      <c r="K44" s="10" t="s">
        <v>14</v>
      </c>
      <c r="L44" s="10" t="s">
        <v>126</v>
      </c>
    </row>
    <row r="45" spans="1:12" x14ac:dyDescent="0.35">
      <c r="A45" s="9">
        <v>44</v>
      </c>
      <c r="B45" s="19">
        <v>45696.748391203713</v>
      </c>
      <c r="C45" s="20">
        <v>45696</v>
      </c>
      <c r="D45" s="8" t="s">
        <v>98</v>
      </c>
      <c r="E45" s="12">
        <v>10</v>
      </c>
      <c r="F45" s="3">
        <v>0</v>
      </c>
      <c r="G45" s="3">
        <v>3869</v>
      </c>
      <c r="H45" s="8" t="s">
        <v>99</v>
      </c>
      <c r="I45" s="8" t="s">
        <v>52</v>
      </c>
      <c r="J45" s="8" t="s">
        <v>36</v>
      </c>
      <c r="K45" s="8" t="s">
        <v>14</v>
      </c>
      <c r="L45" s="8" t="s">
        <v>127</v>
      </c>
    </row>
    <row r="46" spans="1:12" x14ac:dyDescent="0.35">
      <c r="A46" s="11">
        <v>45</v>
      </c>
      <c r="B46" s="17">
        <v>45696.786087962973</v>
      </c>
      <c r="C46" s="18">
        <v>45696</v>
      </c>
      <c r="D46" s="10" t="s">
        <v>77</v>
      </c>
      <c r="E46" s="5">
        <v>0</v>
      </c>
      <c r="F46" s="15">
        <v>4000</v>
      </c>
      <c r="G46" s="5">
        <v>7869</v>
      </c>
      <c r="H46" s="10" t="s">
        <v>51</v>
      </c>
      <c r="I46" s="10" t="s">
        <v>71</v>
      </c>
      <c r="J46" s="10" t="s">
        <v>31</v>
      </c>
      <c r="K46" s="10" t="s">
        <v>14</v>
      </c>
      <c r="L46" s="10" t="s">
        <v>128</v>
      </c>
    </row>
    <row r="47" spans="1:12" x14ac:dyDescent="0.35">
      <c r="A47" s="9">
        <v>46</v>
      </c>
      <c r="B47" s="19">
        <v>45696.786666666667</v>
      </c>
      <c r="C47" s="20">
        <v>45696</v>
      </c>
      <c r="D47" s="8" t="s">
        <v>81</v>
      </c>
      <c r="E47" s="12">
        <v>4910</v>
      </c>
      <c r="F47" s="3">
        <v>0</v>
      </c>
      <c r="G47" s="3">
        <v>2959</v>
      </c>
      <c r="H47" s="8" t="s">
        <v>51</v>
      </c>
      <c r="I47" s="8" t="s">
        <v>52</v>
      </c>
      <c r="J47" s="8" t="s">
        <v>30</v>
      </c>
      <c r="K47" s="8" t="s">
        <v>14</v>
      </c>
      <c r="L47" s="8" t="s">
        <v>129</v>
      </c>
    </row>
    <row r="48" spans="1:12" x14ac:dyDescent="0.35">
      <c r="A48" s="11">
        <v>47</v>
      </c>
      <c r="B48" s="17">
        <v>45696.806423611109</v>
      </c>
      <c r="C48" s="18">
        <v>45696</v>
      </c>
      <c r="D48" s="10" t="s">
        <v>64</v>
      </c>
      <c r="E48" s="14">
        <v>200</v>
      </c>
      <c r="F48" s="5">
        <v>0</v>
      </c>
      <c r="G48" s="5">
        <v>2759</v>
      </c>
      <c r="H48" s="10" t="s">
        <v>51</v>
      </c>
      <c r="I48" s="10" t="s">
        <v>52</v>
      </c>
      <c r="J48" s="10" t="s">
        <v>30</v>
      </c>
      <c r="K48" s="10" t="s">
        <v>14</v>
      </c>
      <c r="L48" s="10" t="s">
        <v>130</v>
      </c>
    </row>
    <row r="49" spans="1:12" x14ac:dyDescent="0.35">
      <c r="A49" s="9">
        <v>48</v>
      </c>
      <c r="B49" s="19">
        <v>45696.857581018521</v>
      </c>
      <c r="C49" s="20">
        <v>45696</v>
      </c>
      <c r="D49" s="8" t="s">
        <v>56</v>
      </c>
      <c r="E49" s="12">
        <v>210</v>
      </c>
      <c r="F49" s="3">
        <v>0</v>
      </c>
      <c r="G49" s="3">
        <v>2549</v>
      </c>
      <c r="H49" s="8" t="s">
        <v>51</v>
      </c>
      <c r="I49" s="8" t="s">
        <v>52</v>
      </c>
      <c r="J49" s="8" t="s">
        <v>30</v>
      </c>
      <c r="K49" s="8" t="s">
        <v>14</v>
      </c>
      <c r="L49" s="8" t="s">
        <v>131</v>
      </c>
    </row>
    <row r="50" spans="1:12" x14ac:dyDescent="0.35">
      <c r="A50" s="11">
        <v>49</v>
      </c>
      <c r="B50" s="17">
        <v>45696.858819444453</v>
      </c>
      <c r="C50" s="18">
        <v>45696</v>
      </c>
      <c r="D50" s="10" t="s">
        <v>112</v>
      </c>
      <c r="E50" s="14">
        <v>100</v>
      </c>
      <c r="F50" s="5">
        <v>0</v>
      </c>
      <c r="G50" s="5">
        <v>2449</v>
      </c>
      <c r="H50" s="10" t="s">
        <v>51</v>
      </c>
      <c r="I50" s="10" t="s">
        <v>52</v>
      </c>
      <c r="J50" s="10" t="s">
        <v>30</v>
      </c>
      <c r="K50" s="10" t="s">
        <v>14</v>
      </c>
      <c r="L50" s="10" t="s">
        <v>132</v>
      </c>
    </row>
    <row r="51" spans="1:12" x14ac:dyDescent="0.35">
      <c r="A51" s="9">
        <v>50</v>
      </c>
      <c r="B51" s="19">
        <v>45696.926296296297</v>
      </c>
      <c r="C51" s="20">
        <v>45696</v>
      </c>
      <c r="D51" s="8" t="s">
        <v>109</v>
      </c>
      <c r="E51" s="12">
        <v>500</v>
      </c>
      <c r="F51" s="3">
        <v>0</v>
      </c>
      <c r="G51" s="3">
        <v>1949</v>
      </c>
      <c r="H51" s="8" t="s">
        <v>51</v>
      </c>
      <c r="I51" s="8" t="s">
        <v>52</v>
      </c>
      <c r="J51" s="8" t="s">
        <v>30</v>
      </c>
      <c r="K51" s="8" t="s">
        <v>14</v>
      </c>
      <c r="L51" s="8" t="s">
        <v>133</v>
      </c>
    </row>
    <row r="52" spans="1:12" x14ac:dyDescent="0.35">
      <c r="A52" s="11">
        <v>51</v>
      </c>
      <c r="B52" s="17">
        <v>45697.370532407411</v>
      </c>
      <c r="C52" s="18">
        <v>45697</v>
      </c>
      <c r="D52" s="10" t="s">
        <v>134</v>
      </c>
      <c r="E52" s="14">
        <v>200</v>
      </c>
      <c r="F52" s="5">
        <v>0</v>
      </c>
      <c r="G52" s="5">
        <v>1749</v>
      </c>
      <c r="H52" s="10" t="s">
        <v>51</v>
      </c>
      <c r="I52" s="10" t="s">
        <v>52</v>
      </c>
      <c r="J52" s="10" t="s">
        <v>30</v>
      </c>
      <c r="K52" s="10" t="s">
        <v>14</v>
      </c>
      <c r="L52" s="10" t="s">
        <v>135</v>
      </c>
    </row>
    <row r="53" spans="1:12" x14ac:dyDescent="0.35">
      <c r="A53" s="9">
        <v>52</v>
      </c>
      <c r="B53" s="19">
        <v>45697.565150462957</v>
      </c>
      <c r="C53" s="20">
        <v>45697</v>
      </c>
      <c r="D53" s="8" t="s">
        <v>70</v>
      </c>
      <c r="E53" s="3">
        <v>0</v>
      </c>
      <c r="F53" s="13">
        <v>24000</v>
      </c>
      <c r="G53" s="3">
        <v>25749</v>
      </c>
      <c r="H53" s="8" t="s">
        <v>51</v>
      </c>
      <c r="I53" s="8" t="s">
        <v>71</v>
      </c>
      <c r="J53" s="8" t="s">
        <v>30</v>
      </c>
      <c r="K53" s="8" t="s">
        <v>14</v>
      </c>
      <c r="L53" s="8" t="s">
        <v>136</v>
      </c>
    </row>
    <row r="54" spans="1:12" x14ac:dyDescent="0.35">
      <c r="A54" s="11">
        <v>53</v>
      </c>
      <c r="B54" s="17">
        <v>45697.56521990741</v>
      </c>
      <c r="C54" s="18">
        <v>45697</v>
      </c>
      <c r="D54" s="10" t="s">
        <v>79</v>
      </c>
      <c r="E54" s="14">
        <v>50</v>
      </c>
      <c r="F54" s="5">
        <v>0</v>
      </c>
      <c r="G54" s="5">
        <v>25699</v>
      </c>
      <c r="H54" s="10" t="s">
        <v>51</v>
      </c>
      <c r="I54" s="10" t="s">
        <v>52</v>
      </c>
      <c r="J54" s="10" t="s">
        <v>36</v>
      </c>
      <c r="K54" s="10" t="s">
        <v>14</v>
      </c>
      <c r="L54" s="10" t="s">
        <v>137</v>
      </c>
    </row>
    <row r="55" spans="1:12" x14ac:dyDescent="0.35">
      <c r="A55" s="9">
        <v>54</v>
      </c>
      <c r="B55" s="19">
        <v>45697.683055555557</v>
      </c>
      <c r="C55" s="20">
        <v>45697</v>
      </c>
      <c r="D55" s="8" t="s">
        <v>138</v>
      </c>
      <c r="E55" s="12">
        <v>200</v>
      </c>
      <c r="F55" s="3">
        <v>0</v>
      </c>
      <c r="G55" s="3">
        <v>25499</v>
      </c>
      <c r="H55" s="8" t="s">
        <v>51</v>
      </c>
      <c r="I55" s="8" t="s">
        <v>52</v>
      </c>
      <c r="J55" s="8" t="s">
        <v>30</v>
      </c>
      <c r="K55" s="8" t="s">
        <v>14</v>
      </c>
      <c r="L55" s="8" t="s">
        <v>139</v>
      </c>
    </row>
    <row r="56" spans="1:12" x14ac:dyDescent="0.35">
      <c r="A56" s="11">
        <v>55</v>
      </c>
      <c r="B56" s="17">
        <v>45697.803414351853</v>
      </c>
      <c r="C56" s="18">
        <v>45697</v>
      </c>
      <c r="D56" s="10" t="s">
        <v>140</v>
      </c>
      <c r="E56" s="14">
        <v>2800</v>
      </c>
      <c r="F56" s="5">
        <v>0</v>
      </c>
      <c r="G56" s="5">
        <v>22699</v>
      </c>
      <c r="H56" s="10" t="s">
        <v>51</v>
      </c>
      <c r="I56" s="10" t="s">
        <v>52</v>
      </c>
      <c r="J56" s="10" t="s">
        <v>30</v>
      </c>
      <c r="K56" s="10" t="s">
        <v>14</v>
      </c>
      <c r="L56" s="10" t="s">
        <v>141</v>
      </c>
    </row>
    <row r="57" spans="1:12" x14ac:dyDescent="0.35">
      <c r="A57" s="9">
        <v>56</v>
      </c>
      <c r="B57" s="19">
        <v>45697.815000000002</v>
      </c>
      <c r="C57" s="20">
        <v>45697</v>
      </c>
      <c r="D57" s="8" t="s">
        <v>58</v>
      </c>
      <c r="E57" s="12">
        <v>100</v>
      </c>
      <c r="F57" s="3">
        <v>0</v>
      </c>
      <c r="G57" s="3">
        <v>22599</v>
      </c>
      <c r="H57" s="8" t="s">
        <v>51</v>
      </c>
      <c r="I57" s="8" t="s">
        <v>52</v>
      </c>
      <c r="J57" s="8" t="s">
        <v>30</v>
      </c>
      <c r="K57" s="8" t="s">
        <v>14</v>
      </c>
      <c r="L57" s="8" t="s">
        <v>142</v>
      </c>
    </row>
    <row r="58" spans="1:12" x14ac:dyDescent="0.35">
      <c r="A58" s="11">
        <v>57</v>
      </c>
      <c r="B58" s="17">
        <v>45697.831956018519</v>
      </c>
      <c r="C58" s="18">
        <v>45697</v>
      </c>
      <c r="D58" s="10" t="s">
        <v>58</v>
      </c>
      <c r="E58" s="14">
        <v>100</v>
      </c>
      <c r="F58" s="5">
        <v>0</v>
      </c>
      <c r="G58" s="5">
        <v>22499</v>
      </c>
      <c r="H58" s="10" t="s">
        <v>51</v>
      </c>
      <c r="I58" s="10" t="s">
        <v>52</v>
      </c>
      <c r="J58" s="10" t="s">
        <v>30</v>
      </c>
      <c r="K58" s="10" t="s">
        <v>14</v>
      </c>
      <c r="L58" s="10" t="s">
        <v>143</v>
      </c>
    </row>
    <row r="59" spans="1:12" x14ac:dyDescent="0.35">
      <c r="A59" s="9">
        <v>58</v>
      </c>
      <c r="B59" s="19">
        <v>45697.857708333337</v>
      </c>
      <c r="C59" s="20">
        <v>45697</v>
      </c>
      <c r="D59" s="8" t="s">
        <v>83</v>
      </c>
      <c r="E59" s="12">
        <v>500</v>
      </c>
      <c r="F59" s="3">
        <v>0</v>
      </c>
      <c r="G59" s="3">
        <v>21999</v>
      </c>
      <c r="H59" s="8" t="s">
        <v>51</v>
      </c>
      <c r="I59" s="8" t="s">
        <v>52</v>
      </c>
      <c r="J59" s="8" t="s">
        <v>30</v>
      </c>
      <c r="K59" s="8" t="s">
        <v>14</v>
      </c>
      <c r="L59" s="8" t="s">
        <v>144</v>
      </c>
    </row>
    <row r="60" spans="1:12" x14ac:dyDescent="0.35">
      <c r="A60" s="11">
        <v>59</v>
      </c>
      <c r="B60" s="17">
        <v>45697.90834490741</v>
      </c>
      <c r="C60" s="18">
        <v>45697</v>
      </c>
      <c r="D60" s="10" t="s">
        <v>56</v>
      </c>
      <c r="E60" s="14">
        <v>600</v>
      </c>
      <c r="F60" s="5">
        <v>0</v>
      </c>
      <c r="G60" s="5">
        <v>21399</v>
      </c>
      <c r="H60" s="10" t="s">
        <v>51</v>
      </c>
      <c r="I60" s="10" t="s">
        <v>52</v>
      </c>
      <c r="J60" s="10" t="s">
        <v>30</v>
      </c>
      <c r="K60" s="10" t="s">
        <v>14</v>
      </c>
      <c r="L60" s="10" t="s">
        <v>145</v>
      </c>
    </row>
    <row r="61" spans="1:12" x14ac:dyDescent="0.35">
      <c r="A61" s="9">
        <v>60</v>
      </c>
      <c r="B61" s="19">
        <v>45697.911620370367</v>
      </c>
      <c r="C61" s="20">
        <v>45697</v>
      </c>
      <c r="D61" s="8" t="s">
        <v>75</v>
      </c>
      <c r="E61" s="12">
        <v>660</v>
      </c>
      <c r="F61" s="3">
        <v>0</v>
      </c>
      <c r="G61" s="3">
        <v>20739</v>
      </c>
      <c r="H61" s="8" t="s">
        <v>51</v>
      </c>
      <c r="I61" s="8" t="s">
        <v>52</v>
      </c>
      <c r="J61" s="8" t="s">
        <v>30</v>
      </c>
      <c r="K61" s="8" t="s">
        <v>14</v>
      </c>
      <c r="L61" s="8" t="s">
        <v>146</v>
      </c>
    </row>
    <row r="62" spans="1:12" x14ac:dyDescent="0.35">
      <c r="A62" s="11">
        <v>61</v>
      </c>
      <c r="B62" s="17">
        <v>45698.379884259259</v>
      </c>
      <c r="C62" s="18">
        <v>45698</v>
      </c>
      <c r="D62" s="10" t="s">
        <v>58</v>
      </c>
      <c r="E62" s="14">
        <v>300</v>
      </c>
      <c r="F62" s="5">
        <v>0</v>
      </c>
      <c r="G62" s="5">
        <v>20439</v>
      </c>
      <c r="H62" s="10" t="s">
        <v>51</v>
      </c>
      <c r="I62" s="10" t="s">
        <v>52</v>
      </c>
      <c r="J62" s="10" t="s">
        <v>30</v>
      </c>
      <c r="K62" s="10" t="s">
        <v>14</v>
      </c>
      <c r="L62" s="10" t="s">
        <v>147</v>
      </c>
    </row>
    <row r="63" spans="1:12" x14ac:dyDescent="0.35">
      <c r="A63" s="9">
        <v>62</v>
      </c>
      <c r="B63" s="19">
        <v>45698.483206018522</v>
      </c>
      <c r="C63" s="20">
        <v>45698</v>
      </c>
      <c r="D63" s="8" t="s">
        <v>140</v>
      </c>
      <c r="E63" s="12">
        <v>2700</v>
      </c>
      <c r="F63" s="3">
        <v>0</v>
      </c>
      <c r="G63" s="3">
        <v>17739</v>
      </c>
      <c r="H63" s="8" t="s">
        <v>51</v>
      </c>
      <c r="I63" s="8" t="s">
        <v>52</v>
      </c>
      <c r="J63" s="8" t="s">
        <v>30</v>
      </c>
      <c r="K63" s="8" t="s">
        <v>14</v>
      </c>
      <c r="L63" s="8" t="s">
        <v>148</v>
      </c>
    </row>
    <row r="64" spans="1:12" x14ac:dyDescent="0.35">
      <c r="A64" s="11">
        <v>63</v>
      </c>
      <c r="B64" s="17">
        <v>45698.656782407408</v>
      </c>
      <c r="C64" s="18">
        <v>45698</v>
      </c>
      <c r="D64" s="10" t="s">
        <v>149</v>
      </c>
      <c r="E64" s="14">
        <v>200</v>
      </c>
      <c r="F64" s="5">
        <v>0</v>
      </c>
      <c r="G64" s="5">
        <v>17539</v>
      </c>
      <c r="H64" s="10" t="s">
        <v>51</v>
      </c>
      <c r="I64" s="10" t="s">
        <v>52</v>
      </c>
      <c r="J64" s="10" t="s">
        <v>30</v>
      </c>
      <c r="K64" s="10" t="s">
        <v>14</v>
      </c>
      <c r="L64" s="10" t="s">
        <v>150</v>
      </c>
    </row>
    <row r="65" spans="1:12" x14ac:dyDescent="0.35">
      <c r="A65" s="9">
        <v>64</v>
      </c>
      <c r="B65" s="19">
        <v>45698.690104166657</v>
      </c>
      <c r="C65" s="20">
        <v>45698</v>
      </c>
      <c r="D65" s="8" t="s">
        <v>101</v>
      </c>
      <c r="E65" s="12">
        <v>800</v>
      </c>
      <c r="F65" s="3">
        <v>0</v>
      </c>
      <c r="G65" s="3">
        <v>16739</v>
      </c>
      <c r="H65" s="8" t="s">
        <v>51</v>
      </c>
      <c r="I65" s="8" t="s">
        <v>52</v>
      </c>
      <c r="J65" s="8" t="s">
        <v>30</v>
      </c>
      <c r="K65" s="8" t="s">
        <v>14</v>
      </c>
      <c r="L65" s="8" t="s">
        <v>151</v>
      </c>
    </row>
    <row r="66" spans="1:12" x14ac:dyDescent="0.35">
      <c r="A66" s="11">
        <v>65</v>
      </c>
      <c r="B66" s="17">
        <v>45698.723391203697</v>
      </c>
      <c r="C66" s="18">
        <v>45698</v>
      </c>
      <c r="D66" s="10" t="s">
        <v>68</v>
      </c>
      <c r="E66" s="14">
        <v>100</v>
      </c>
      <c r="F66" s="5">
        <v>0</v>
      </c>
      <c r="G66" s="5">
        <v>16639</v>
      </c>
      <c r="H66" s="10" t="s">
        <v>51</v>
      </c>
      <c r="I66" s="10" t="s">
        <v>52</v>
      </c>
      <c r="J66" s="10" t="s">
        <v>30</v>
      </c>
      <c r="K66" s="10" t="s">
        <v>14</v>
      </c>
      <c r="L66" s="10" t="s">
        <v>152</v>
      </c>
    </row>
    <row r="67" spans="1:12" x14ac:dyDescent="0.35">
      <c r="A67" s="9">
        <v>66</v>
      </c>
      <c r="B67" s="19">
        <v>45698.838125000002</v>
      </c>
      <c r="C67" s="20">
        <v>45698</v>
      </c>
      <c r="D67" s="8" t="s">
        <v>81</v>
      </c>
      <c r="E67" s="12">
        <v>1950</v>
      </c>
      <c r="F67" s="3">
        <v>0</v>
      </c>
      <c r="G67" s="3">
        <v>14689</v>
      </c>
      <c r="H67" s="8" t="s">
        <v>51</v>
      </c>
      <c r="I67" s="8" t="s">
        <v>52</v>
      </c>
      <c r="J67" s="8" t="s">
        <v>30</v>
      </c>
      <c r="K67" s="8" t="s">
        <v>14</v>
      </c>
      <c r="L67" s="8" t="s">
        <v>153</v>
      </c>
    </row>
    <row r="68" spans="1:12" x14ac:dyDescent="0.35">
      <c r="A68" s="11">
        <v>67</v>
      </c>
      <c r="B68" s="17">
        <v>45698.838784722233</v>
      </c>
      <c r="C68" s="18">
        <v>45698</v>
      </c>
      <c r="D68" s="10" t="s">
        <v>89</v>
      </c>
      <c r="E68" s="14">
        <v>500</v>
      </c>
      <c r="F68" s="5">
        <v>0</v>
      </c>
      <c r="G68" s="5">
        <v>14189</v>
      </c>
      <c r="H68" s="10" t="s">
        <v>51</v>
      </c>
      <c r="I68" s="10" t="s">
        <v>52</v>
      </c>
      <c r="J68" s="10" t="s">
        <v>30</v>
      </c>
      <c r="K68" s="10" t="s">
        <v>14</v>
      </c>
      <c r="L68" s="10" t="s">
        <v>154</v>
      </c>
    </row>
    <row r="69" spans="1:12" x14ac:dyDescent="0.35">
      <c r="A69" s="9">
        <v>68</v>
      </c>
      <c r="B69" s="19">
        <v>45698.908171296287</v>
      </c>
      <c r="C69" s="20">
        <v>45698</v>
      </c>
      <c r="D69" s="8" t="s">
        <v>56</v>
      </c>
      <c r="E69" s="12">
        <v>1000</v>
      </c>
      <c r="F69" s="3">
        <v>0</v>
      </c>
      <c r="G69" s="3">
        <v>13189</v>
      </c>
      <c r="H69" s="8" t="s">
        <v>51</v>
      </c>
      <c r="I69" s="8" t="s">
        <v>52</v>
      </c>
      <c r="J69" s="8" t="s">
        <v>30</v>
      </c>
      <c r="K69" s="8" t="s">
        <v>14</v>
      </c>
      <c r="L69" s="8" t="s">
        <v>155</v>
      </c>
    </row>
    <row r="70" spans="1:12" x14ac:dyDescent="0.35">
      <c r="A70" s="11">
        <v>69</v>
      </c>
      <c r="B70" s="17">
        <v>45698.911064814813</v>
      </c>
      <c r="C70" s="18">
        <v>45698</v>
      </c>
      <c r="D70" s="10" t="s">
        <v>66</v>
      </c>
      <c r="E70" s="14">
        <v>810</v>
      </c>
      <c r="F70" s="5">
        <v>0</v>
      </c>
      <c r="G70" s="5">
        <v>12379</v>
      </c>
      <c r="H70" s="10" t="s">
        <v>51</v>
      </c>
      <c r="I70" s="10" t="s">
        <v>52</v>
      </c>
      <c r="J70" s="10" t="s">
        <v>30</v>
      </c>
      <c r="K70" s="10" t="s">
        <v>14</v>
      </c>
      <c r="L70" s="10" t="s">
        <v>156</v>
      </c>
    </row>
    <row r="71" spans="1:12" x14ac:dyDescent="0.35">
      <c r="A71" s="9">
        <v>70</v>
      </c>
      <c r="B71" s="19">
        <v>45698.912939814807</v>
      </c>
      <c r="C71" s="20">
        <v>45698</v>
      </c>
      <c r="D71" s="8" t="s">
        <v>134</v>
      </c>
      <c r="E71" s="12">
        <v>400</v>
      </c>
      <c r="F71" s="3">
        <v>0</v>
      </c>
      <c r="G71" s="3">
        <v>11979</v>
      </c>
      <c r="H71" s="8" t="s">
        <v>51</v>
      </c>
      <c r="I71" s="8" t="s">
        <v>52</v>
      </c>
      <c r="J71" s="8" t="s">
        <v>30</v>
      </c>
      <c r="K71" s="8" t="s">
        <v>14</v>
      </c>
      <c r="L71" s="8" t="s">
        <v>157</v>
      </c>
    </row>
    <row r="72" spans="1:12" x14ac:dyDescent="0.35">
      <c r="A72" s="11">
        <v>71</v>
      </c>
      <c r="B72" s="17">
        <v>45698.914490740739</v>
      </c>
      <c r="C72" s="18">
        <v>45698</v>
      </c>
      <c r="D72" s="10" t="s">
        <v>58</v>
      </c>
      <c r="E72" s="14">
        <v>310</v>
      </c>
      <c r="F72" s="5">
        <v>0</v>
      </c>
      <c r="G72" s="5">
        <v>11669</v>
      </c>
      <c r="H72" s="10" t="s">
        <v>51</v>
      </c>
      <c r="I72" s="10" t="s">
        <v>52</v>
      </c>
      <c r="J72" s="10" t="s">
        <v>30</v>
      </c>
      <c r="K72" s="10" t="s">
        <v>14</v>
      </c>
      <c r="L72" s="10" t="s">
        <v>158</v>
      </c>
    </row>
    <row r="73" spans="1:12" x14ac:dyDescent="0.35">
      <c r="A73" s="9">
        <v>72</v>
      </c>
      <c r="B73" s="19">
        <v>45699.322199074071</v>
      </c>
      <c r="C73" s="20">
        <v>45699</v>
      </c>
      <c r="D73" s="8" t="s">
        <v>81</v>
      </c>
      <c r="E73" s="12">
        <v>2200</v>
      </c>
      <c r="F73" s="3">
        <v>0</v>
      </c>
      <c r="G73" s="3">
        <v>9469</v>
      </c>
      <c r="H73" s="8" t="s">
        <v>51</v>
      </c>
      <c r="I73" s="8" t="s">
        <v>52</v>
      </c>
      <c r="J73" s="8" t="s">
        <v>30</v>
      </c>
      <c r="K73" s="8" t="s">
        <v>14</v>
      </c>
      <c r="L73" s="8" t="s">
        <v>159</v>
      </c>
    </row>
    <row r="74" spans="1:12" x14ac:dyDescent="0.35">
      <c r="A74" s="11">
        <v>73</v>
      </c>
      <c r="B74" s="17">
        <v>45699.417858796303</v>
      </c>
      <c r="C74" s="18">
        <v>45699</v>
      </c>
      <c r="D74" s="10" t="s">
        <v>160</v>
      </c>
      <c r="E74" s="14">
        <v>200</v>
      </c>
      <c r="F74" s="5">
        <v>0</v>
      </c>
      <c r="G74" s="5">
        <v>9269</v>
      </c>
      <c r="H74" s="10" t="s">
        <v>51</v>
      </c>
      <c r="I74" s="10" t="s">
        <v>52</v>
      </c>
      <c r="J74" s="10" t="s">
        <v>30</v>
      </c>
      <c r="K74" s="10" t="s">
        <v>14</v>
      </c>
      <c r="L74" s="10" t="s">
        <v>161</v>
      </c>
    </row>
    <row r="75" spans="1:12" x14ac:dyDescent="0.35">
      <c r="A75" s="9">
        <v>74</v>
      </c>
      <c r="B75" s="19">
        <v>45699.596782407411</v>
      </c>
      <c r="C75" s="20">
        <v>45699</v>
      </c>
      <c r="D75" s="8" t="s">
        <v>162</v>
      </c>
      <c r="E75" s="12">
        <v>600</v>
      </c>
      <c r="F75" s="3">
        <v>0</v>
      </c>
      <c r="G75" s="3">
        <v>8669</v>
      </c>
      <c r="H75" s="8" t="s">
        <v>51</v>
      </c>
      <c r="I75" s="8" t="s">
        <v>52</v>
      </c>
      <c r="J75" s="8" t="s">
        <v>36</v>
      </c>
      <c r="K75" s="8" t="s">
        <v>14</v>
      </c>
      <c r="L75" s="8" t="s">
        <v>163</v>
      </c>
    </row>
    <row r="76" spans="1:12" x14ac:dyDescent="0.35">
      <c r="A76" s="11">
        <v>75</v>
      </c>
      <c r="B76" s="17">
        <v>45700.621620370373</v>
      </c>
      <c r="C76" s="18">
        <v>45700</v>
      </c>
      <c r="D76" s="10" t="s">
        <v>98</v>
      </c>
      <c r="E76" s="14">
        <v>10</v>
      </c>
      <c r="F76" s="5">
        <v>0</v>
      </c>
      <c r="G76" s="5">
        <v>8659</v>
      </c>
      <c r="H76" s="10" t="s">
        <v>99</v>
      </c>
      <c r="I76" s="10" t="s">
        <v>52</v>
      </c>
      <c r="J76" s="10" t="s">
        <v>36</v>
      </c>
      <c r="K76" s="10" t="s">
        <v>14</v>
      </c>
      <c r="L76" s="10" t="s">
        <v>164</v>
      </c>
    </row>
    <row r="77" spans="1:12" x14ac:dyDescent="0.35">
      <c r="A77" s="9">
        <v>76</v>
      </c>
      <c r="B77" s="19">
        <v>45700.622002314813</v>
      </c>
      <c r="C77" s="20">
        <v>45700</v>
      </c>
      <c r="D77" s="8" t="s">
        <v>165</v>
      </c>
      <c r="E77" s="12">
        <v>100</v>
      </c>
      <c r="F77" s="3">
        <v>0</v>
      </c>
      <c r="G77" s="3">
        <v>0</v>
      </c>
      <c r="H77" s="8" t="s">
        <v>99</v>
      </c>
      <c r="I77" s="8" t="s">
        <v>52</v>
      </c>
      <c r="J77" s="8" t="s">
        <v>36</v>
      </c>
      <c r="K77" s="8" t="s">
        <v>14</v>
      </c>
      <c r="L77" s="8" t="s">
        <v>166</v>
      </c>
    </row>
    <row r="78" spans="1:12" x14ac:dyDescent="0.35">
      <c r="A78" s="11">
        <v>77</v>
      </c>
      <c r="B78" s="17">
        <v>45700.693854166668</v>
      </c>
      <c r="C78" s="18">
        <v>45700</v>
      </c>
      <c r="D78" s="10" t="s">
        <v>98</v>
      </c>
      <c r="E78" s="14">
        <v>10</v>
      </c>
      <c r="F78" s="5">
        <v>0</v>
      </c>
      <c r="G78" s="5">
        <v>8649</v>
      </c>
      <c r="H78" s="10" t="s">
        <v>99</v>
      </c>
      <c r="I78" s="10" t="s">
        <v>52</v>
      </c>
      <c r="J78" s="10" t="s">
        <v>36</v>
      </c>
      <c r="K78" s="10" t="s">
        <v>14</v>
      </c>
      <c r="L78" s="10" t="s">
        <v>167</v>
      </c>
    </row>
    <row r="79" spans="1:12" x14ac:dyDescent="0.35">
      <c r="A79" s="9">
        <v>78</v>
      </c>
      <c r="B79" s="19">
        <v>45700.694247685176</v>
      </c>
      <c r="C79" s="20">
        <v>45700</v>
      </c>
      <c r="D79" s="8" t="s">
        <v>98</v>
      </c>
      <c r="E79" s="12">
        <v>10</v>
      </c>
      <c r="F79" s="3">
        <v>0</v>
      </c>
      <c r="G79" s="3">
        <v>8639</v>
      </c>
      <c r="H79" s="8" t="s">
        <v>99</v>
      </c>
      <c r="I79" s="8" t="s">
        <v>52</v>
      </c>
      <c r="J79" s="8" t="s">
        <v>36</v>
      </c>
      <c r="K79" s="8" t="s">
        <v>14</v>
      </c>
      <c r="L79" s="8" t="s">
        <v>168</v>
      </c>
    </row>
    <row r="80" spans="1:12" x14ac:dyDescent="0.35">
      <c r="A80" s="11">
        <v>79</v>
      </c>
      <c r="B80" s="17">
        <v>45700.694548611107</v>
      </c>
      <c r="C80" s="18">
        <v>45700</v>
      </c>
      <c r="D80" s="10" t="s">
        <v>165</v>
      </c>
      <c r="E80" s="14">
        <v>100</v>
      </c>
      <c r="F80" s="5">
        <v>0</v>
      </c>
      <c r="G80" s="5">
        <v>0</v>
      </c>
      <c r="H80" s="10" t="s">
        <v>99</v>
      </c>
      <c r="I80" s="10" t="s">
        <v>52</v>
      </c>
      <c r="J80" s="10" t="s">
        <v>36</v>
      </c>
      <c r="K80" s="10" t="s">
        <v>14</v>
      </c>
      <c r="L80" s="10" t="s">
        <v>169</v>
      </c>
    </row>
    <row r="81" spans="1:12" x14ac:dyDescent="0.35">
      <c r="A81" s="9">
        <v>80</v>
      </c>
      <c r="B81" s="19">
        <v>45700.716967592591</v>
      </c>
      <c r="C81" s="20">
        <v>45700</v>
      </c>
      <c r="D81" s="8" t="s">
        <v>98</v>
      </c>
      <c r="E81" s="12">
        <v>10</v>
      </c>
      <c r="F81" s="3">
        <v>0</v>
      </c>
      <c r="G81" s="3">
        <v>8629</v>
      </c>
      <c r="H81" s="8" t="s">
        <v>99</v>
      </c>
      <c r="I81" s="8" t="s">
        <v>52</v>
      </c>
      <c r="J81" s="8" t="s">
        <v>36</v>
      </c>
      <c r="K81" s="8" t="s">
        <v>14</v>
      </c>
      <c r="L81" s="8" t="s">
        <v>170</v>
      </c>
    </row>
    <row r="82" spans="1:12" x14ac:dyDescent="0.35">
      <c r="A82" s="11">
        <v>81</v>
      </c>
      <c r="B82" s="17">
        <v>45700.717280092591</v>
      </c>
      <c r="C82" s="18">
        <v>45700</v>
      </c>
      <c r="D82" s="10" t="s">
        <v>165</v>
      </c>
      <c r="E82" s="14">
        <v>100</v>
      </c>
      <c r="F82" s="5">
        <v>0</v>
      </c>
      <c r="G82" s="5">
        <v>0</v>
      </c>
      <c r="H82" s="10" t="s">
        <v>99</v>
      </c>
      <c r="I82" s="10" t="s">
        <v>52</v>
      </c>
      <c r="J82" s="10" t="s">
        <v>36</v>
      </c>
      <c r="K82" s="10" t="s">
        <v>14</v>
      </c>
      <c r="L82" s="10" t="s">
        <v>171</v>
      </c>
    </row>
    <row r="83" spans="1:12" x14ac:dyDescent="0.35">
      <c r="A83" s="9">
        <v>82</v>
      </c>
      <c r="B83" s="19">
        <v>45700.859513888892</v>
      </c>
      <c r="C83" s="20">
        <v>45700</v>
      </c>
      <c r="D83" s="8" t="s">
        <v>98</v>
      </c>
      <c r="E83" s="12">
        <v>10</v>
      </c>
      <c r="F83" s="3">
        <v>0</v>
      </c>
      <c r="G83" s="3">
        <v>8619</v>
      </c>
      <c r="H83" s="8" t="s">
        <v>99</v>
      </c>
      <c r="I83" s="8" t="s">
        <v>52</v>
      </c>
      <c r="J83" s="8" t="s">
        <v>36</v>
      </c>
      <c r="K83" s="8" t="s">
        <v>14</v>
      </c>
      <c r="L83" s="8" t="s">
        <v>172</v>
      </c>
    </row>
    <row r="84" spans="1:12" x14ac:dyDescent="0.35">
      <c r="A84" s="11">
        <v>83</v>
      </c>
      <c r="B84" s="17">
        <v>45700.859803240739</v>
      </c>
      <c r="C84" s="18">
        <v>45700</v>
      </c>
      <c r="D84" s="10" t="s">
        <v>165</v>
      </c>
      <c r="E84" s="14">
        <v>100</v>
      </c>
      <c r="F84" s="5">
        <v>0</v>
      </c>
      <c r="G84" s="5">
        <v>0</v>
      </c>
      <c r="H84" s="10" t="s">
        <v>99</v>
      </c>
      <c r="I84" s="10" t="s">
        <v>52</v>
      </c>
      <c r="J84" s="10" t="s">
        <v>36</v>
      </c>
      <c r="K84" s="10" t="s">
        <v>14</v>
      </c>
      <c r="L84" s="10" t="s">
        <v>173</v>
      </c>
    </row>
    <row r="85" spans="1:12" x14ac:dyDescent="0.35">
      <c r="A85" s="9">
        <v>84</v>
      </c>
      <c r="B85" s="19">
        <v>45700.998749999999</v>
      </c>
      <c r="C85" s="20">
        <v>45700</v>
      </c>
      <c r="D85" s="8" t="s">
        <v>98</v>
      </c>
      <c r="E85" s="12">
        <v>10</v>
      </c>
      <c r="F85" s="3">
        <v>0</v>
      </c>
      <c r="G85" s="3">
        <v>8609</v>
      </c>
      <c r="H85" s="8" t="s">
        <v>99</v>
      </c>
      <c r="I85" s="8" t="s">
        <v>52</v>
      </c>
      <c r="J85" s="8" t="s">
        <v>36</v>
      </c>
      <c r="K85" s="8" t="s">
        <v>14</v>
      </c>
      <c r="L85" s="8" t="s">
        <v>174</v>
      </c>
    </row>
    <row r="86" spans="1:12" x14ac:dyDescent="0.35">
      <c r="A86" s="11">
        <v>85</v>
      </c>
      <c r="B86" s="17">
        <v>45700.998888888891</v>
      </c>
      <c r="C86" s="18">
        <v>45700</v>
      </c>
      <c r="D86" s="10" t="s">
        <v>98</v>
      </c>
      <c r="E86" s="14">
        <v>10</v>
      </c>
      <c r="F86" s="5">
        <v>0</v>
      </c>
      <c r="G86" s="5">
        <v>8599</v>
      </c>
      <c r="H86" s="10" t="s">
        <v>99</v>
      </c>
      <c r="I86" s="10" t="s">
        <v>52</v>
      </c>
      <c r="J86" s="10" t="s">
        <v>36</v>
      </c>
      <c r="K86" s="10" t="s">
        <v>14</v>
      </c>
      <c r="L86" s="10" t="s">
        <v>175</v>
      </c>
    </row>
    <row r="87" spans="1:12" x14ac:dyDescent="0.35">
      <c r="A87" s="9">
        <v>86</v>
      </c>
      <c r="B87" s="19">
        <v>45700.999224537038</v>
      </c>
      <c r="C87" s="20">
        <v>45700</v>
      </c>
      <c r="D87" s="8" t="s">
        <v>165</v>
      </c>
      <c r="E87" s="12">
        <v>100</v>
      </c>
      <c r="F87" s="3">
        <v>0</v>
      </c>
      <c r="G87" s="3">
        <v>8499</v>
      </c>
      <c r="H87" s="8" t="s">
        <v>99</v>
      </c>
      <c r="I87" s="8" t="s">
        <v>52</v>
      </c>
      <c r="J87" s="8" t="s">
        <v>36</v>
      </c>
      <c r="K87" s="8" t="s">
        <v>14</v>
      </c>
      <c r="L87" s="8" t="s">
        <v>176</v>
      </c>
    </row>
    <row r="88" spans="1:12" x14ac:dyDescent="0.35">
      <c r="A88" s="11">
        <v>87</v>
      </c>
      <c r="B88" s="17">
        <v>45701.009664351863</v>
      </c>
      <c r="C88" s="18">
        <v>45701</v>
      </c>
      <c r="D88" s="10" t="s">
        <v>98</v>
      </c>
      <c r="E88" s="14">
        <v>10</v>
      </c>
      <c r="F88" s="5">
        <v>0</v>
      </c>
      <c r="G88" s="5">
        <v>8489</v>
      </c>
      <c r="H88" s="10" t="s">
        <v>99</v>
      </c>
      <c r="I88" s="10" t="s">
        <v>52</v>
      </c>
      <c r="J88" s="10" t="s">
        <v>36</v>
      </c>
      <c r="K88" s="10" t="s">
        <v>14</v>
      </c>
      <c r="L88" s="10" t="s">
        <v>177</v>
      </c>
    </row>
    <row r="89" spans="1:12" x14ac:dyDescent="0.35">
      <c r="A89" s="9">
        <v>88</v>
      </c>
      <c r="B89" s="19">
        <v>45701.009965277779</v>
      </c>
      <c r="C89" s="20">
        <v>45701</v>
      </c>
      <c r="D89" s="8" t="s">
        <v>165</v>
      </c>
      <c r="E89" s="12">
        <v>100</v>
      </c>
      <c r="F89" s="3">
        <v>0</v>
      </c>
      <c r="G89" s="3">
        <v>8389</v>
      </c>
      <c r="H89" s="8" t="s">
        <v>99</v>
      </c>
      <c r="I89" s="8" t="s">
        <v>52</v>
      </c>
      <c r="J89" s="8" t="s">
        <v>36</v>
      </c>
      <c r="K89" s="8" t="s">
        <v>14</v>
      </c>
      <c r="L89" s="8" t="s">
        <v>178</v>
      </c>
    </row>
    <row r="90" spans="1:12" x14ac:dyDescent="0.35">
      <c r="A90" s="11">
        <v>89</v>
      </c>
      <c r="B90" s="17">
        <v>45701.010752314818</v>
      </c>
      <c r="C90" s="18">
        <v>45701</v>
      </c>
      <c r="D90" s="10" t="s">
        <v>162</v>
      </c>
      <c r="E90" s="14">
        <v>600</v>
      </c>
      <c r="F90" s="5">
        <v>0</v>
      </c>
      <c r="G90" s="5">
        <v>7789</v>
      </c>
      <c r="H90" s="10" t="s">
        <v>51</v>
      </c>
      <c r="I90" s="10" t="s">
        <v>52</v>
      </c>
      <c r="J90" s="10" t="s">
        <v>36</v>
      </c>
      <c r="K90" s="10" t="s">
        <v>14</v>
      </c>
      <c r="L90" s="10" t="s">
        <v>179</v>
      </c>
    </row>
    <row r="91" spans="1:12" x14ac:dyDescent="0.35">
      <c r="A91" s="9">
        <v>90</v>
      </c>
      <c r="B91" s="19">
        <v>45702.352199074077</v>
      </c>
      <c r="C91" s="20">
        <v>45702</v>
      </c>
      <c r="D91" s="8" t="s">
        <v>98</v>
      </c>
      <c r="E91" s="12">
        <v>10</v>
      </c>
      <c r="F91" s="3">
        <v>0</v>
      </c>
      <c r="G91" s="3">
        <v>7779</v>
      </c>
      <c r="H91" s="8" t="s">
        <v>99</v>
      </c>
      <c r="I91" s="8" t="s">
        <v>52</v>
      </c>
      <c r="J91" s="8" t="s">
        <v>36</v>
      </c>
      <c r="K91" s="8" t="s">
        <v>14</v>
      </c>
      <c r="L91" s="8" t="s">
        <v>180</v>
      </c>
    </row>
    <row r="92" spans="1:12" x14ac:dyDescent="0.35">
      <c r="A92" s="11">
        <v>91</v>
      </c>
      <c r="B92" s="17">
        <v>45702.355150462958</v>
      </c>
      <c r="C92" s="18">
        <v>45702</v>
      </c>
      <c r="D92" s="10" t="s">
        <v>162</v>
      </c>
      <c r="E92" s="14">
        <v>600</v>
      </c>
      <c r="F92" s="5">
        <v>0</v>
      </c>
      <c r="G92" s="5">
        <v>0</v>
      </c>
      <c r="H92" s="10" t="s">
        <v>51</v>
      </c>
      <c r="I92" s="10" t="s">
        <v>52</v>
      </c>
      <c r="J92" s="10" t="s">
        <v>36</v>
      </c>
      <c r="K92" s="10" t="s">
        <v>14</v>
      </c>
      <c r="L92" s="10" t="s">
        <v>181</v>
      </c>
    </row>
    <row r="93" spans="1:12" x14ac:dyDescent="0.35">
      <c r="A93" s="9">
        <v>92</v>
      </c>
      <c r="B93" s="19">
        <v>45702.716145833343</v>
      </c>
      <c r="C93" s="20">
        <v>45702</v>
      </c>
      <c r="D93" s="8" t="s">
        <v>182</v>
      </c>
      <c r="E93" s="12">
        <v>600</v>
      </c>
      <c r="F93" s="3">
        <v>0</v>
      </c>
      <c r="G93" s="3">
        <v>7179</v>
      </c>
      <c r="H93" s="8" t="s">
        <v>51</v>
      </c>
      <c r="I93" s="8" t="s">
        <v>52</v>
      </c>
      <c r="J93" s="8" t="s">
        <v>30</v>
      </c>
      <c r="K93" s="8" t="s">
        <v>14</v>
      </c>
      <c r="L93" s="8" t="s">
        <v>183</v>
      </c>
    </row>
    <row r="94" spans="1:12" x14ac:dyDescent="0.35">
      <c r="A94" s="11">
        <v>93</v>
      </c>
      <c r="B94" s="17">
        <v>45703.649791666663</v>
      </c>
      <c r="C94" s="18">
        <v>45703</v>
      </c>
      <c r="D94" s="10" t="s">
        <v>98</v>
      </c>
      <c r="E94" s="14">
        <v>10</v>
      </c>
      <c r="F94" s="5">
        <v>0</v>
      </c>
      <c r="G94" s="5">
        <v>7169</v>
      </c>
      <c r="H94" s="10" t="s">
        <v>99</v>
      </c>
      <c r="I94" s="10" t="s">
        <v>52</v>
      </c>
      <c r="J94" s="10" t="s">
        <v>36</v>
      </c>
      <c r="K94" s="10" t="s">
        <v>14</v>
      </c>
      <c r="L94" s="10" t="s">
        <v>184</v>
      </c>
    </row>
    <row r="95" spans="1:12" x14ac:dyDescent="0.35">
      <c r="A95" s="9">
        <v>94</v>
      </c>
      <c r="B95" s="19">
        <v>45703.650069444448</v>
      </c>
      <c r="C95" s="20">
        <v>45703</v>
      </c>
      <c r="D95" s="8" t="s">
        <v>165</v>
      </c>
      <c r="E95" s="12">
        <v>350</v>
      </c>
      <c r="F95" s="3">
        <v>0</v>
      </c>
      <c r="G95" s="3">
        <v>6819</v>
      </c>
      <c r="H95" s="8" t="s">
        <v>99</v>
      </c>
      <c r="I95" s="8" t="s">
        <v>52</v>
      </c>
      <c r="J95" s="8" t="s">
        <v>36</v>
      </c>
      <c r="K95" s="8" t="s">
        <v>14</v>
      </c>
      <c r="L95" s="8" t="s">
        <v>185</v>
      </c>
    </row>
    <row r="96" spans="1:12" x14ac:dyDescent="0.35">
      <c r="A96" s="11">
        <v>95</v>
      </c>
      <c r="B96" s="17">
        <v>45703.838449074072</v>
      </c>
      <c r="C96" s="18">
        <v>45703</v>
      </c>
      <c r="D96" s="10" t="s">
        <v>186</v>
      </c>
      <c r="E96" s="14">
        <v>1500</v>
      </c>
      <c r="F96" s="5">
        <v>0</v>
      </c>
      <c r="G96" s="5">
        <v>5319</v>
      </c>
      <c r="H96" s="10" t="s">
        <v>51</v>
      </c>
      <c r="I96" s="10" t="s">
        <v>52</v>
      </c>
      <c r="J96" s="10" t="s">
        <v>37</v>
      </c>
      <c r="K96" s="10" t="s">
        <v>14</v>
      </c>
      <c r="L96" s="10" t="s">
        <v>187</v>
      </c>
    </row>
    <row r="97" spans="1:12" x14ac:dyDescent="0.35">
      <c r="A97" s="9">
        <v>96</v>
      </c>
      <c r="B97" s="19">
        <v>45703.897534722222</v>
      </c>
      <c r="C97" s="20">
        <v>45703</v>
      </c>
      <c r="D97" s="8" t="s">
        <v>188</v>
      </c>
      <c r="E97" s="12">
        <v>1000</v>
      </c>
      <c r="F97" s="3">
        <v>0</v>
      </c>
      <c r="G97" s="3">
        <v>4319</v>
      </c>
      <c r="H97" s="8" t="s">
        <v>51</v>
      </c>
      <c r="I97" s="8" t="s">
        <v>52</v>
      </c>
      <c r="J97" s="8" t="s">
        <v>37</v>
      </c>
      <c r="K97" s="8" t="s">
        <v>14</v>
      </c>
      <c r="L97" s="8" t="s">
        <v>189</v>
      </c>
    </row>
    <row r="98" spans="1:12" x14ac:dyDescent="0.35">
      <c r="A98" s="11">
        <v>97</v>
      </c>
      <c r="B98" s="17">
        <v>45706.487500000003</v>
      </c>
      <c r="C98" s="18">
        <v>45706</v>
      </c>
      <c r="D98" s="10" t="s">
        <v>190</v>
      </c>
      <c r="E98" s="14">
        <v>1000</v>
      </c>
      <c r="F98" s="5">
        <v>0</v>
      </c>
      <c r="G98" s="5">
        <v>3319</v>
      </c>
      <c r="H98" s="10" t="s">
        <v>51</v>
      </c>
      <c r="I98" s="10" t="s">
        <v>52</v>
      </c>
      <c r="J98" s="10" t="s">
        <v>30</v>
      </c>
      <c r="K98" s="10" t="s">
        <v>14</v>
      </c>
      <c r="L98" s="10" t="s">
        <v>191</v>
      </c>
    </row>
    <row r="99" spans="1:12" x14ac:dyDescent="0.35">
      <c r="A99" s="9">
        <v>98</v>
      </c>
      <c r="B99" s="19">
        <v>45708.377210648148</v>
      </c>
      <c r="C99" s="20">
        <v>45708</v>
      </c>
      <c r="D99" s="8" t="s">
        <v>98</v>
      </c>
      <c r="E99" s="12">
        <v>10</v>
      </c>
      <c r="F99" s="3">
        <v>0</v>
      </c>
      <c r="G99" s="3">
        <v>3309</v>
      </c>
      <c r="H99" s="8" t="s">
        <v>99</v>
      </c>
      <c r="I99" s="8" t="s">
        <v>52</v>
      </c>
      <c r="J99" s="8" t="s">
        <v>36</v>
      </c>
      <c r="K99" s="8" t="s">
        <v>14</v>
      </c>
      <c r="L99" s="8" t="s">
        <v>192</v>
      </c>
    </row>
    <row r="100" spans="1:12" x14ac:dyDescent="0.35">
      <c r="A100" s="11">
        <v>99</v>
      </c>
      <c r="B100" s="17">
        <v>45708.377488425933</v>
      </c>
      <c r="C100" s="18">
        <v>45708</v>
      </c>
      <c r="D100" s="10" t="s">
        <v>165</v>
      </c>
      <c r="E100" s="14">
        <v>350</v>
      </c>
      <c r="F100" s="5">
        <v>0</v>
      </c>
      <c r="G100" s="5">
        <v>2959</v>
      </c>
      <c r="H100" s="10" t="s">
        <v>99</v>
      </c>
      <c r="I100" s="10" t="s">
        <v>52</v>
      </c>
      <c r="J100" s="10" t="s">
        <v>36</v>
      </c>
      <c r="K100" s="10" t="s">
        <v>14</v>
      </c>
      <c r="L100" s="10" t="s">
        <v>193</v>
      </c>
    </row>
    <row r="101" spans="1:12" x14ac:dyDescent="0.35">
      <c r="A101" s="9">
        <v>100</v>
      </c>
      <c r="B101" s="19">
        <v>45708.649872685193</v>
      </c>
      <c r="C101" s="20">
        <v>45708</v>
      </c>
      <c r="D101" s="8" t="s">
        <v>98</v>
      </c>
      <c r="E101" s="12">
        <v>10</v>
      </c>
      <c r="F101" s="3">
        <v>0</v>
      </c>
      <c r="G101" s="3">
        <v>2949</v>
      </c>
      <c r="H101" s="8" t="s">
        <v>99</v>
      </c>
      <c r="I101" s="8" t="s">
        <v>52</v>
      </c>
      <c r="J101" s="8" t="s">
        <v>36</v>
      </c>
      <c r="K101" s="8" t="s">
        <v>14</v>
      </c>
      <c r="L101" s="8" t="s">
        <v>194</v>
      </c>
    </row>
    <row r="102" spans="1:12" x14ac:dyDescent="0.35">
      <c r="A102" s="11">
        <v>101</v>
      </c>
      <c r="B102" s="17">
        <v>45708.656134259261</v>
      </c>
      <c r="C102" s="18">
        <v>45708</v>
      </c>
      <c r="D102" s="10" t="s">
        <v>195</v>
      </c>
      <c r="E102" s="14">
        <v>500</v>
      </c>
      <c r="F102" s="5">
        <v>0</v>
      </c>
      <c r="G102" s="5">
        <v>2449</v>
      </c>
      <c r="H102" s="10" t="s">
        <v>51</v>
      </c>
      <c r="I102" s="10" t="s">
        <v>52</v>
      </c>
      <c r="J102" s="10" t="s">
        <v>30</v>
      </c>
      <c r="K102" s="10" t="s">
        <v>14</v>
      </c>
      <c r="L102" s="10" t="s">
        <v>196</v>
      </c>
    </row>
    <row r="103" spans="1:12" x14ac:dyDescent="0.35">
      <c r="A103" s="9">
        <v>102</v>
      </c>
      <c r="B103" s="19">
        <v>45709.415509259263</v>
      </c>
      <c r="C103" s="20">
        <v>45709</v>
      </c>
      <c r="D103" s="8" t="s">
        <v>98</v>
      </c>
      <c r="E103" s="12">
        <v>10</v>
      </c>
      <c r="F103" s="3">
        <v>0</v>
      </c>
      <c r="G103" s="3">
        <v>2439</v>
      </c>
      <c r="H103" s="8" t="s">
        <v>99</v>
      </c>
      <c r="I103" s="8" t="s">
        <v>52</v>
      </c>
      <c r="J103" s="8" t="s">
        <v>36</v>
      </c>
      <c r="K103" s="8" t="s">
        <v>14</v>
      </c>
      <c r="L103" s="8" t="s">
        <v>197</v>
      </c>
    </row>
    <row r="104" spans="1:12" x14ac:dyDescent="0.35">
      <c r="A104" s="11">
        <v>103</v>
      </c>
      <c r="B104" s="17">
        <v>45709.415937500002</v>
      </c>
      <c r="C104" s="18">
        <v>45709</v>
      </c>
      <c r="D104" s="10" t="s">
        <v>98</v>
      </c>
      <c r="E104" s="14">
        <v>10</v>
      </c>
      <c r="F104" s="5">
        <v>0</v>
      </c>
      <c r="G104" s="5">
        <v>2429</v>
      </c>
      <c r="H104" s="10" t="s">
        <v>99</v>
      </c>
      <c r="I104" s="10" t="s">
        <v>52</v>
      </c>
      <c r="J104" s="10" t="s">
        <v>36</v>
      </c>
      <c r="K104" s="10" t="s">
        <v>14</v>
      </c>
      <c r="L104" s="10" t="s">
        <v>198</v>
      </c>
    </row>
    <row r="105" spans="1:12" x14ac:dyDescent="0.35">
      <c r="A105" s="9">
        <v>104</v>
      </c>
      <c r="B105" s="19">
        <v>45709.416215277779</v>
      </c>
      <c r="C105" s="20">
        <v>45709</v>
      </c>
      <c r="D105" s="8" t="s">
        <v>165</v>
      </c>
      <c r="E105" s="12">
        <v>350</v>
      </c>
      <c r="F105" s="3">
        <v>0</v>
      </c>
      <c r="G105" s="3">
        <v>2079</v>
      </c>
      <c r="H105" s="8" t="s">
        <v>99</v>
      </c>
      <c r="I105" s="8" t="s">
        <v>52</v>
      </c>
      <c r="J105" s="8" t="s">
        <v>36</v>
      </c>
      <c r="K105" s="8" t="s">
        <v>14</v>
      </c>
      <c r="L105" s="8" t="s">
        <v>199</v>
      </c>
    </row>
    <row r="106" spans="1:12" x14ac:dyDescent="0.35">
      <c r="A106" s="11">
        <v>105</v>
      </c>
      <c r="B106" s="17">
        <v>45709.43105324074</v>
      </c>
      <c r="C106" s="18">
        <v>45709</v>
      </c>
      <c r="D106" s="10" t="s">
        <v>200</v>
      </c>
      <c r="E106" s="5">
        <v>0</v>
      </c>
      <c r="F106" s="15">
        <v>50000</v>
      </c>
      <c r="G106" s="5">
        <v>52079</v>
      </c>
      <c r="H106" s="10" t="s">
        <v>51</v>
      </c>
      <c r="I106" s="10" t="s">
        <v>71</v>
      </c>
      <c r="J106" s="10" t="s">
        <v>31</v>
      </c>
      <c r="K106" s="10" t="s">
        <v>14</v>
      </c>
      <c r="L106" s="10" t="s">
        <v>201</v>
      </c>
    </row>
    <row r="107" spans="1:12" x14ac:dyDescent="0.35">
      <c r="A107" s="9">
        <v>106</v>
      </c>
      <c r="B107" s="19">
        <v>45709.431122685193</v>
      </c>
      <c r="C107" s="20">
        <v>45709</v>
      </c>
      <c r="D107" s="8" t="s">
        <v>79</v>
      </c>
      <c r="E107" s="12">
        <v>50</v>
      </c>
      <c r="F107" s="3">
        <v>0</v>
      </c>
      <c r="G107" s="3">
        <v>52029</v>
      </c>
      <c r="H107" s="8" t="s">
        <v>51</v>
      </c>
      <c r="I107" s="8" t="s">
        <v>52</v>
      </c>
      <c r="J107" s="8" t="s">
        <v>36</v>
      </c>
      <c r="K107" s="8" t="s">
        <v>14</v>
      </c>
      <c r="L107" s="8" t="s">
        <v>202</v>
      </c>
    </row>
    <row r="108" spans="1:12" x14ac:dyDescent="0.35">
      <c r="A108" s="11">
        <v>107</v>
      </c>
      <c r="B108" s="17">
        <v>45709.57271990741</v>
      </c>
      <c r="C108" s="18">
        <v>45709</v>
      </c>
      <c r="D108" s="10" t="s">
        <v>203</v>
      </c>
      <c r="E108" s="14">
        <v>15400</v>
      </c>
      <c r="F108" s="5">
        <v>0</v>
      </c>
      <c r="G108" s="5">
        <v>36629</v>
      </c>
      <c r="H108" s="10" t="s">
        <v>51</v>
      </c>
      <c r="I108" s="10" t="s">
        <v>52</v>
      </c>
      <c r="J108" s="10" t="s">
        <v>30</v>
      </c>
      <c r="K108" s="10" t="s">
        <v>14</v>
      </c>
      <c r="L108" s="10" t="s">
        <v>204</v>
      </c>
    </row>
    <row r="109" spans="1:12" x14ac:dyDescent="0.35">
      <c r="A109" s="9">
        <v>108</v>
      </c>
      <c r="B109" s="19">
        <v>45711.283402777779</v>
      </c>
      <c r="C109" s="20">
        <v>45711</v>
      </c>
      <c r="D109" s="8" t="s">
        <v>98</v>
      </c>
      <c r="E109" s="12">
        <v>10</v>
      </c>
      <c r="F109" s="3">
        <v>0</v>
      </c>
      <c r="G109" s="3">
        <v>36619</v>
      </c>
      <c r="H109" s="8" t="s">
        <v>99</v>
      </c>
      <c r="I109" s="8" t="s">
        <v>52</v>
      </c>
      <c r="J109" s="8" t="s">
        <v>36</v>
      </c>
      <c r="K109" s="8" t="s">
        <v>14</v>
      </c>
      <c r="L109" s="8" t="s">
        <v>205</v>
      </c>
    </row>
    <row r="110" spans="1:12" x14ac:dyDescent="0.35">
      <c r="A110" s="11">
        <v>109</v>
      </c>
      <c r="B110" s="17">
        <v>45711.303379629629</v>
      </c>
      <c r="C110" s="18">
        <v>45711</v>
      </c>
      <c r="D110" s="10" t="s">
        <v>188</v>
      </c>
      <c r="E110" s="14">
        <v>1400</v>
      </c>
      <c r="F110" s="5">
        <v>0</v>
      </c>
      <c r="G110" s="5">
        <v>35219</v>
      </c>
      <c r="H110" s="10" t="s">
        <v>51</v>
      </c>
      <c r="I110" s="10" t="s">
        <v>52</v>
      </c>
      <c r="J110" s="10" t="s">
        <v>37</v>
      </c>
      <c r="K110" s="10" t="s">
        <v>14</v>
      </c>
      <c r="L110" s="10" t="s">
        <v>206</v>
      </c>
    </row>
    <row r="111" spans="1:12" x14ac:dyDescent="0.35">
      <c r="A111" s="9">
        <v>110</v>
      </c>
      <c r="B111" s="19">
        <v>45712.20275462963</v>
      </c>
      <c r="C111" s="20">
        <v>45712</v>
      </c>
      <c r="D111" s="8" t="s">
        <v>77</v>
      </c>
      <c r="E111" s="3">
        <v>0</v>
      </c>
      <c r="F111" s="13">
        <v>19000</v>
      </c>
      <c r="G111" s="3">
        <v>54219</v>
      </c>
      <c r="H111" s="8" t="s">
        <v>51</v>
      </c>
      <c r="I111" s="8" t="s">
        <v>71</v>
      </c>
      <c r="J111" s="8" t="s">
        <v>31</v>
      </c>
      <c r="K111" s="8" t="s">
        <v>14</v>
      </c>
      <c r="L111" s="8" t="s">
        <v>207</v>
      </c>
    </row>
    <row r="112" spans="1:12" x14ac:dyDescent="0.35">
      <c r="A112" s="11">
        <v>111</v>
      </c>
      <c r="B112" s="17">
        <v>45712.2028125</v>
      </c>
      <c r="C112" s="18">
        <v>45712</v>
      </c>
      <c r="D112" s="10" t="s">
        <v>79</v>
      </c>
      <c r="E112" s="14">
        <v>50</v>
      </c>
      <c r="F112" s="5">
        <v>0</v>
      </c>
      <c r="G112" s="5">
        <v>54169</v>
      </c>
      <c r="H112" s="10" t="s">
        <v>51</v>
      </c>
      <c r="I112" s="10" t="s">
        <v>52</v>
      </c>
      <c r="J112" s="10" t="s">
        <v>36</v>
      </c>
      <c r="K112" s="10" t="s">
        <v>14</v>
      </c>
      <c r="L112" s="10" t="s">
        <v>208</v>
      </c>
    </row>
    <row r="113" spans="1:12" x14ac:dyDescent="0.35">
      <c r="A113" s="9">
        <v>112</v>
      </c>
      <c r="B113" s="19">
        <v>45712.373472222222</v>
      </c>
      <c r="C113" s="20">
        <v>45712</v>
      </c>
      <c r="D113" s="8" t="s">
        <v>98</v>
      </c>
      <c r="E113" s="12">
        <v>10</v>
      </c>
      <c r="F113" s="3">
        <v>0</v>
      </c>
      <c r="G113" s="3">
        <v>54159</v>
      </c>
      <c r="H113" s="8" t="s">
        <v>99</v>
      </c>
      <c r="I113" s="8" t="s">
        <v>52</v>
      </c>
      <c r="J113" s="8" t="s">
        <v>36</v>
      </c>
      <c r="K113" s="8" t="s">
        <v>14</v>
      </c>
      <c r="L113" s="8" t="s">
        <v>209</v>
      </c>
    </row>
    <row r="114" spans="1:12" x14ac:dyDescent="0.35">
      <c r="A114" s="11">
        <v>113</v>
      </c>
      <c r="B114" s="17">
        <v>45712.373761574083</v>
      </c>
      <c r="C114" s="18">
        <v>45712</v>
      </c>
      <c r="D114" s="10" t="s">
        <v>210</v>
      </c>
      <c r="E114" s="14">
        <v>200</v>
      </c>
      <c r="F114" s="5">
        <v>0</v>
      </c>
      <c r="G114" s="5">
        <v>53959</v>
      </c>
      <c r="H114" s="10" t="s">
        <v>99</v>
      </c>
      <c r="I114" s="10" t="s">
        <v>52</v>
      </c>
      <c r="J114" s="10" t="s">
        <v>37</v>
      </c>
      <c r="K114" s="10" t="s">
        <v>14</v>
      </c>
      <c r="L114" s="10" t="s">
        <v>211</v>
      </c>
    </row>
    <row r="115" spans="1:12" x14ac:dyDescent="0.35">
      <c r="A115" s="9">
        <v>114</v>
      </c>
      <c r="B115" s="19">
        <v>45712.373842592591</v>
      </c>
      <c r="C115" s="20">
        <v>45712</v>
      </c>
      <c r="D115" s="8" t="s">
        <v>98</v>
      </c>
      <c r="E115" s="12">
        <v>10</v>
      </c>
      <c r="F115" s="3">
        <v>0</v>
      </c>
      <c r="G115" s="3">
        <v>53949</v>
      </c>
      <c r="H115" s="8" t="s">
        <v>99</v>
      </c>
      <c r="I115" s="8" t="s">
        <v>52</v>
      </c>
      <c r="J115" s="8" t="s">
        <v>36</v>
      </c>
      <c r="K115" s="8" t="s">
        <v>14</v>
      </c>
      <c r="L115" s="8" t="s">
        <v>212</v>
      </c>
    </row>
    <row r="116" spans="1:12" x14ac:dyDescent="0.35">
      <c r="A116" s="11">
        <v>115</v>
      </c>
      <c r="B116" s="17">
        <v>45712.374062499999</v>
      </c>
      <c r="C116" s="18">
        <v>45712</v>
      </c>
      <c r="D116" s="10" t="s">
        <v>210</v>
      </c>
      <c r="E116" s="14">
        <v>200</v>
      </c>
      <c r="F116" s="5">
        <v>0</v>
      </c>
      <c r="G116" s="5">
        <v>53749</v>
      </c>
      <c r="H116" s="10" t="s">
        <v>99</v>
      </c>
      <c r="I116" s="10" t="s">
        <v>52</v>
      </c>
      <c r="J116" s="10" t="s">
        <v>37</v>
      </c>
      <c r="K116" s="10" t="s">
        <v>14</v>
      </c>
      <c r="L116" s="10" t="s">
        <v>213</v>
      </c>
    </row>
    <row r="117" spans="1:12" x14ac:dyDescent="0.35">
      <c r="A117" s="9">
        <v>116</v>
      </c>
      <c r="B117" s="19">
        <v>45712.374259259261</v>
      </c>
      <c r="C117" s="20">
        <v>45712</v>
      </c>
      <c r="D117" s="8" t="s">
        <v>98</v>
      </c>
      <c r="E117" s="12">
        <v>10</v>
      </c>
      <c r="F117" s="3">
        <v>0</v>
      </c>
      <c r="G117" s="3">
        <v>53739</v>
      </c>
      <c r="H117" s="8" t="s">
        <v>99</v>
      </c>
      <c r="I117" s="8" t="s">
        <v>52</v>
      </c>
      <c r="J117" s="8" t="s">
        <v>36</v>
      </c>
      <c r="K117" s="8" t="s">
        <v>14</v>
      </c>
      <c r="L117" s="8" t="s">
        <v>214</v>
      </c>
    </row>
    <row r="118" spans="1:12" x14ac:dyDescent="0.35">
      <c r="A118" s="11">
        <v>117</v>
      </c>
      <c r="B118" s="17">
        <v>45712.374467592592</v>
      </c>
      <c r="C118" s="18">
        <v>45712</v>
      </c>
      <c r="D118" s="10" t="s">
        <v>210</v>
      </c>
      <c r="E118" s="14">
        <v>200</v>
      </c>
      <c r="F118" s="5">
        <v>0</v>
      </c>
      <c r="G118" s="5">
        <v>53539</v>
      </c>
      <c r="H118" s="10" t="s">
        <v>99</v>
      </c>
      <c r="I118" s="10" t="s">
        <v>52</v>
      </c>
      <c r="J118" s="10" t="s">
        <v>37</v>
      </c>
      <c r="K118" s="10" t="s">
        <v>14</v>
      </c>
      <c r="L118" s="10" t="s">
        <v>215</v>
      </c>
    </row>
    <row r="119" spans="1:12" x14ac:dyDescent="0.35">
      <c r="A119" s="9">
        <v>118</v>
      </c>
      <c r="B119" s="19">
        <v>45712.660462962973</v>
      </c>
      <c r="C119" s="20">
        <v>45712</v>
      </c>
      <c r="D119" s="8" t="s">
        <v>216</v>
      </c>
      <c r="E119" s="12">
        <v>2600</v>
      </c>
      <c r="F119" s="3">
        <v>0</v>
      </c>
      <c r="G119" s="3">
        <v>50939</v>
      </c>
      <c r="H119" s="8" t="s">
        <v>51</v>
      </c>
      <c r="I119" s="8" t="s">
        <v>52</v>
      </c>
      <c r="J119" s="8" t="s">
        <v>30</v>
      </c>
      <c r="K119" s="8" t="s">
        <v>14</v>
      </c>
      <c r="L119" s="8" t="s">
        <v>217</v>
      </c>
    </row>
    <row r="120" spans="1:12" x14ac:dyDescent="0.35">
      <c r="A120" s="11">
        <v>119</v>
      </c>
      <c r="B120" s="17">
        <v>45712.887337962973</v>
      </c>
      <c r="C120" s="18">
        <v>45712</v>
      </c>
      <c r="D120" s="10" t="s">
        <v>77</v>
      </c>
      <c r="E120" s="5">
        <v>0</v>
      </c>
      <c r="F120" s="15">
        <v>47000</v>
      </c>
      <c r="G120" s="5">
        <v>97939</v>
      </c>
      <c r="H120" s="10" t="s">
        <v>51</v>
      </c>
      <c r="I120" s="10" t="s">
        <v>71</v>
      </c>
      <c r="J120" s="10" t="s">
        <v>31</v>
      </c>
      <c r="K120" s="10" t="s">
        <v>14</v>
      </c>
      <c r="L120" s="10" t="s">
        <v>218</v>
      </c>
    </row>
    <row r="121" spans="1:12" x14ac:dyDescent="0.35">
      <c r="A121" s="9">
        <v>120</v>
      </c>
      <c r="B121" s="19">
        <v>45712.887407407397</v>
      </c>
      <c r="C121" s="20">
        <v>45712</v>
      </c>
      <c r="D121" s="8" t="s">
        <v>79</v>
      </c>
      <c r="E121" s="12">
        <v>50</v>
      </c>
      <c r="F121" s="3">
        <v>0</v>
      </c>
      <c r="G121" s="3">
        <v>97889</v>
      </c>
      <c r="H121" s="8" t="s">
        <v>51</v>
      </c>
      <c r="I121" s="8" t="s">
        <v>52</v>
      </c>
      <c r="J121" s="8" t="s">
        <v>36</v>
      </c>
      <c r="K121" s="8" t="s">
        <v>14</v>
      </c>
      <c r="L121" s="8" t="s">
        <v>219</v>
      </c>
    </row>
    <row r="122" spans="1:12" x14ac:dyDescent="0.35">
      <c r="A122" s="11">
        <v>121</v>
      </c>
      <c r="B122" s="17">
        <v>45713.665300925917</v>
      </c>
      <c r="C122" s="18">
        <v>45713</v>
      </c>
      <c r="D122" s="10" t="s">
        <v>77</v>
      </c>
      <c r="E122" s="5">
        <v>0</v>
      </c>
      <c r="F122" s="15">
        <v>45000</v>
      </c>
      <c r="G122" s="5">
        <v>142889</v>
      </c>
      <c r="H122" s="10" t="s">
        <v>51</v>
      </c>
      <c r="I122" s="10" t="s">
        <v>71</v>
      </c>
      <c r="J122" s="10" t="s">
        <v>31</v>
      </c>
      <c r="K122" s="10" t="s">
        <v>14</v>
      </c>
      <c r="L122" s="10" t="s">
        <v>220</v>
      </c>
    </row>
    <row r="123" spans="1:12" x14ac:dyDescent="0.35">
      <c r="A123" s="9">
        <v>122</v>
      </c>
      <c r="B123" s="19">
        <v>45713.665381944447</v>
      </c>
      <c r="C123" s="20">
        <v>45713</v>
      </c>
      <c r="D123" s="8" t="s">
        <v>79</v>
      </c>
      <c r="E123" s="12">
        <v>50</v>
      </c>
      <c r="F123" s="3">
        <v>0</v>
      </c>
      <c r="G123" s="3">
        <v>142839</v>
      </c>
      <c r="H123" s="8" t="s">
        <v>51</v>
      </c>
      <c r="I123" s="8" t="s">
        <v>52</v>
      </c>
      <c r="J123" s="8" t="s">
        <v>36</v>
      </c>
      <c r="K123" s="8" t="s">
        <v>14</v>
      </c>
      <c r="L123" s="8" t="s">
        <v>221</v>
      </c>
    </row>
    <row r="124" spans="1:12" x14ac:dyDescent="0.35">
      <c r="A124" s="11">
        <v>123</v>
      </c>
      <c r="B124" s="17">
        <v>45714.448171296302</v>
      </c>
      <c r="C124" s="18">
        <v>45714</v>
      </c>
      <c r="D124" s="10" t="s">
        <v>222</v>
      </c>
      <c r="E124" s="14">
        <v>3800</v>
      </c>
      <c r="F124" s="5">
        <v>0</v>
      </c>
      <c r="G124" s="5">
        <v>139039</v>
      </c>
      <c r="H124" s="10" t="s">
        <v>51</v>
      </c>
      <c r="I124" s="10" t="s">
        <v>52</v>
      </c>
      <c r="J124" s="10" t="s">
        <v>30</v>
      </c>
      <c r="K124" s="10" t="s">
        <v>14</v>
      </c>
      <c r="L124" s="10" t="s">
        <v>223</v>
      </c>
    </row>
    <row r="125" spans="1:12" x14ac:dyDescent="0.35">
      <c r="A125" s="9">
        <v>124</v>
      </c>
      <c r="B125" s="19">
        <v>45714.510381944441</v>
      </c>
      <c r="C125" s="20">
        <v>45714</v>
      </c>
      <c r="D125" s="8" t="s">
        <v>224</v>
      </c>
      <c r="E125" s="12">
        <v>4200</v>
      </c>
      <c r="F125" s="3">
        <v>0</v>
      </c>
      <c r="G125" s="3">
        <v>134839</v>
      </c>
      <c r="H125" s="8" t="s">
        <v>51</v>
      </c>
      <c r="I125" s="8" t="s">
        <v>52</v>
      </c>
      <c r="J125" s="8" t="s">
        <v>30</v>
      </c>
      <c r="K125" s="8" t="s">
        <v>14</v>
      </c>
      <c r="L125" s="8" t="s">
        <v>225</v>
      </c>
    </row>
    <row r="126" spans="1:12" x14ac:dyDescent="0.35">
      <c r="A126" s="11">
        <v>125</v>
      </c>
      <c r="B126" s="17">
        <v>45714.605821759258</v>
      </c>
      <c r="C126" s="18">
        <v>45714</v>
      </c>
      <c r="D126" s="10" t="s">
        <v>226</v>
      </c>
      <c r="E126" s="14">
        <v>2500</v>
      </c>
      <c r="F126" s="5">
        <v>0</v>
      </c>
      <c r="G126" s="5">
        <v>132339</v>
      </c>
      <c r="H126" s="10" t="s">
        <v>51</v>
      </c>
      <c r="I126" s="10" t="s">
        <v>52</v>
      </c>
      <c r="J126" s="10" t="s">
        <v>30</v>
      </c>
      <c r="K126" s="10" t="s">
        <v>14</v>
      </c>
      <c r="L126" s="10" t="s">
        <v>227</v>
      </c>
    </row>
    <row r="127" spans="1:12" x14ac:dyDescent="0.35">
      <c r="A127" s="9">
        <v>126</v>
      </c>
      <c r="B127" s="19">
        <v>45714.63422453704</v>
      </c>
      <c r="C127" s="20">
        <v>45714</v>
      </c>
      <c r="D127" s="8" t="s">
        <v>228</v>
      </c>
      <c r="E127" s="12">
        <v>1000</v>
      </c>
      <c r="F127" s="3">
        <v>0</v>
      </c>
      <c r="G127" s="3">
        <v>131339</v>
      </c>
      <c r="H127" s="8" t="s">
        <v>51</v>
      </c>
      <c r="I127" s="8" t="s">
        <v>52</v>
      </c>
      <c r="J127" s="8" t="s">
        <v>30</v>
      </c>
      <c r="K127" s="8" t="s">
        <v>14</v>
      </c>
      <c r="L127" s="8" t="s">
        <v>229</v>
      </c>
    </row>
    <row r="128" spans="1:12" x14ac:dyDescent="0.35">
      <c r="A128" s="11">
        <v>127</v>
      </c>
      <c r="B128" s="17">
        <v>45714.669178240743</v>
      </c>
      <c r="C128" s="18">
        <v>45714</v>
      </c>
      <c r="D128" s="10" t="s">
        <v>230</v>
      </c>
      <c r="E128" s="14">
        <v>7600</v>
      </c>
      <c r="F128" s="5">
        <v>0</v>
      </c>
      <c r="G128" s="5">
        <v>123739</v>
      </c>
      <c r="H128" s="10" t="s">
        <v>51</v>
      </c>
      <c r="I128" s="10" t="s">
        <v>52</v>
      </c>
      <c r="J128" s="10" t="s">
        <v>30</v>
      </c>
      <c r="K128" s="10" t="s">
        <v>14</v>
      </c>
      <c r="L128" s="10" t="s">
        <v>231</v>
      </c>
    </row>
    <row r="129" spans="1:12" x14ac:dyDescent="0.35">
      <c r="A129" s="9">
        <v>128</v>
      </c>
      <c r="B129" s="19">
        <v>45715.357905092591</v>
      </c>
      <c r="C129" s="20">
        <v>45715</v>
      </c>
      <c r="D129" s="8" t="s">
        <v>232</v>
      </c>
      <c r="E129" s="12">
        <v>7000</v>
      </c>
      <c r="F129" s="3">
        <v>0</v>
      </c>
      <c r="G129" s="3">
        <v>116739</v>
      </c>
      <c r="H129" s="8" t="s">
        <v>51</v>
      </c>
      <c r="I129" s="8" t="s">
        <v>52</v>
      </c>
      <c r="J129" s="8" t="s">
        <v>30</v>
      </c>
      <c r="K129" s="8" t="s">
        <v>14</v>
      </c>
      <c r="L129" s="8" t="s">
        <v>233</v>
      </c>
    </row>
    <row r="130" spans="1:12" x14ac:dyDescent="0.35">
      <c r="A130" s="11">
        <v>129</v>
      </c>
      <c r="B130" s="17">
        <v>45715.688217592593</v>
      </c>
      <c r="C130" s="18">
        <v>45715</v>
      </c>
      <c r="D130" s="10" t="s">
        <v>234</v>
      </c>
      <c r="E130" s="14">
        <v>7800</v>
      </c>
      <c r="F130" s="5">
        <v>0</v>
      </c>
      <c r="G130" s="5">
        <v>108939</v>
      </c>
      <c r="H130" s="10" t="s">
        <v>51</v>
      </c>
      <c r="I130" s="10" t="s">
        <v>52</v>
      </c>
      <c r="J130" s="10" t="s">
        <v>30</v>
      </c>
      <c r="K130" s="10" t="s">
        <v>14</v>
      </c>
      <c r="L130" s="10" t="s">
        <v>235</v>
      </c>
    </row>
    <row r="131" spans="1:12" x14ac:dyDescent="0.35">
      <c r="A131" s="9">
        <v>130</v>
      </c>
      <c r="B131" s="19">
        <v>45721.359201388892</v>
      </c>
      <c r="C131" s="20">
        <v>45721</v>
      </c>
      <c r="D131" s="8" t="s">
        <v>236</v>
      </c>
      <c r="E131" s="12">
        <v>6000</v>
      </c>
      <c r="F131" s="3">
        <v>0</v>
      </c>
      <c r="G131" s="3">
        <v>102939</v>
      </c>
      <c r="H131" s="8" t="s">
        <v>51</v>
      </c>
      <c r="I131" s="8" t="s">
        <v>52</v>
      </c>
      <c r="J131" s="8" t="s">
        <v>30</v>
      </c>
      <c r="K131" s="8" t="s">
        <v>15</v>
      </c>
      <c r="L131" s="8" t="s">
        <v>237</v>
      </c>
    </row>
    <row r="132" spans="1:12" x14ac:dyDescent="0.35">
      <c r="A132" s="11">
        <v>131</v>
      </c>
      <c r="B132" s="17">
        <v>45721.579687500001</v>
      </c>
      <c r="C132" s="18">
        <v>45721</v>
      </c>
      <c r="D132" s="10" t="s">
        <v>236</v>
      </c>
      <c r="E132" s="14">
        <v>3245</v>
      </c>
      <c r="F132" s="5">
        <v>0</v>
      </c>
      <c r="G132" s="5">
        <v>99694</v>
      </c>
      <c r="H132" s="10" t="s">
        <v>51</v>
      </c>
      <c r="I132" s="10" t="s">
        <v>52</v>
      </c>
      <c r="J132" s="10" t="s">
        <v>30</v>
      </c>
      <c r="K132" s="10" t="s">
        <v>15</v>
      </c>
      <c r="L132" s="10" t="s">
        <v>238</v>
      </c>
    </row>
    <row r="133" spans="1:12" x14ac:dyDescent="0.35">
      <c r="A133" s="9">
        <v>132</v>
      </c>
      <c r="B133" s="19">
        <v>45721.751342592594</v>
      </c>
      <c r="C133" s="20">
        <v>45721</v>
      </c>
      <c r="D133" s="8" t="s">
        <v>239</v>
      </c>
      <c r="E133" s="12">
        <v>1000</v>
      </c>
      <c r="F133" s="3">
        <v>0</v>
      </c>
      <c r="G133" s="3">
        <v>98694</v>
      </c>
      <c r="H133" s="8" t="s">
        <v>51</v>
      </c>
      <c r="I133" s="8" t="s">
        <v>52</v>
      </c>
      <c r="J133" s="8" t="s">
        <v>30</v>
      </c>
      <c r="K133" s="8" t="s">
        <v>15</v>
      </c>
      <c r="L133" s="8" t="s">
        <v>240</v>
      </c>
    </row>
    <row r="134" spans="1:12" x14ac:dyDescent="0.35">
      <c r="A134" s="11">
        <v>133</v>
      </c>
      <c r="B134" s="17">
        <v>45722.730219907397</v>
      </c>
      <c r="C134" s="18">
        <v>45722</v>
      </c>
      <c r="D134" s="10" t="s">
        <v>241</v>
      </c>
      <c r="E134" s="14">
        <v>600</v>
      </c>
      <c r="F134" s="5">
        <v>0</v>
      </c>
      <c r="G134" s="5">
        <v>98094</v>
      </c>
      <c r="H134" s="10" t="s">
        <v>51</v>
      </c>
      <c r="I134" s="10" t="s">
        <v>52</v>
      </c>
      <c r="J134" s="10" t="s">
        <v>30</v>
      </c>
      <c r="K134" s="10" t="s">
        <v>15</v>
      </c>
      <c r="L134" s="10" t="s">
        <v>242</v>
      </c>
    </row>
    <row r="135" spans="1:12" x14ac:dyDescent="0.35">
      <c r="A135" s="9">
        <v>134</v>
      </c>
      <c r="B135" s="19">
        <v>45724.494363425933</v>
      </c>
      <c r="C135" s="20">
        <v>45724</v>
      </c>
      <c r="D135" s="8" t="s">
        <v>162</v>
      </c>
      <c r="E135" s="12">
        <v>350</v>
      </c>
      <c r="F135" s="3">
        <v>0</v>
      </c>
      <c r="G135" s="3">
        <v>97744</v>
      </c>
      <c r="H135" s="8" t="s">
        <v>51</v>
      </c>
      <c r="I135" s="8" t="s">
        <v>52</v>
      </c>
      <c r="J135" s="8" t="s">
        <v>36</v>
      </c>
      <c r="K135" s="8" t="s">
        <v>15</v>
      </c>
      <c r="L135" s="8" t="s">
        <v>243</v>
      </c>
    </row>
    <row r="136" spans="1:12" x14ac:dyDescent="0.35">
      <c r="A136" s="11">
        <v>135</v>
      </c>
      <c r="B136" s="17">
        <v>45724.50880787037</v>
      </c>
      <c r="C136" s="18">
        <v>45724</v>
      </c>
      <c r="D136" s="10" t="s">
        <v>236</v>
      </c>
      <c r="E136" s="14">
        <v>5000</v>
      </c>
      <c r="F136" s="5">
        <v>0</v>
      </c>
      <c r="G136" s="5">
        <v>92744</v>
      </c>
      <c r="H136" s="10" t="s">
        <v>51</v>
      </c>
      <c r="I136" s="10" t="s">
        <v>52</v>
      </c>
      <c r="J136" s="10" t="s">
        <v>30</v>
      </c>
      <c r="K136" s="10" t="s">
        <v>15</v>
      </c>
      <c r="L136" s="10" t="s">
        <v>244</v>
      </c>
    </row>
    <row r="137" spans="1:12" x14ac:dyDescent="0.35">
      <c r="A137" s="9">
        <v>136</v>
      </c>
      <c r="B137" s="19">
        <v>45724.566412037027</v>
      </c>
      <c r="C137" s="20">
        <v>45724</v>
      </c>
      <c r="D137" s="8" t="s">
        <v>245</v>
      </c>
      <c r="E137" s="12">
        <v>5000</v>
      </c>
      <c r="F137" s="3">
        <v>0</v>
      </c>
      <c r="G137" s="3">
        <v>87744</v>
      </c>
      <c r="H137" s="8" t="s">
        <v>51</v>
      </c>
      <c r="I137" s="8" t="s">
        <v>52</v>
      </c>
      <c r="J137" s="8" t="s">
        <v>30</v>
      </c>
      <c r="K137" s="8" t="s">
        <v>15</v>
      </c>
      <c r="L137" s="8" t="s">
        <v>246</v>
      </c>
    </row>
    <row r="138" spans="1:12" x14ac:dyDescent="0.35">
      <c r="A138" s="11">
        <v>137</v>
      </c>
      <c r="B138" s="17">
        <v>45724.569560185177</v>
      </c>
      <c r="C138" s="18">
        <v>45724</v>
      </c>
      <c r="D138" s="10" t="s">
        <v>247</v>
      </c>
      <c r="E138" s="14">
        <v>5000</v>
      </c>
      <c r="F138" s="5">
        <v>0</v>
      </c>
      <c r="G138" s="5">
        <v>82744</v>
      </c>
      <c r="H138" s="10" t="s">
        <v>51</v>
      </c>
      <c r="I138" s="10" t="s">
        <v>52</v>
      </c>
      <c r="J138" s="10" t="s">
        <v>30</v>
      </c>
      <c r="K138" s="10" t="s">
        <v>15</v>
      </c>
      <c r="L138" s="10" t="s">
        <v>248</v>
      </c>
    </row>
    <row r="139" spans="1:12" x14ac:dyDescent="0.35">
      <c r="A139" s="9">
        <v>138</v>
      </c>
      <c r="B139" s="19">
        <v>45724.577881944453</v>
      </c>
      <c r="C139" s="20">
        <v>45724</v>
      </c>
      <c r="D139" s="8" t="s">
        <v>249</v>
      </c>
      <c r="E139" s="12">
        <v>4010</v>
      </c>
      <c r="F139" s="3">
        <v>0</v>
      </c>
      <c r="G139" s="3">
        <v>78734</v>
      </c>
      <c r="H139" s="8" t="s">
        <v>51</v>
      </c>
      <c r="I139" s="8" t="s">
        <v>52</v>
      </c>
      <c r="J139" s="8" t="s">
        <v>30</v>
      </c>
      <c r="K139" s="8" t="s">
        <v>15</v>
      </c>
      <c r="L139" s="8" t="s">
        <v>250</v>
      </c>
    </row>
    <row r="140" spans="1:12" x14ac:dyDescent="0.35">
      <c r="A140" s="11">
        <v>139</v>
      </c>
      <c r="B140" s="17">
        <v>45726.447222222218</v>
      </c>
      <c r="C140" s="18">
        <v>45726</v>
      </c>
      <c r="D140" s="10" t="s">
        <v>188</v>
      </c>
      <c r="E140" s="14">
        <v>150</v>
      </c>
      <c r="F140" s="5">
        <v>0</v>
      </c>
      <c r="G140" s="5">
        <v>78584</v>
      </c>
      <c r="H140" s="10" t="s">
        <v>51</v>
      </c>
      <c r="I140" s="10" t="s">
        <v>52</v>
      </c>
      <c r="J140" s="10" t="s">
        <v>37</v>
      </c>
      <c r="K140" s="10" t="s">
        <v>15</v>
      </c>
      <c r="L140" s="10" t="s">
        <v>251</v>
      </c>
    </row>
    <row r="141" spans="1:12" x14ac:dyDescent="0.35">
      <c r="A141" s="9">
        <v>140</v>
      </c>
      <c r="B141" s="19">
        <v>45727.541284722232</v>
      </c>
      <c r="C141" s="20">
        <v>45727</v>
      </c>
      <c r="D141" s="8" t="s">
        <v>188</v>
      </c>
      <c r="E141" s="12">
        <v>150</v>
      </c>
      <c r="F141" s="3">
        <v>0</v>
      </c>
      <c r="G141" s="3">
        <v>78434</v>
      </c>
      <c r="H141" s="8" t="s">
        <v>51</v>
      </c>
      <c r="I141" s="8" t="s">
        <v>52</v>
      </c>
      <c r="J141" s="8" t="s">
        <v>37</v>
      </c>
      <c r="K141" s="8" t="s">
        <v>15</v>
      </c>
      <c r="L141" s="8" t="s">
        <v>252</v>
      </c>
    </row>
    <row r="142" spans="1:12" x14ac:dyDescent="0.35">
      <c r="A142" s="11">
        <v>141</v>
      </c>
      <c r="B142" s="17">
        <v>45727.548668981479</v>
      </c>
      <c r="C142" s="18">
        <v>45727</v>
      </c>
      <c r="D142" s="10" t="s">
        <v>162</v>
      </c>
      <c r="E142" s="14">
        <v>350</v>
      </c>
      <c r="F142" s="5">
        <v>0</v>
      </c>
      <c r="G142" s="5">
        <v>78084</v>
      </c>
      <c r="H142" s="10" t="s">
        <v>51</v>
      </c>
      <c r="I142" s="10" t="s">
        <v>52</v>
      </c>
      <c r="J142" s="10" t="s">
        <v>36</v>
      </c>
      <c r="K142" s="10" t="s">
        <v>15</v>
      </c>
      <c r="L142" s="10" t="s">
        <v>253</v>
      </c>
    </row>
    <row r="143" spans="1:12" x14ac:dyDescent="0.35">
      <c r="A143" s="9">
        <v>142</v>
      </c>
      <c r="B143" s="19">
        <v>45727.756168981483</v>
      </c>
      <c r="C143" s="20">
        <v>45727</v>
      </c>
      <c r="D143" s="8" t="s">
        <v>254</v>
      </c>
      <c r="E143" s="12">
        <v>6000</v>
      </c>
      <c r="F143" s="3">
        <v>0</v>
      </c>
      <c r="G143" s="3">
        <v>72084</v>
      </c>
      <c r="H143" s="8" t="s">
        <v>51</v>
      </c>
      <c r="I143" s="8" t="s">
        <v>52</v>
      </c>
      <c r="J143" s="8" t="s">
        <v>30</v>
      </c>
      <c r="K143" s="8" t="s">
        <v>15</v>
      </c>
      <c r="L143" s="8" t="s">
        <v>255</v>
      </c>
    </row>
    <row r="144" spans="1:12" x14ac:dyDescent="0.35">
      <c r="A144" s="11">
        <v>143</v>
      </c>
      <c r="B144" s="17">
        <v>45728.67119212963</v>
      </c>
      <c r="C144" s="18">
        <v>45728</v>
      </c>
      <c r="D144" s="10" t="s">
        <v>256</v>
      </c>
      <c r="E144" s="14">
        <v>2100</v>
      </c>
      <c r="F144" s="5">
        <v>0</v>
      </c>
      <c r="G144" s="5">
        <v>69984</v>
      </c>
      <c r="H144" s="10" t="s">
        <v>51</v>
      </c>
      <c r="I144" s="10" t="s">
        <v>52</v>
      </c>
      <c r="J144" s="10" t="s">
        <v>30</v>
      </c>
      <c r="K144" s="10" t="s">
        <v>15</v>
      </c>
      <c r="L144" s="10" t="s">
        <v>257</v>
      </c>
    </row>
    <row r="145" spans="1:12" x14ac:dyDescent="0.35">
      <c r="A145" s="9">
        <v>144</v>
      </c>
      <c r="B145" s="19">
        <v>45728.764432870368</v>
      </c>
      <c r="C145" s="20">
        <v>45728</v>
      </c>
      <c r="D145" s="8" t="s">
        <v>258</v>
      </c>
      <c r="E145" s="12">
        <v>7000</v>
      </c>
      <c r="F145" s="3">
        <v>0</v>
      </c>
      <c r="G145" s="3">
        <v>62984</v>
      </c>
      <c r="H145" s="8" t="s">
        <v>51</v>
      </c>
      <c r="I145" s="8" t="s">
        <v>52</v>
      </c>
      <c r="J145" s="8" t="s">
        <v>30</v>
      </c>
      <c r="K145" s="8" t="s">
        <v>15</v>
      </c>
      <c r="L145" s="8" t="s">
        <v>259</v>
      </c>
    </row>
    <row r="146" spans="1:12" x14ac:dyDescent="0.35">
      <c r="A146" s="11">
        <v>145</v>
      </c>
      <c r="B146" s="17">
        <v>45728.791898148149</v>
      </c>
      <c r="C146" s="18">
        <v>45728</v>
      </c>
      <c r="D146" s="10" t="s">
        <v>260</v>
      </c>
      <c r="E146" s="14">
        <v>400</v>
      </c>
      <c r="F146" s="5">
        <v>0</v>
      </c>
      <c r="G146" s="5">
        <v>62584</v>
      </c>
      <c r="H146" s="10" t="s">
        <v>51</v>
      </c>
      <c r="I146" s="10" t="s">
        <v>52</v>
      </c>
      <c r="J146" s="10" t="s">
        <v>30</v>
      </c>
      <c r="K146" s="10" t="s">
        <v>15</v>
      </c>
      <c r="L146" s="10" t="s">
        <v>261</v>
      </c>
    </row>
    <row r="147" spans="1:12" x14ac:dyDescent="0.35">
      <c r="A147" s="9">
        <v>146</v>
      </c>
      <c r="B147" s="19">
        <v>45729.4299537037</v>
      </c>
      <c r="C147" s="20">
        <v>45729</v>
      </c>
      <c r="D147" s="8" t="s">
        <v>262</v>
      </c>
      <c r="E147" s="12">
        <v>2500</v>
      </c>
      <c r="F147" s="3">
        <v>0</v>
      </c>
      <c r="G147" s="3">
        <v>60084</v>
      </c>
      <c r="H147" s="8" t="s">
        <v>51</v>
      </c>
      <c r="I147" s="8" t="s">
        <v>52</v>
      </c>
      <c r="J147" s="8" t="s">
        <v>30</v>
      </c>
      <c r="K147" s="8" t="s">
        <v>15</v>
      </c>
      <c r="L147" s="8" t="s">
        <v>263</v>
      </c>
    </row>
    <row r="148" spans="1:12" x14ac:dyDescent="0.35">
      <c r="A148" s="11">
        <v>147</v>
      </c>
      <c r="B148" s="17">
        <v>45729.456608796303</v>
      </c>
      <c r="C148" s="18">
        <v>45729</v>
      </c>
      <c r="D148" s="10" t="s">
        <v>264</v>
      </c>
      <c r="E148" s="14">
        <v>3200</v>
      </c>
      <c r="F148" s="5">
        <v>0</v>
      </c>
      <c r="G148" s="5">
        <v>56884</v>
      </c>
      <c r="H148" s="10" t="s">
        <v>51</v>
      </c>
      <c r="I148" s="10" t="s">
        <v>52</v>
      </c>
      <c r="J148" s="10" t="s">
        <v>30</v>
      </c>
      <c r="K148" s="10" t="s">
        <v>15</v>
      </c>
      <c r="L148" s="10" t="s">
        <v>265</v>
      </c>
    </row>
    <row r="149" spans="1:12" x14ac:dyDescent="0.35">
      <c r="A149" s="9">
        <v>148</v>
      </c>
      <c r="B149" s="19">
        <v>45730.645127314812</v>
      </c>
      <c r="C149" s="20">
        <v>45730</v>
      </c>
      <c r="D149" s="8" t="s">
        <v>188</v>
      </c>
      <c r="E149" s="12">
        <v>600</v>
      </c>
      <c r="F149" s="3">
        <v>0</v>
      </c>
      <c r="G149" s="3">
        <v>56284</v>
      </c>
      <c r="H149" s="8" t="s">
        <v>51</v>
      </c>
      <c r="I149" s="8" t="s">
        <v>52</v>
      </c>
      <c r="J149" s="8" t="s">
        <v>37</v>
      </c>
      <c r="K149" s="8" t="s">
        <v>15</v>
      </c>
      <c r="L149" s="8" t="s">
        <v>266</v>
      </c>
    </row>
    <row r="150" spans="1:12" x14ac:dyDescent="0.35">
      <c r="A150" s="11">
        <v>149</v>
      </c>
      <c r="B150" s="17">
        <v>45730.682013888887</v>
      </c>
      <c r="C150" s="18">
        <v>45730</v>
      </c>
      <c r="D150" s="10" t="s">
        <v>188</v>
      </c>
      <c r="E150" s="14">
        <v>200</v>
      </c>
      <c r="F150" s="5">
        <v>0</v>
      </c>
      <c r="G150" s="5">
        <v>56084</v>
      </c>
      <c r="H150" s="10" t="s">
        <v>51</v>
      </c>
      <c r="I150" s="10" t="s">
        <v>52</v>
      </c>
      <c r="J150" s="10" t="s">
        <v>37</v>
      </c>
      <c r="K150" s="10" t="s">
        <v>15</v>
      </c>
      <c r="L150" s="10" t="s">
        <v>267</v>
      </c>
    </row>
    <row r="151" spans="1:12" x14ac:dyDescent="0.35">
      <c r="A151" s="9">
        <v>150</v>
      </c>
      <c r="B151" s="19">
        <v>45732.264097222222</v>
      </c>
      <c r="C151" s="20">
        <v>45732</v>
      </c>
      <c r="D151" s="8" t="s">
        <v>268</v>
      </c>
      <c r="E151" s="12">
        <v>350</v>
      </c>
      <c r="F151" s="3">
        <v>0</v>
      </c>
      <c r="G151" s="3">
        <v>55734</v>
      </c>
      <c r="H151" s="8" t="s">
        <v>51</v>
      </c>
      <c r="I151" s="8" t="s">
        <v>52</v>
      </c>
      <c r="J151" s="8" t="s">
        <v>36</v>
      </c>
      <c r="K151" s="8" t="s">
        <v>15</v>
      </c>
      <c r="L151" s="8" t="s">
        <v>269</v>
      </c>
    </row>
    <row r="152" spans="1:12" x14ac:dyDescent="0.35">
      <c r="A152" s="11">
        <v>151</v>
      </c>
      <c r="B152" s="17">
        <v>45732.294803240737</v>
      </c>
      <c r="C152" s="18">
        <v>45732</v>
      </c>
      <c r="D152" s="10" t="s">
        <v>188</v>
      </c>
      <c r="E152" s="14">
        <v>200</v>
      </c>
      <c r="F152" s="5">
        <v>0</v>
      </c>
      <c r="G152" s="5">
        <v>55534</v>
      </c>
      <c r="H152" s="10" t="s">
        <v>51</v>
      </c>
      <c r="I152" s="10" t="s">
        <v>52</v>
      </c>
      <c r="J152" s="10" t="s">
        <v>37</v>
      </c>
      <c r="K152" s="10" t="s">
        <v>15</v>
      </c>
      <c r="L152" s="10" t="s">
        <v>270</v>
      </c>
    </row>
    <row r="153" spans="1:12" x14ac:dyDescent="0.35">
      <c r="A153" s="9">
        <v>152</v>
      </c>
      <c r="B153" s="19">
        <v>45733.376377314817</v>
      </c>
      <c r="C153" s="20">
        <v>45733</v>
      </c>
      <c r="D153" s="8" t="s">
        <v>98</v>
      </c>
      <c r="E153" s="12">
        <v>10</v>
      </c>
      <c r="F153" s="3">
        <v>0</v>
      </c>
      <c r="G153" s="3">
        <v>55524</v>
      </c>
      <c r="H153" s="8" t="s">
        <v>99</v>
      </c>
      <c r="I153" s="8" t="s">
        <v>52</v>
      </c>
      <c r="J153" s="8" t="s">
        <v>36</v>
      </c>
      <c r="K153" s="8" t="s">
        <v>15</v>
      </c>
      <c r="L153" s="8" t="s">
        <v>271</v>
      </c>
    </row>
    <row r="154" spans="1:12" x14ac:dyDescent="0.35">
      <c r="A154" s="11">
        <v>153</v>
      </c>
      <c r="B154" s="17">
        <v>45733.376631944448</v>
      </c>
      <c r="C154" s="18">
        <v>45733</v>
      </c>
      <c r="D154" s="10" t="s">
        <v>98</v>
      </c>
      <c r="E154" s="14">
        <v>10</v>
      </c>
      <c r="F154" s="5">
        <v>0</v>
      </c>
      <c r="G154" s="5">
        <v>55514</v>
      </c>
      <c r="H154" s="10" t="s">
        <v>99</v>
      </c>
      <c r="I154" s="10" t="s">
        <v>52</v>
      </c>
      <c r="J154" s="10" t="s">
        <v>36</v>
      </c>
      <c r="K154" s="10" t="s">
        <v>15</v>
      </c>
      <c r="L154" s="10" t="s">
        <v>272</v>
      </c>
    </row>
    <row r="155" spans="1:12" x14ac:dyDescent="0.35">
      <c r="A155" s="9">
        <v>154</v>
      </c>
      <c r="B155" s="19">
        <v>45733.377060185187</v>
      </c>
      <c r="C155" s="20">
        <v>45733</v>
      </c>
      <c r="D155" s="8" t="s">
        <v>165</v>
      </c>
      <c r="E155" s="12">
        <v>400</v>
      </c>
      <c r="F155" s="3">
        <v>0</v>
      </c>
      <c r="G155" s="3">
        <v>55114</v>
      </c>
      <c r="H155" s="8" t="s">
        <v>99</v>
      </c>
      <c r="I155" s="8" t="s">
        <v>52</v>
      </c>
      <c r="J155" s="8" t="s">
        <v>36</v>
      </c>
      <c r="K155" s="8" t="s">
        <v>15</v>
      </c>
      <c r="L155" s="8" t="s">
        <v>273</v>
      </c>
    </row>
    <row r="156" spans="1:12" x14ac:dyDescent="0.35">
      <c r="A156" s="11">
        <v>155</v>
      </c>
      <c r="B156" s="17">
        <v>45733.462337962963</v>
      </c>
      <c r="C156" s="18">
        <v>45733</v>
      </c>
      <c r="D156" s="10" t="s">
        <v>274</v>
      </c>
      <c r="E156" s="14">
        <v>2300</v>
      </c>
      <c r="F156" s="5">
        <v>0</v>
      </c>
      <c r="G156" s="5">
        <v>52814</v>
      </c>
      <c r="H156" s="10" t="s">
        <v>51</v>
      </c>
      <c r="I156" s="10" t="s">
        <v>52</v>
      </c>
      <c r="J156" s="10" t="s">
        <v>30</v>
      </c>
      <c r="K156" s="10" t="s">
        <v>15</v>
      </c>
      <c r="L156" s="10" t="s">
        <v>275</v>
      </c>
    </row>
    <row r="157" spans="1:12" x14ac:dyDescent="0.35">
      <c r="A157" s="9">
        <v>156</v>
      </c>
      <c r="B157" s="19">
        <v>45733.474108796298</v>
      </c>
      <c r="C157" s="20">
        <v>45733</v>
      </c>
      <c r="D157" s="8" t="s">
        <v>276</v>
      </c>
      <c r="E157" s="12">
        <v>900</v>
      </c>
      <c r="F157" s="3">
        <v>0</v>
      </c>
      <c r="G157" s="3">
        <v>51914</v>
      </c>
      <c r="H157" s="8" t="s">
        <v>51</v>
      </c>
      <c r="I157" s="8" t="s">
        <v>52</v>
      </c>
      <c r="J157" s="8" t="s">
        <v>36</v>
      </c>
      <c r="K157" s="8" t="s">
        <v>15</v>
      </c>
      <c r="L157" s="8" t="s">
        <v>277</v>
      </c>
    </row>
    <row r="158" spans="1:12" x14ac:dyDescent="0.35">
      <c r="A158" s="11">
        <v>157</v>
      </c>
      <c r="B158" s="17">
        <v>45733.702025462961</v>
      </c>
      <c r="C158" s="18">
        <v>45733</v>
      </c>
      <c r="D158" s="10" t="s">
        <v>278</v>
      </c>
      <c r="E158" s="14">
        <v>1950</v>
      </c>
      <c r="F158" s="5">
        <v>0</v>
      </c>
      <c r="G158" s="5">
        <v>49964</v>
      </c>
      <c r="H158" s="10" t="s">
        <v>51</v>
      </c>
      <c r="I158" s="10" t="s">
        <v>52</v>
      </c>
      <c r="J158" s="10" t="s">
        <v>30</v>
      </c>
      <c r="K158" s="10" t="s">
        <v>15</v>
      </c>
      <c r="L158" s="10" t="s">
        <v>279</v>
      </c>
    </row>
    <row r="159" spans="1:12" x14ac:dyDescent="0.35">
      <c r="A159" s="9">
        <v>158</v>
      </c>
      <c r="B159" s="19">
        <v>45733.704884259263</v>
      </c>
      <c r="C159" s="20">
        <v>45733</v>
      </c>
      <c r="D159" s="8" t="s">
        <v>280</v>
      </c>
      <c r="E159" s="12">
        <v>5000</v>
      </c>
      <c r="F159" s="3">
        <v>0</v>
      </c>
      <c r="G159" s="3">
        <v>44964</v>
      </c>
      <c r="H159" s="8" t="s">
        <v>51</v>
      </c>
      <c r="I159" s="8" t="s">
        <v>52</v>
      </c>
      <c r="J159" s="8" t="s">
        <v>30</v>
      </c>
      <c r="K159" s="8" t="s">
        <v>15</v>
      </c>
      <c r="L159" s="8" t="s">
        <v>281</v>
      </c>
    </row>
    <row r="160" spans="1:12" x14ac:dyDescent="0.35">
      <c r="A160" s="11">
        <v>159</v>
      </c>
      <c r="B160" s="17">
        <v>45734.712326388893</v>
      </c>
      <c r="C160" s="18">
        <v>45734</v>
      </c>
      <c r="D160" s="10" t="s">
        <v>282</v>
      </c>
      <c r="E160" s="14">
        <v>10640</v>
      </c>
      <c r="F160" s="5">
        <v>0</v>
      </c>
      <c r="G160" s="5">
        <v>34324</v>
      </c>
      <c r="H160" s="10" t="s">
        <v>51</v>
      </c>
      <c r="I160" s="10" t="s">
        <v>52</v>
      </c>
      <c r="J160" s="10" t="s">
        <v>30</v>
      </c>
      <c r="K160" s="10" t="s">
        <v>15</v>
      </c>
      <c r="L160" s="10" t="s">
        <v>283</v>
      </c>
    </row>
    <row r="161" spans="1:12" x14ac:dyDescent="0.35">
      <c r="A161" s="9">
        <v>160</v>
      </c>
      <c r="B161" s="19">
        <v>45736.506469907406</v>
      </c>
      <c r="C161" s="20">
        <v>45736</v>
      </c>
      <c r="D161" s="8" t="s">
        <v>284</v>
      </c>
      <c r="E161" s="12">
        <v>3900</v>
      </c>
      <c r="F161" s="3">
        <v>0</v>
      </c>
      <c r="G161" s="3">
        <v>30424</v>
      </c>
      <c r="H161" s="8" t="s">
        <v>51</v>
      </c>
      <c r="I161" s="8" t="s">
        <v>52</v>
      </c>
      <c r="J161" s="8" t="s">
        <v>30</v>
      </c>
      <c r="K161" s="8" t="s">
        <v>15</v>
      </c>
      <c r="L161" s="8" t="s">
        <v>285</v>
      </c>
    </row>
    <row r="162" spans="1:12" x14ac:dyDescent="0.35">
      <c r="A162" s="11">
        <v>161</v>
      </c>
      <c r="B162" s="17">
        <v>45739.334618055553</v>
      </c>
      <c r="C162" s="18">
        <v>45739</v>
      </c>
      <c r="D162" s="10" t="s">
        <v>286</v>
      </c>
      <c r="E162" s="5">
        <v>0</v>
      </c>
      <c r="F162" s="15">
        <v>6000</v>
      </c>
      <c r="G162" s="5">
        <v>36424</v>
      </c>
      <c r="H162" s="10" t="s">
        <v>51</v>
      </c>
      <c r="I162" s="10" t="s">
        <v>71</v>
      </c>
      <c r="J162" s="10" t="s">
        <v>31</v>
      </c>
      <c r="K162" s="10" t="s">
        <v>15</v>
      </c>
      <c r="L162" s="10" t="s">
        <v>287</v>
      </c>
    </row>
    <row r="163" spans="1:12" x14ac:dyDescent="0.35">
      <c r="A163" s="9">
        <v>162</v>
      </c>
      <c r="B163" s="19">
        <v>45739.355509259258</v>
      </c>
      <c r="C163" s="20">
        <v>45739</v>
      </c>
      <c r="D163" s="8" t="s">
        <v>288</v>
      </c>
      <c r="E163" s="12">
        <v>350</v>
      </c>
      <c r="F163" s="3">
        <v>0</v>
      </c>
      <c r="G163" s="3">
        <v>36074</v>
      </c>
      <c r="H163" s="8" t="s">
        <v>51</v>
      </c>
      <c r="I163" s="8" t="s">
        <v>52</v>
      </c>
      <c r="J163" s="8" t="s">
        <v>36</v>
      </c>
      <c r="K163" s="8" t="s">
        <v>15</v>
      </c>
      <c r="L163" s="8" t="s">
        <v>289</v>
      </c>
    </row>
    <row r="164" spans="1:12" x14ac:dyDescent="0.35">
      <c r="A164" s="11">
        <v>163</v>
      </c>
      <c r="B164" s="17">
        <v>45740.415983796287</v>
      </c>
      <c r="C164" s="18">
        <v>45740</v>
      </c>
      <c r="D164" s="10" t="s">
        <v>290</v>
      </c>
      <c r="E164" s="14">
        <v>200</v>
      </c>
      <c r="F164" s="5">
        <v>0</v>
      </c>
      <c r="G164" s="5">
        <v>35874</v>
      </c>
      <c r="H164" s="10" t="s">
        <v>51</v>
      </c>
      <c r="I164" s="10" t="s">
        <v>52</v>
      </c>
      <c r="J164" s="10" t="s">
        <v>30</v>
      </c>
      <c r="K164" s="10" t="s">
        <v>15</v>
      </c>
      <c r="L164" s="10" t="s">
        <v>291</v>
      </c>
    </row>
    <row r="165" spans="1:12" x14ac:dyDescent="0.35">
      <c r="A165" s="9">
        <v>164</v>
      </c>
      <c r="B165" s="19">
        <v>45740.431701388887</v>
      </c>
      <c r="C165" s="20">
        <v>45740</v>
      </c>
      <c r="D165" s="8" t="s">
        <v>292</v>
      </c>
      <c r="E165" s="12">
        <v>4100</v>
      </c>
      <c r="F165" s="3">
        <v>0</v>
      </c>
      <c r="G165" s="3">
        <v>31774</v>
      </c>
      <c r="H165" s="8" t="s">
        <v>51</v>
      </c>
      <c r="I165" s="8" t="s">
        <v>52</v>
      </c>
      <c r="J165" s="8" t="s">
        <v>30</v>
      </c>
      <c r="K165" s="8" t="s">
        <v>15</v>
      </c>
      <c r="L165" s="8" t="s">
        <v>293</v>
      </c>
    </row>
    <row r="166" spans="1:12" x14ac:dyDescent="0.35">
      <c r="A166" s="11">
        <v>165</v>
      </c>
      <c r="B166" s="17">
        <v>45740.445092592592</v>
      </c>
      <c r="C166" s="18">
        <v>45740</v>
      </c>
      <c r="D166" s="10" t="s">
        <v>294</v>
      </c>
      <c r="E166" s="14">
        <v>4000</v>
      </c>
      <c r="F166" s="5">
        <v>0</v>
      </c>
      <c r="G166" s="5">
        <v>27774</v>
      </c>
      <c r="H166" s="10" t="s">
        <v>51</v>
      </c>
      <c r="I166" s="10" t="s">
        <v>52</v>
      </c>
      <c r="J166" s="10" t="s">
        <v>30</v>
      </c>
      <c r="K166" s="10" t="s">
        <v>15</v>
      </c>
      <c r="L166" s="10" t="s">
        <v>295</v>
      </c>
    </row>
    <row r="167" spans="1:12" x14ac:dyDescent="0.35">
      <c r="A167" s="9">
        <v>166</v>
      </c>
      <c r="B167" s="19">
        <v>45740.446284722217</v>
      </c>
      <c r="C167" s="20">
        <v>45740</v>
      </c>
      <c r="D167" s="8" t="s">
        <v>296</v>
      </c>
      <c r="E167" s="12">
        <v>500</v>
      </c>
      <c r="F167" s="3">
        <v>0</v>
      </c>
      <c r="G167" s="3">
        <v>27274</v>
      </c>
      <c r="H167" s="8" t="s">
        <v>51</v>
      </c>
      <c r="I167" s="8" t="s">
        <v>52</v>
      </c>
      <c r="J167" s="8" t="s">
        <v>30</v>
      </c>
      <c r="K167" s="8" t="s">
        <v>15</v>
      </c>
      <c r="L167" s="8" t="s">
        <v>297</v>
      </c>
    </row>
    <row r="168" spans="1:12" x14ac:dyDescent="0.35">
      <c r="A168" s="11">
        <v>167</v>
      </c>
      <c r="B168" s="17">
        <v>45740.489710648151</v>
      </c>
      <c r="C168" s="18">
        <v>45740</v>
      </c>
      <c r="D168" s="10" t="s">
        <v>298</v>
      </c>
      <c r="E168" s="14">
        <v>3350</v>
      </c>
      <c r="F168" s="5">
        <v>0</v>
      </c>
      <c r="G168" s="5">
        <v>23924</v>
      </c>
      <c r="H168" s="10" t="s">
        <v>51</v>
      </c>
      <c r="I168" s="10" t="s">
        <v>52</v>
      </c>
      <c r="J168" s="10" t="s">
        <v>30</v>
      </c>
      <c r="K168" s="10" t="s">
        <v>15</v>
      </c>
      <c r="L168" s="10" t="s">
        <v>299</v>
      </c>
    </row>
    <row r="169" spans="1:12" x14ac:dyDescent="0.35">
      <c r="A169" s="9">
        <v>168</v>
      </c>
      <c r="B169" s="19">
        <v>45740.553761574083</v>
      </c>
      <c r="C169" s="20">
        <v>45740</v>
      </c>
      <c r="D169" s="8" t="s">
        <v>236</v>
      </c>
      <c r="E169" s="12">
        <v>3000</v>
      </c>
      <c r="F169" s="3">
        <v>0</v>
      </c>
      <c r="G169" s="3">
        <v>20924</v>
      </c>
      <c r="H169" s="8" t="s">
        <v>51</v>
      </c>
      <c r="I169" s="8" t="s">
        <v>52</v>
      </c>
      <c r="J169" s="8" t="s">
        <v>30</v>
      </c>
      <c r="K169" s="8" t="s">
        <v>15</v>
      </c>
      <c r="L169" s="8" t="s">
        <v>300</v>
      </c>
    </row>
    <row r="170" spans="1:12" x14ac:dyDescent="0.35">
      <c r="A170" s="11">
        <v>169</v>
      </c>
      <c r="B170" s="17">
        <v>45740.824699074074</v>
      </c>
      <c r="C170" s="18">
        <v>45740</v>
      </c>
      <c r="D170" s="10" t="s">
        <v>301</v>
      </c>
      <c r="E170" s="14">
        <v>3900</v>
      </c>
      <c r="F170" s="5">
        <v>0</v>
      </c>
      <c r="G170" s="5">
        <v>17024</v>
      </c>
      <c r="H170" s="10" t="s">
        <v>51</v>
      </c>
      <c r="I170" s="10" t="s">
        <v>52</v>
      </c>
      <c r="J170" s="10" t="s">
        <v>36</v>
      </c>
      <c r="K170" s="10" t="s">
        <v>15</v>
      </c>
      <c r="L170" s="10" t="s">
        <v>302</v>
      </c>
    </row>
    <row r="171" spans="1:12" x14ac:dyDescent="0.35">
      <c r="A171" s="9">
        <v>170</v>
      </c>
      <c r="B171" s="19">
        <v>45740.922905092593</v>
      </c>
      <c r="C171" s="20">
        <v>45740</v>
      </c>
      <c r="D171" s="8" t="s">
        <v>188</v>
      </c>
      <c r="E171" s="12">
        <v>200</v>
      </c>
      <c r="F171" s="3">
        <v>0</v>
      </c>
      <c r="G171" s="3">
        <v>16824</v>
      </c>
      <c r="H171" s="8" t="s">
        <v>51</v>
      </c>
      <c r="I171" s="8" t="s">
        <v>52</v>
      </c>
      <c r="J171" s="8" t="s">
        <v>37</v>
      </c>
      <c r="K171" s="8" t="s">
        <v>15</v>
      </c>
      <c r="L171" s="8" t="s">
        <v>303</v>
      </c>
    </row>
    <row r="172" spans="1:12" x14ac:dyDescent="0.35">
      <c r="A172" s="11">
        <v>171</v>
      </c>
      <c r="B172" s="17">
        <v>45741.688101851847</v>
      </c>
      <c r="C172" s="18">
        <v>45741</v>
      </c>
      <c r="D172" s="10" t="s">
        <v>304</v>
      </c>
      <c r="E172" s="14">
        <v>1000</v>
      </c>
      <c r="F172" s="5">
        <v>0</v>
      </c>
      <c r="G172" s="5">
        <v>15824</v>
      </c>
      <c r="H172" s="10" t="s">
        <v>51</v>
      </c>
      <c r="I172" s="10" t="s">
        <v>52</v>
      </c>
      <c r="J172" s="10" t="s">
        <v>30</v>
      </c>
      <c r="K172" s="10" t="s">
        <v>15</v>
      </c>
      <c r="L172" s="10" t="s">
        <v>305</v>
      </c>
    </row>
    <row r="173" spans="1:12" x14ac:dyDescent="0.35">
      <c r="A173" s="9">
        <v>172</v>
      </c>
      <c r="B173" s="19">
        <v>45742.723692129628</v>
      </c>
      <c r="C173" s="20">
        <v>45742</v>
      </c>
      <c r="D173" s="8" t="s">
        <v>306</v>
      </c>
      <c r="E173" s="12">
        <v>1000</v>
      </c>
      <c r="F173" s="3">
        <v>0</v>
      </c>
      <c r="G173" s="3">
        <v>14824</v>
      </c>
      <c r="H173" s="8" t="s">
        <v>51</v>
      </c>
      <c r="I173" s="8" t="s">
        <v>52</v>
      </c>
      <c r="J173" s="8" t="s">
        <v>37</v>
      </c>
      <c r="K173" s="8" t="s">
        <v>15</v>
      </c>
      <c r="L173" s="8" t="s">
        <v>307</v>
      </c>
    </row>
    <row r="174" spans="1:12" x14ac:dyDescent="0.35">
      <c r="A174" s="11">
        <v>173</v>
      </c>
      <c r="B174" s="17">
        <v>45742.794872685183</v>
      </c>
      <c r="C174" s="18">
        <v>45742</v>
      </c>
      <c r="D174" s="10" t="s">
        <v>308</v>
      </c>
      <c r="E174" s="14">
        <v>10000</v>
      </c>
      <c r="F174" s="5">
        <v>0</v>
      </c>
      <c r="G174" s="5">
        <v>4824</v>
      </c>
      <c r="H174" s="10" t="s">
        <v>51</v>
      </c>
      <c r="I174" s="10" t="s">
        <v>52</v>
      </c>
      <c r="J174" s="10" t="s">
        <v>30</v>
      </c>
      <c r="K174" s="10" t="s">
        <v>15</v>
      </c>
      <c r="L174" s="10" t="s">
        <v>309</v>
      </c>
    </row>
    <row r="175" spans="1:12" x14ac:dyDescent="0.35">
      <c r="A175" s="9">
        <v>174</v>
      </c>
      <c r="B175" s="19">
        <v>45742.832314814812</v>
      </c>
      <c r="C175" s="20">
        <v>45742</v>
      </c>
      <c r="D175" s="8" t="s">
        <v>310</v>
      </c>
      <c r="E175" s="12">
        <v>2500</v>
      </c>
      <c r="F175" s="3">
        <v>0</v>
      </c>
      <c r="G175" s="3">
        <v>2324</v>
      </c>
      <c r="H175" s="8" t="s">
        <v>51</v>
      </c>
      <c r="I175" s="8" t="s">
        <v>52</v>
      </c>
      <c r="J175" s="8" t="s">
        <v>30</v>
      </c>
      <c r="K175" s="8" t="s">
        <v>15</v>
      </c>
      <c r="L175" s="8" t="s">
        <v>311</v>
      </c>
    </row>
    <row r="176" spans="1:12" x14ac:dyDescent="0.35">
      <c r="A176" s="11">
        <v>175</v>
      </c>
      <c r="B176" s="17">
        <v>45744.324328703697</v>
      </c>
      <c r="C176" s="18">
        <v>45744</v>
      </c>
      <c r="D176" s="10" t="s">
        <v>276</v>
      </c>
      <c r="E176" s="14">
        <v>900</v>
      </c>
      <c r="F176" s="5">
        <v>0</v>
      </c>
      <c r="G176" s="5">
        <v>1424</v>
      </c>
      <c r="H176" s="10" t="s">
        <v>51</v>
      </c>
      <c r="I176" s="10" t="s">
        <v>52</v>
      </c>
      <c r="J176" s="10" t="s">
        <v>36</v>
      </c>
      <c r="K176" s="10" t="s">
        <v>15</v>
      </c>
      <c r="L176" s="10" t="s">
        <v>312</v>
      </c>
    </row>
    <row r="177" spans="1:12" x14ac:dyDescent="0.35">
      <c r="A177" s="9">
        <v>176</v>
      </c>
      <c r="B177" s="19">
        <v>45744.751574074071</v>
      </c>
      <c r="C177" s="20">
        <v>45744</v>
      </c>
      <c r="D177" s="8" t="s">
        <v>313</v>
      </c>
      <c r="E177" s="3">
        <v>0</v>
      </c>
      <c r="F177" s="13">
        <v>50000</v>
      </c>
      <c r="G177" s="3">
        <v>51424</v>
      </c>
      <c r="H177" s="8" t="s">
        <v>51</v>
      </c>
      <c r="I177" s="8" t="s">
        <v>71</v>
      </c>
      <c r="J177" s="8" t="s">
        <v>31</v>
      </c>
      <c r="K177" s="8" t="s">
        <v>15</v>
      </c>
      <c r="L177" s="8" t="s">
        <v>314</v>
      </c>
    </row>
    <row r="178" spans="1:12" x14ac:dyDescent="0.35">
      <c r="A178" s="11">
        <v>177</v>
      </c>
      <c r="B178" s="17">
        <v>45744.751643518517</v>
      </c>
      <c r="C178" s="18">
        <v>45744</v>
      </c>
      <c r="D178" s="10" t="s">
        <v>79</v>
      </c>
      <c r="E178" s="14">
        <v>50</v>
      </c>
      <c r="F178" s="5">
        <v>0</v>
      </c>
      <c r="G178" s="5">
        <v>51374</v>
      </c>
      <c r="H178" s="10" t="s">
        <v>51</v>
      </c>
      <c r="I178" s="10" t="s">
        <v>52</v>
      </c>
      <c r="J178" s="10" t="s">
        <v>36</v>
      </c>
      <c r="K178" s="10" t="s">
        <v>15</v>
      </c>
      <c r="L178" s="10" t="s">
        <v>315</v>
      </c>
    </row>
    <row r="179" spans="1:12" x14ac:dyDescent="0.35">
      <c r="A179" s="9">
        <v>178</v>
      </c>
      <c r="B179" s="19">
        <v>45744.799953703703</v>
      </c>
      <c r="C179" s="20">
        <v>45744</v>
      </c>
      <c r="D179" s="8" t="s">
        <v>236</v>
      </c>
      <c r="E179" s="12">
        <v>26000</v>
      </c>
      <c r="F179" s="3">
        <v>0</v>
      </c>
      <c r="G179" s="3">
        <v>25374</v>
      </c>
      <c r="H179" s="8" t="s">
        <v>51</v>
      </c>
      <c r="I179" s="8" t="s">
        <v>52</v>
      </c>
      <c r="J179" s="8" t="s">
        <v>30</v>
      </c>
      <c r="K179" s="8" t="s">
        <v>15</v>
      </c>
      <c r="L179" s="8" t="s">
        <v>316</v>
      </c>
    </row>
    <row r="180" spans="1:12" x14ac:dyDescent="0.35">
      <c r="A180" s="11">
        <v>179</v>
      </c>
      <c r="B180" s="17">
        <v>45744.899039351847</v>
      </c>
      <c r="C180" s="18">
        <v>45744</v>
      </c>
      <c r="D180" s="10" t="s">
        <v>188</v>
      </c>
      <c r="E180" s="14">
        <v>500</v>
      </c>
      <c r="F180" s="5">
        <v>0</v>
      </c>
      <c r="G180" s="5">
        <v>24874</v>
      </c>
      <c r="H180" s="10" t="s">
        <v>51</v>
      </c>
      <c r="I180" s="10" t="s">
        <v>52</v>
      </c>
      <c r="J180" s="10" t="s">
        <v>37</v>
      </c>
      <c r="K180" s="10" t="s">
        <v>15</v>
      </c>
      <c r="L180" s="10" t="s">
        <v>317</v>
      </c>
    </row>
    <row r="181" spans="1:12" x14ac:dyDescent="0.35">
      <c r="A181" s="9">
        <v>180</v>
      </c>
      <c r="B181" s="19">
        <v>45745.423148148147</v>
      </c>
      <c r="C181" s="20">
        <v>45745</v>
      </c>
      <c r="D181" s="8" t="s">
        <v>232</v>
      </c>
      <c r="E181" s="12">
        <v>5000</v>
      </c>
      <c r="F181" s="3">
        <v>0</v>
      </c>
      <c r="G181" s="3">
        <v>19874</v>
      </c>
      <c r="H181" s="8" t="s">
        <v>51</v>
      </c>
      <c r="I181" s="8" t="s">
        <v>52</v>
      </c>
      <c r="J181" s="8" t="s">
        <v>30</v>
      </c>
      <c r="K181" s="8" t="s">
        <v>15</v>
      </c>
      <c r="L181" s="8" t="s">
        <v>318</v>
      </c>
    </row>
    <row r="182" spans="1:12" x14ac:dyDescent="0.35">
      <c r="A182" s="11">
        <v>181</v>
      </c>
      <c r="B182" s="17">
        <v>45745.724027777767</v>
      </c>
      <c r="C182" s="18">
        <v>45745</v>
      </c>
      <c r="D182" s="10" t="s">
        <v>319</v>
      </c>
      <c r="E182" s="14">
        <v>6900</v>
      </c>
      <c r="F182" s="5">
        <v>0</v>
      </c>
      <c r="G182" s="5">
        <v>12974</v>
      </c>
      <c r="H182" s="10" t="s">
        <v>51</v>
      </c>
      <c r="I182" s="10" t="s">
        <v>52</v>
      </c>
      <c r="J182" s="10" t="s">
        <v>30</v>
      </c>
      <c r="K182" s="10" t="s">
        <v>15</v>
      </c>
      <c r="L182" s="10" t="s">
        <v>320</v>
      </c>
    </row>
    <row r="183" spans="1:12" x14ac:dyDescent="0.35">
      <c r="A183" s="9">
        <v>182</v>
      </c>
      <c r="B183" s="19">
        <v>45746.560150462959</v>
      </c>
      <c r="C183" s="20">
        <v>45746</v>
      </c>
      <c r="D183" s="8" t="s">
        <v>321</v>
      </c>
      <c r="E183" s="12">
        <v>1700</v>
      </c>
      <c r="F183" s="3">
        <v>0</v>
      </c>
      <c r="G183" s="3">
        <v>11274</v>
      </c>
      <c r="H183" s="8" t="s">
        <v>51</v>
      </c>
      <c r="I183" s="8" t="s">
        <v>52</v>
      </c>
      <c r="J183" s="8" t="s">
        <v>30</v>
      </c>
      <c r="K183" s="8" t="s">
        <v>15</v>
      </c>
      <c r="L183" s="8" t="s">
        <v>322</v>
      </c>
    </row>
    <row r="184" spans="1:12" x14ac:dyDescent="0.35">
      <c r="A184" s="11">
        <v>183</v>
      </c>
      <c r="B184" s="17">
        <v>45746.697534722232</v>
      </c>
      <c r="C184" s="18">
        <v>45746</v>
      </c>
      <c r="D184" s="10" t="s">
        <v>323</v>
      </c>
      <c r="E184" s="14">
        <v>2000</v>
      </c>
      <c r="F184" s="5">
        <v>0</v>
      </c>
      <c r="G184" s="5">
        <v>9274</v>
      </c>
      <c r="H184" s="10" t="s">
        <v>51</v>
      </c>
      <c r="I184" s="10" t="s">
        <v>52</v>
      </c>
      <c r="J184" s="10" t="s">
        <v>30</v>
      </c>
      <c r="K184" s="10" t="s">
        <v>15</v>
      </c>
      <c r="L184" s="10" t="s">
        <v>324</v>
      </c>
    </row>
    <row r="185" spans="1:12" x14ac:dyDescent="0.35">
      <c r="A185" s="9">
        <v>184</v>
      </c>
      <c r="B185" s="19">
        <v>45746.703645833331</v>
      </c>
      <c r="C185" s="20">
        <v>45746</v>
      </c>
      <c r="D185" s="8" t="s">
        <v>325</v>
      </c>
      <c r="E185" s="12">
        <v>3000</v>
      </c>
      <c r="F185" s="3">
        <v>0</v>
      </c>
      <c r="G185" s="3">
        <v>6274</v>
      </c>
      <c r="H185" s="8" t="s">
        <v>51</v>
      </c>
      <c r="I185" s="8" t="s">
        <v>52</v>
      </c>
      <c r="J185" s="8" t="s">
        <v>30</v>
      </c>
      <c r="K185" s="8" t="s">
        <v>15</v>
      </c>
      <c r="L185" s="8" t="s">
        <v>326</v>
      </c>
    </row>
    <row r="186" spans="1:12" x14ac:dyDescent="0.35">
      <c r="A186" s="11">
        <v>185</v>
      </c>
      <c r="B186" s="17">
        <v>45748.524456018517</v>
      </c>
      <c r="C186" s="18">
        <v>45748</v>
      </c>
      <c r="D186" s="10" t="s">
        <v>327</v>
      </c>
      <c r="E186" s="14">
        <v>1000</v>
      </c>
      <c r="F186" s="5">
        <v>0</v>
      </c>
      <c r="G186" s="5">
        <v>5274</v>
      </c>
      <c r="H186" s="10" t="s">
        <v>328</v>
      </c>
      <c r="I186" s="10" t="s">
        <v>52</v>
      </c>
      <c r="J186" s="10" t="s">
        <v>34</v>
      </c>
      <c r="K186" s="10" t="s">
        <v>16</v>
      </c>
      <c r="L186" s="10" t="s">
        <v>329</v>
      </c>
    </row>
    <row r="187" spans="1:12" x14ac:dyDescent="0.35">
      <c r="A187" s="9">
        <v>186</v>
      </c>
      <c r="B187" s="19">
        <v>45749.33935185185</v>
      </c>
      <c r="C187" s="20">
        <v>45749</v>
      </c>
      <c r="D187" s="8" t="s">
        <v>330</v>
      </c>
      <c r="E187" s="12">
        <v>1900</v>
      </c>
      <c r="F187" s="3">
        <v>0</v>
      </c>
      <c r="G187" s="3">
        <v>3374</v>
      </c>
      <c r="H187" s="8" t="s">
        <v>51</v>
      </c>
      <c r="I187" s="8" t="s">
        <v>52</v>
      </c>
      <c r="J187" s="8" t="s">
        <v>30</v>
      </c>
      <c r="K187" s="8" t="s">
        <v>16</v>
      </c>
      <c r="L187" s="8" t="s">
        <v>331</v>
      </c>
    </row>
    <row r="188" spans="1:12" x14ac:dyDescent="0.35">
      <c r="A188" s="11">
        <v>187</v>
      </c>
      <c r="B188" s="17">
        <v>45749.414270833331</v>
      </c>
      <c r="C188" s="18">
        <v>45749</v>
      </c>
      <c r="D188" s="10" t="s">
        <v>195</v>
      </c>
      <c r="E188" s="14">
        <v>500</v>
      </c>
      <c r="F188" s="5">
        <v>0</v>
      </c>
      <c r="G188" s="5">
        <v>2874</v>
      </c>
      <c r="H188" s="10" t="s">
        <v>51</v>
      </c>
      <c r="I188" s="10" t="s">
        <v>52</v>
      </c>
      <c r="J188" s="10" t="s">
        <v>30</v>
      </c>
      <c r="K188" s="10" t="s">
        <v>16</v>
      </c>
      <c r="L188" s="10" t="s">
        <v>332</v>
      </c>
    </row>
    <row r="189" spans="1:12" x14ac:dyDescent="0.35">
      <c r="A189" s="9">
        <v>188</v>
      </c>
      <c r="B189" s="19">
        <v>45749.564386574071</v>
      </c>
      <c r="C189" s="20">
        <v>45749</v>
      </c>
      <c r="D189" s="8" t="s">
        <v>195</v>
      </c>
      <c r="E189" s="12">
        <v>250</v>
      </c>
      <c r="F189" s="3">
        <v>0</v>
      </c>
      <c r="G189" s="3">
        <v>2624</v>
      </c>
      <c r="H189" s="8" t="s">
        <v>51</v>
      </c>
      <c r="I189" s="8" t="s">
        <v>52</v>
      </c>
      <c r="J189" s="8" t="s">
        <v>30</v>
      </c>
      <c r="K189" s="8" t="s">
        <v>16</v>
      </c>
      <c r="L189" s="8" t="s">
        <v>333</v>
      </c>
    </row>
    <row r="190" spans="1:12" x14ac:dyDescent="0.35">
      <c r="A190" s="11">
        <v>189</v>
      </c>
      <c r="B190" s="17">
        <v>45749.648865740739</v>
      </c>
      <c r="C190" s="18">
        <v>45749</v>
      </c>
      <c r="D190" s="10" t="s">
        <v>334</v>
      </c>
      <c r="E190" s="14">
        <v>300</v>
      </c>
      <c r="F190" s="5">
        <v>0</v>
      </c>
      <c r="G190" s="5">
        <v>2324</v>
      </c>
      <c r="H190" s="10" t="s">
        <v>51</v>
      </c>
      <c r="I190" s="10" t="s">
        <v>52</v>
      </c>
      <c r="J190" s="10" t="s">
        <v>30</v>
      </c>
      <c r="K190" s="10" t="s">
        <v>16</v>
      </c>
      <c r="L190" s="10" t="s">
        <v>335</v>
      </c>
    </row>
    <row r="191" spans="1:12" x14ac:dyDescent="0.35">
      <c r="A191" s="9">
        <v>190</v>
      </c>
      <c r="B191" s="19">
        <v>45750.588993055557</v>
      </c>
      <c r="C191" s="20">
        <v>45750</v>
      </c>
      <c r="D191" s="8" t="s">
        <v>195</v>
      </c>
      <c r="E191" s="12">
        <v>500</v>
      </c>
      <c r="F191" s="3">
        <v>0</v>
      </c>
      <c r="G191" s="3">
        <v>1824</v>
      </c>
      <c r="H191" s="8" t="s">
        <v>51</v>
      </c>
      <c r="I191" s="8" t="s">
        <v>52</v>
      </c>
      <c r="J191" s="8" t="s">
        <v>30</v>
      </c>
      <c r="K191" s="8" t="s">
        <v>16</v>
      </c>
      <c r="L191" s="8" t="s">
        <v>336</v>
      </c>
    </row>
    <row r="192" spans="1:12" x14ac:dyDescent="0.35">
      <c r="A192" s="11">
        <v>191</v>
      </c>
      <c r="B192" s="17">
        <v>45750.773506944453</v>
      </c>
      <c r="C192" s="18">
        <v>45750</v>
      </c>
      <c r="D192" s="10" t="s">
        <v>337</v>
      </c>
      <c r="E192" s="14">
        <v>1500</v>
      </c>
      <c r="F192" s="5">
        <v>0</v>
      </c>
      <c r="G192" s="5">
        <v>324</v>
      </c>
      <c r="H192" s="10" t="s">
        <v>51</v>
      </c>
      <c r="I192" s="10" t="s">
        <v>52</v>
      </c>
      <c r="J192" s="10" t="s">
        <v>36</v>
      </c>
      <c r="K192" s="10" t="s">
        <v>16</v>
      </c>
      <c r="L192" s="10" t="s">
        <v>338</v>
      </c>
    </row>
    <row r="193" spans="1:12" x14ac:dyDescent="0.35">
      <c r="A193" s="9">
        <v>192</v>
      </c>
      <c r="B193" s="19">
        <v>45753.331203703703</v>
      </c>
      <c r="C193" s="20">
        <v>45753</v>
      </c>
      <c r="D193" s="8" t="s">
        <v>339</v>
      </c>
      <c r="E193" s="12">
        <v>159</v>
      </c>
      <c r="F193" s="3">
        <v>0</v>
      </c>
      <c r="G193" s="3">
        <v>165</v>
      </c>
      <c r="H193" s="8" t="s">
        <v>51</v>
      </c>
      <c r="I193" s="8" t="s">
        <v>52</v>
      </c>
      <c r="J193" s="8" t="s">
        <v>36</v>
      </c>
      <c r="K193" s="8" t="s">
        <v>16</v>
      </c>
      <c r="L193" s="8" t="s">
        <v>340</v>
      </c>
    </row>
    <row r="194" spans="1:12" x14ac:dyDescent="0.35">
      <c r="A194" s="11">
        <v>193</v>
      </c>
      <c r="B194" s="17">
        <v>45753.516759259262</v>
      </c>
      <c r="C194" s="18">
        <v>45753</v>
      </c>
      <c r="D194" s="10" t="s">
        <v>77</v>
      </c>
      <c r="E194" s="5">
        <v>0</v>
      </c>
      <c r="F194" s="15">
        <v>2300</v>
      </c>
      <c r="G194" s="5">
        <v>2465</v>
      </c>
      <c r="H194" s="10" t="s">
        <v>51</v>
      </c>
      <c r="I194" s="10" t="s">
        <v>71</v>
      </c>
      <c r="J194" s="10" t="s">
        <v>31</v>
      </c>
      <c r="K194" s="10" t="s">
        <v>16</v>
      </c>
      <c r="L194" s="10" t="s">
        <v>341</v>
      </c>
    </row>
    <row r="195" spans="1:12" x14ac:dyDescent="0.35">
      <c r="A195" s="9">
        <v>194</v>
      </c>
      <c r="B195" s="19">
        <v>45753.517638888887</v>
      </c>
      <c r="C195" s="20">
        <v>45753</v>
      </c>
      <c r="D195" s="8" t="s">
        <v>342</v>
      </c>
      <c r="E195" s="12">
        <v>2000</v>
      </c>
      <c r="F195" s="3">
        <v>0</v>
      </c>
      <c r="G195" s="3">
        <v>465</v>
      </c>
      <c r="H195" s="8" t="s">
        <v>51</v>
      </c>
      <c r="I195" s="8" t="s">
        <v>52</v>
      </c>
      <c r="J195" s="8" t="s">
        <v>33</v>
      </c>
      <c r="K195" s="8" t="s">
        <v>16</v>
      </c>
      <c r="L195" s="8" t="s">
        <v>343</v>
      </c>
    </row>
    <row r="196" spans="1:12" x14ac:dyDescent="0.35">
      <c r="A196" s="11">
        <v>195</v>
      </c>
      <c r="B196" s="17">
        <v>45754.319560185177</v>
      </c>
      <c r="C196" s="18">
        <v>45754</v>
      </c>
      <c r="D196" s="10" t="s">
        <v>77</v>
      </c>
      <c r="E196" s="5">
        <v>0</v>
      </c>
      <c r="F196" s="15">
        <v>1500</v>
      </c>
      <c r="G196" s="5">
        <v>1965</v>
      </c>
      <c r="H196" s="10" t="s">
        <v>51</v>
      </c>
      <c r="I196" s="10" t="s">
        <v>71</v>
      </c>
      <c r="J196" s="10" t="s">
        <v>31</v>
      </c>
      <c r="K196" s="10" t="s">
        <v>16</v>
      </c>
      <c r="L196" s="10" t="s">
        <v>344</v>
      </c>
    </row>
    <row r="197" spans="1:12" x14ac:dyDescent="0.35">
      <c r="A197" s="9">
        <v>196</v>
      </c>
      <c r="B197" s="19">
        <v>45754.321006944447</v>
      </c>
      <c r="C197" s="20">
        <v>45754</v>
      </c>
      <c r="D197" s="8" t="s">
        <v>342</v>
      </c>
      <c r="E197" s="12">
        <v>500</v>
      </c>
      <c r="F197" s="3">
        <v>0</v>
      </c>
      <c r="G197" s="3">
        <v>1465</v>
      </c>
      <c r="H197" s="8" t="s">
        <v>51</v>
      </c>
      <c r="I197" s="8" t="s">
        <v>52</v>
      </c>
      <c r="J197" s="8" t="s">
        <v>33</v>
      </c>
      <c r="K197" s="8" t="s">
        <v>16</v>
      </c>
      <c r="L197" s="8" t="s">
        <v>345</v>
      </c>
    </row>
    <row r="198" spans="1:12" x14ac:dyDescent="0.35">
      <c r="A198" s="11">
        <v>197</v>
      </c>
      <c r="B198" s="17">
        <v>45755.21670138889</v>
      </c>
      <c r="C198" s="18">
        <v>45755</v>
      </c>
      <c r="D198" s="10" t="s">
        <v>342</v>
      </c>
      <c r="E198" s="14">
        <v>500</v>
      </c>
      <c r="F198" s="5">
        <v>0</v>
      </c>
      <c r="G198" s="5">
        <v>965</v>
      </c>
      <c r="H198" s="10" t="s">
        <v>51</v>
      </c>
      <c r="I198" s="10" t="s">
        <v>52</v>
      </c>
      <c r="J198" s="10" t="s">
        <v>33</v>
      </c>
      <c r="K198" s="10" t="s">
        <v>16</v>
      </c>
      <c r="L198" s="10" t="s">
        <v>346</v>
      </c>
    </row>
    <row r="199" spans="1:12" x14ac:dyDescent="0.35">
      <c r="A199" s="9">
        <v>198</v>
      </c>
      <c r="B199" s="19">
        <v>45755.422465277778</v>
      </c>
      <c r="C199" s="20">
        <v>45755</v>
      </c>
      <c r="D199" s="8" t="s">
        <v>98</v>
      </c>
      <c r="E199" s="12">
        <v>10</v>
      </c>
      <c r="F199" s="3">
        <v>0</v>
      </c>
      <c r="G199" s="3">
        <v>955</v>
      </c>
      <c r="H199" s="8" t="s">
        <v>99</v>
      </c>
      <c r="I199" s="8" t="s">
        <v>52</v>
      </c>
      <c r="J199" s="8" t="s">
        <v>36</v>
      </c>
      <c r="K199" s="8" t="s">
        <v>16</v>
      </c>
      <c r="L199" s="8" t="s">
        <v>347</v>
      </c>
    </row>
    <row r="200" spans="1:12" x14ac:dyDescent="0.35">
      <c r="A200" s="11">
        <v>199</v>
      </c>
      <c r="B200" s="17">
        <v>45755.423078703701</v>
      </c>
      <c r="C200" s="18">
        <v>45755</v>
      </c>
      <c r="D200" s="10" t="s">
        <v>195</v>
      </c>
      <c r="E200" s="14">
        <v>200</v>
      </c>
      <c r="F200" s="5">
        <v>0</v>
      </c>
      <c r="G200" s="5">
        <v>755</v>
      </c>
      <c r="H200" s="10" t="s">
        <v>99</v>
      </c>
      <c r="I200" s="10" t="s">
        <v>52</v>
      </c>
      <c r="J200" s="10" t="s">
        <v>30</v>
      </c>
      <c r="K200" s="10" t="s">
        <v>16</v>
      </c>
      <c r="L200" s="10" t="s">
        <v>348</v>
      </c>
    </row>
    <row r="201" spans="1:12" x14ac:dyDescent="0.35">
      <c r="A201" s="9">
        <v>200</v>
      </c>
      <c r="B201" s="19">
        <v>45755.620347222219</v>
      </c>
      <c r="C201" s="20">
        <v>45755</v>
      </c>
      <c r="D201" s="8" t="s">
        <v>98</v>
      </c>
      <c r="E201" s="12">
        <v>10</v>
      </c>
      <c r="F201" s="3">
        <v>0</v>
      </c>
      <c r="G201" s="3">
        <v>745</v>
      </c>
      <c r="H201" s="8" t="s">
        <v>99</v>
      </c>
      <c r="I201" s="8" t="s">
        <v>52</v>
      </c>
      <c r="J201" s="8" t="s">
        <v>36</v>
      </c>
      <c r="K201" s="8" t="s">
        <v>16</v>
      </c>
      <c r="L201" s="8" t="s">
        <v>349</v>
      </c>
    </row>
    <row r="202" spans="1:12" x14ac:dyDescent="0.35">
      <c r="A202" s="11">
        <v>201</v>
      </c>
      <c r="B202" s="17">
        <v>45755.62096064815</v>
      </c>
      <c r="C202" s="18">
        <v>45755</v>
      </c>
      <c r="D202" s="10" t="s">
        <v>195</v>
      </c>
      <c r="E202" s="14">
        <v>200</v>
      </c>
      <c r="F202" s="5">
        <v>0</v>
      </c>
      <c r="G202" s="5">
        <v>545</v>
      </c>
      <c r="H202" s="10" t="s">
        <v>99</v>
      </c>
      <c r="I202" s="10" t="s">
        <v>52</v>
      </c>
      <c r="J202" s="10" t="s">
        <v>30</v>
      </c>
      <c r="K202" s="10" t="s">
        <v>16</v>
      </c>
      <c r="L202" s="10" t="s">
        <v>350</v>
      </c>
    </row>
    <row r="203" spans="1:12" x14ac:dyDescent="0.35">
      <c r="A203" s="9">
        <v>202</v>
      </c>
      <c r="B203" s="19">
        <v>45756.216400462959</v>
      </c>
      <c r="C203" s="20">
        <v>45756</v>
      </c>
      <c r="D203" s="8" t="s">
        <v>342</v>
      </c>
      <c r="E203" s="12">
        <v>500</v>
      </c>
      <c r="F203" s="3">
        <v>0</v>
      </c>
      <c r="G203" s="3">
        <v>45</v>
      </c>
      <c r="H203" s="8" t="s">
        <v>51</v>
      </c>
      <c r="I203" s="8" t="s">
        <v>52</v>
      </c>
      <c r="J203" s="8" t="s">
        <v>33</v>
      </c>
      <c r="K203" s="8" t="s">
        <v>16</v>
      </c>
      <c r="L203" s="8" t="s">
        <v>351</v>
      </c>
    </row>
    <row r="204" spans="1:12" x14ac:dyDescent="0.35">
      <c r="A204" s="11">
        <v>203</v>
      </c>
      <c r="B204" s="17">
        <v>45757.314884259264</v>
      </c>
      <c r="C204" s="18">
        <v>45757</v>
      </c>
      <c r="D204" s="10" t="s">
        <v>77</v>
      </c>
      <c r="E204" s="5">
        <v>0</v>
      </c>
      <c r="F204" s="15">
        <v>5000</v>
      </c>
      <c r="G204" s="5">
        <v>5045</v>
      </c>
      <c r="H204" s="10" t="s">
        <v>51</v>
      </c>
      <c r="I204" s="10" t="s">
        <v>71</v>
      </c>
      <c r="J204" s="10" t="s">
        <v>31</v>
      </c>
      <c r="K204" s="10" t="s">
        <v>16</v>
      </c>
      <c r="L204" s="10" t="s">
        <v>352</v>
      </c>
    </row>
    <row r="205" spans="1:12" x14ac:dyDescent="0.35">
      <c r="A205" s="9">
        <v>204</v>
      </c>
      <c r="B205" s="19">
        <v>45757.315868055557</v>
      </c>
      <c r="C205" s="20">
        <v>45757</v>
      </c>
      <c r="D205" s="8" t="s">
        <v>342</v>
      </c>
      <c r="E205" s="12">
        <v>500</v>
      </c>
      <c r="F205" s="3">
        <v>0</v>
      </c>
      <c r="G205" s="3">
        <v>4545</v>
      </c>
      <c r="H205" s="8" t="s">
        <v>51</v>
      </c>
      <c r="I205" s="8" t="s">
        <v>52</v>
      </c>
      <c r="J205" s="8" t="s">
        <v>33</v>
      </c>
      <c r="K205" s="8" t="s">
        <v>16</v>
      </c>
      <c r="L205" s="8" t="s">
        <v>353</v>
      </c>
    </row>
    <row r="206" spans="1:12" x14ac:dyDescent="0.35">
      <c r="A206" s="11">
        <v>205</v>
      </c>
      <c r="B206" s="17">
        <v>45758.216053240743</v>
      </c>
      <c r="C206" s="18">
        <v>45758</v>
      </c>
      <c r="D206" s="10" t="s">
        <v>342</v>
      </c>
      <c r="E206" s="14">
        <v>500</v>
      </c>
      <c r="F206" s="5">
        <v>0</v>
      </c>
      <c r="G206" s="5">
        <v>4045</v>
      </c>
      <c r="H206" s="10" t="s">
        <v>51</v>
      </c>
      <c r="I206" s="10" t="s">
        <v>52</v>
      </c>
      <c r="J206" s="10" t="s">
        <v>33</v>
      </c>
      <c r="K206" s="10" t="s">
        <v>16</v>
      </c>
      <c r="L206" s="10" t="s">
        <v>354</v>
      </c>
    </row>
    <row r="207" spans="1:12" x14ac:dyDescent="0.35">
      <c r="A207" s="9">
        <v>206</v>
      </c>
      <c r="B207" s="19">
        <v>45758.547685185193</v>
      </c>
      <c r="C207" s="20">
        <v>45758</v>
      </c>
      <c r="D207" s="8" t="s">
        <v>355</v>
      </c>
      <c r="E207" s="3">
        <v>0</v>
      </c>
      <c r="F207" s="13">
        <v>10000</v>
      </c>
      <c r="G207" s="3">
        <v>14045</v>
      </c>
      <c r="H207" s="8" t="s">
        <v>51</v>
      </c>
      <c r="I207" s="8" t="s">
        <v>71</v>
      </c>
      <c r="J207" s="8" t="s">
        <v>31</v>
      </c>
      <c r="K207" s="8" t="s">
        <v>16</v>
      </c>
      <c r="L207" s="8" t="s">
        <v>356</v>
      </c>
    </row>
    <row r="208" spans="1:12" x14ac:dyDescent="0.35">
      <c r="A208" s="11">
        <v>207</v>
      </c>
      <c r="B208" s="17">
        <v>45758.54787037037</v>
      </c>
      <c r="C208" s="18">
        <v>45758</v>
      </c>
      <c r="D208" s="10" t="s">
        <v>79</v>
      </c>
      <c r="E208" s="14">
        <v>50</v>
      </c>
      <c r="F208" s="5">
        <v>0</v>
      </c>
      <c r="G208" s="5">
        <v>13995</v>
      </c>
      <c r="H208" s="10" t="s">
        <v>51</v>
      </c>
      <c r="I208" s="10" t="s">
        <v>52</v>
      </c>
      <c r="J208" s="10" t="s">
        <v>36</v>
      </c>
      <c r="K208" s="10" t="s">
        <v>16</v>
      </c>
      <c r="L208" s="10" t="s">
        <v>357</v>
      </c>
    </row>
    <row r="209" spans="1:12" x14ac:dyDescent="0.35">
      <c r="A209" s="9">
        <v>208</v>
      </c>
      <c r="B209" s="19">
        <v>45758.565000000002</v>
      </c>
      <c r="C209" s="20">
        <v>45758</v>
      </c>
      <c r="D209" s="8" t="s">
        <v>98</v>
      </c>
      <c r="E209" s="12">
        <v>10</v>
      </c>
      <c r="F209" s="3">
        <v>0</v>
      </c>
      <c r="G209" s="3">
        <v>13985</v>
      </c>
      <c r="H209" s="8" t="s">
        <v>99</v>
      </c>
      <c r="I209" s="8" t="s">
        <v>52</v>
      </c>
      <c r="J209" s="8" t="s">
        <v>36</v>
      </c>
      <c r="K209" s="8" t="s">
        <v>16</v>
      </c>
      <c r="L209" s="8" t="s">
        <v>358</v>
      </c>
    </row>
    <row r="210" spans="1:12" x14ac:dyDescent="0.35">
      <c r="A210" s="11">
        <v>209</v>
      </c>
      <c r="B210" s="17">
        <v>45758.566157407397</v>
      </c>
      <c r="C210" s="18">
        <v>45758</v>
      </c>
      <c r="D210" s="10" t="s">
        <v>98</v>
      </c>
      <c r="E210" s="14">
        <v>10</v>
      </c>
      <c r="F210" s="5">
        <v>0</v>
      </c>
      <c r="G210" s="5">
        <v>13975</v>
      </c>
      <c r="H210" s="10" t="s">
        <v>99</v>
      </c>
      <c r="I210" s="10" t="s">
        <v>52</v>
      </c>
      <c r="J210" s="10" t="s">
        <v>36</v>
      </c>
      <c r="K210" s="10" t="s">
        <v>16</v>
      </c>
      <c r="L210" s="10" t="s">
        <v>359</v>
      </c>
    </row>
    <row r="211" spans="1:12" x14ac:dyDescent="0.35">
      <c r="A211" s="9">
        <v>210</v>
      </c>
      <c r="B211" s="19">
        <v>45758.56659722222</v>
      </c>
      <c r="C211" s="20">
        <v>45758</v>
      </c>
      <c r="D211" s="8" t="s">
        <v>282</v>
      </c>
      <c r="E211" s="12">
        <v>3150</v>
      </c>
      <c r="F211" s="3">
        <v>0</v>
      </c>
      <c r="G211" s="3">
        <v>10825</v>
      </c>
      <c r="H211" s="8" t="s">
        <v>99</v>
      </c>
      <c r="I211" s="8" t="s">
        <v>52</v>
      </c>
      <c r="J211" s="8" t="s">
        <v>30</v>
      </c>
      <c r="K211" s="8" t="s">
        <v>16</v>
      </c>
      <c r="L211" s="8" t="s">
        <v>360</v>
      </c>
    </row>
    <row r="212" spans="1:12" x14ac:dyDescent="0.35">
      <c r="A212" s="11">
        <v>211</v>
      </c>
      <c r="B212" s="17">
        <v>45758.575185185182</v>
      </c>
      <c r="C212" s="18">
        <v>45758</v>
      </c>
      <c r="D212" s="10" t="s">
        <v>98</v>
      </c>
      <c r="E212" s="14">
        <v>10</v>
      </c>
      <c r="F212" s="5">
        <v>0</v>
      </c>
      <c r="G212" s="5">
        <v>10815</v>
      </c>
      <c r="H212" s="10" t="s">
        <v>99</v>
      </c>
      <c r="I212" s="10" t="s">
        <v>52</v>
      </c>
      <c r="J212" s="10" t="s">
        <v>36</v>
      </c>
      <c r="K212" s="10" t="s">
        <v>16</v>
      </c>
      <c r="L212" s="10" t="s">
        <v>361</v>
      </c>
    </row>
    <row r="213" spans="1:12" x14ac:dyDescent="0.35">
      <c r="A213" s="9">
        <v>212</v>
      </c>
      <c r="B213" s="19">
        <v>45758.575567129628</v>
      </c>
      <c r="C213" s="20">
        <v>45758</v>
      </c>
      <c r="D213" s="8" t="s">
        <v>98</v>
      </c>
      <c r="E213" s="12">
        <v>10</v>
      </c>
      <c r="F213" s="3">
        <v>0</v>
      </c>
      <c r="G213" s="3">
        <v>10805</v>
      </c>
      <c r="H213" s="8" t="s">
        <v>99</v>
      </c>
      <c r="I213" s="8" t="s">
        <v>52</v>
      </c>
      <c r="J213" s="8" t="s">
        <v>36</v>
      </c>
      <c r="K213" s="8" t="s">
        <v>16</v>
      </c>
      <c r="L213" s="8" t="s">
        <v>362</v>
      </c>
    </row>
    <row r="214" spans="1:12" x14ac:dyDescent="0.35">
      <c r="A214" s="11">
        <v>213</v>
      </c>
      <c r="B214" s="17">
        <v>45758.57608796296</v>
      </c>
      <c r="C214" s="18">
        <v>45758</v>
      </c>
      <c r="D214" s="10" t="s">
        <v>363</v>
      </c>
      <c r="E214" s="14">
        <v>9000</v>
      </c>
      <c r="F214" s="5">
        <v>0</v>
      </c>
      <c r="G214" s="5">
        <v>1805</v>
      </c>
      <c r="H214" s="10" t="s">
        <v>99</v>
      </c>
      <c r="I214" s="10" t="s">
        <v>52</v>
      </c>
      <c r="J214" s="10" t="s">
        <v>30</v>
      </c>
      <c r="K214" s="10" t="s">
        <v>16</v>
      </c>
      <c r="L214" s="10" t="s">
        <v>364</v>
      </c>
    </row>
    <row r="215" spans="1:12" x14ac:dyDescent="0.35">
      <c r="A215" s="9">
        <v>214</v>
      </c>
      <c r="B215" s="19">
        <v>45759.215995370367</v>
      </c>
      <c r="C215" s="20">
        <v>45759</v>
      </c>
      <c r="D215" s="8" t="s">
        <v>342</v>
      </c>
      <c r="E215" s="12">
        <v>500</v>
      </c>
      <c r="F215" s="3">
        <v>0</v>
      </c>
      <c r="G215" s="3">
        <v>1305</v>
      </c>
      <c r="H215" s="8" t="s">
        <v>51</v>
      </c>
      <c r="I215" s="8" t="s">
        <v>52</v>
      </c>
      <c r="J215" s="8" t="s">
        <v>33</v>
      </c>
      <c r="K215" s="8" t="s">
        <v>16</v>
      </c>
      <c r="L215" s="8" t="s">
        <v>365</v>
      </c>
    </row>
    <row r="216" spans="1:12" x14ac:dyDescent="0.35">
      <c r="A216" s="11">
        <v>215</v>
      </c>
      <c r="B216" s="17">
        <v>45760.215925925928</v>
      </c>
      <c r="C216" s="18">
        <v>45760</v>
      </c>
      <c r="D216" s="10" t="s">
        <v>342</v>
      </c>
      <c r="E216" s="14">
        <v>500</v>
      </c>
      <c r="F216" s="5">
        <v>0</v>
      </c>
      <c r="G216" s="5">
        <v>805</v>
      </c>
      <c r="H216" s="10" t="s">
        <v>51</v>
      </c>
      <c r="I216" s="10" t="s">
        <v>52</v>
      </c>
      <c r="J216" s="10" t="s">
        <v>33</v>
      </c>
      <c r="K216" s="10" t="s">
        <v>16</v>
      </c>
      <c r="L216" s="10" t="s">
        <v>366</v>
      </c>
    </row>
    <row r="217" spans="1:12" x14ac:dyDescent="0.35">
      <c r="A217" s="9">
        <v>216</v>
      </c>
      <c r="B217" s="19">
        <v>45761.21534722222</v>
      </c>
      <c r="C217" s="20">
        <v>45761</v>
      </c>
      <c r="D217" s="8" t="s">
        <v>342</v>
      </c>
      <c r="E217" s="12">
        <v>500</v>
      </c>
      <c r="F217" s="3">
        <v>0</v>
      </c>
      <c r="G217" s="3">
        <v>305</v>
      </c>
      <c r="H217" s="8" t="s">
        <v>51</v>
      </c>
      <c r="I217" s="8" t="s">
        <v>52</v>
      </c>
      <c r="J217" s="8" t="s">
        <v>33</v>
      </c>
      <c r="K217" s="8" t="s">
        <v>16</v>
      </c>
      <c r="L217" s="8" t="s">
        <v>367</v>
      </c>
    </row>
    <row r="218" spans="1:12" x14ac:dyDescent="0.35">
      <c r="A218" s="11">
        <v>217</v>
      </c>
      <c r="B218" s="17">
        <v>45763.654907407406</v>
      </c>
      <c r="C218" s="18">
        <v>45763</v>
      </c>
      <c r="D218" s="10" t="s">
        <v>77</v>
      </c>
      <c r="E218" s="5">
        <v>0</v>
      </c>
      <c r="F218" s="15">
        <v>1200</v>
      </c>
      <c r="G218" s="5">
        <v>1505</v>
      </c>
      <c r="H218" s="10" t="s">
        <v>51</v>
      </c>
      <c r="I218" s="10" t="s">
        <v>71</v>
      </c>
      <c r="J218" s="10" t="s">
        <v>31</v>
      </c>
      <c r="K218" s="10" t="s">
        <v>16</v>
      </c>
      <c r="L218" s="10" t="s">
        <v>368</v>
      </c>
    </row>
    <row r="219" spans="1:12" x14ac:dyDescent="0.35">
      <c r="A219" s="9">
        <v>218</v>
      </c>
      <c r="B219" s="19">
        <v>45763.655925925923</v>
      </c>
      <c r="C219" s="20">
        <v>45763</v>
      </c>
      <c r="D219" s="8" t="s">
        <v>342</v>
      </c>
      <c r="E219" s="12">
        <v>1000</v>
      </c>
      <c r="F219" s="3">
        <v>0</v>
      </c>
      <c r="G219" s="3">
        <v>505</v>
      </c>
      <c r="H219" s="8" t="s">
        <v>51</v>
      </c>
      <c r="I219" s="8" t="s">
        <v>52</v>
      </c>
      <c r="J219" s="8" t="s">
        <v>33</v>
      </c>
      <c r="K219" s="8" t="s">
        <v>16</v>
      </c>
      <c r="L219" s="8" t="s">
        <v>369</v>
      </c>
    </row>
    <row r="220" spans="1:12" x14ac:dyDescent="0.35">
      <c r="A220" s="11">
        <v>219</v>
      </c>
      <c r="B220" s="17">
        <v>45764.211597222216</v>
      </c>
      <c r="C220" s="18">
        <v>45764</v>
      </c>
      <c r="D220" s="10" t="s">
        <v>342</v>
      </c>
      <c r="E220" s="14">
        <v>500</v>
      </c>
      <c r="F220" s="5">
        <v>0</v>
      </c>
      <c r="G220" s="5">
        <v>5</v>
      </c>
      <c r="H220" s="10" t="s">
        <v>51</v>
      </c>
      <c r="I220" s="10" t="s">
        <v>52</v>
      </c>
      <c r="J220" s="10" t="s">
        <v>33</v>
      </c>
      <c r="K220" s="10" t="s">
        <v>16</v>
      </c>
      <c r="L220" s="10" t="s">
        <v>370</v>
      </c>
    </row>
    <row r="221" spans="1:12" x14ac:dyDescent="0.35">
      <c r="A221" s="9">
        <v>220</v>
      </c>
      <c r="B221" s="19">
        <v>45765.324317129627</v>
      </c>
      <c r="C221" s="20">
        <v>45765</v>
      </c>
      <c r="D221" s="8" t="s">
        <v>77</v>
      </c>
      <c r="E221" s="3">
        <v>0</v>
      </c>
      <c r="F221" s="13">
        <v>2000</v>
      </c>
      <c r="G221" s="3">
        <v>2005</v>
      </c>
      <c r="H221" s="8" t="s">
        <v>51</v>
      </c>
      <c r="I221" s="8" t="s">
        <v>71</v>
      </c>
      <c r="J221" s="8" t="s">
        <v>31</v>
      </c>
      <c r="K221" s="8" t="s">
        <v>16</v>
      </c>
      <c r="L221" s="8" t="s">
        <v>371</v>
      </c>
    </row>
    <row r="222" spans="1:12" x14ac:dyDescent="0.35">
      <c r="A222" s="11">
        <v>221</v>
      </c>
      <c r="B222" s="17">
        <v>45765.325555555559</v>
      </c>
      <c r="C222" s="18">
        <v>45765</v>
      </c>
      <c r="D222" s="10" t="s">
        <v>342</v>
      </c>
      <c r="E222" s="14">
        <v>500</v>
      </c>
      <c r="F222" s="5">
        <v>0</v>
      </c>
      <c r="G222" s="5">
        <v>1505</v>
      </c>
      <c r="H222" s="10" t="s">
        <v>51</v>
      </c>
      <c r="I222" s="10" t="s">
        <v>52</v>
      </c>
      <c r="J222" s="10" t="s">
        <v>33</v>
      </c>
      <c r="K222" s="10" t="s">
        <v>16</v>
      </c>
      <c r="L222" s="10" t="s">
        <v>372</v>
      </c>
    </row>
    <row r="223" spans="1:12" x14ac:dyDescent="0.35">
      <c r="A223" s="9">
        <v>222</v>
      </c>
      <c r="B223" s="19">
        <v>45766.21130787037</v>
      </c>
      <c r="C223" s="20">
        <v>45766</v>
      </c>
      <c r="D223" s="8" t="s">
        <v>342</v>
      </c>
      <c r="E223" s="12">
        <v>500</v>
      </c>
      <c r="F223" s="3">
        <v>0</v>
      </c>
      <c r="G223" s="3">
        <v>1005</v>
      </c>
      <c r="H223" s="8" t="s">
        <v>51</v>
      </c>
      <c r="I223" s="8" t="s">
        <v>52</v>
      </c>
      <c r="J223" s="8" t="s">
        <v>33</v>
      </c>
      <c r="K223" s="8" t="s">
        <v>16</v>
      </c>
      <c r="L223" s="8" t="s">
        <v>373</v>
      </c>
    </row>
    <row r="224" spans="1:12" x14ac:dyDescent="0.35">
      <c r="A224" s="11">
        <v>223</v>
      </c>
      <c r="B224" s="17">
        <v>45767.211296296293</v>
      </c>
      <c r="C224" s="18">
        <v>45767</v>
      </c>
      <c r="D224" s="10" t="s">
        <v>342</v>
      </c>
      <c r="E224" s="14">
        <v>500</v>
      </c>
      <c r="F224" s="5">
        <v>0</v>
      </c>
      <c r="G224" s="5">
        <v>505</v>
      </c>
      <c r="H224" s="10" t="s">
        <v>51</v>
      </c>
      <c r="I224" s="10" t="s">
        <v>52</v>
      </c>
      <c r="J224" s="10" t="s">
        <v>33</v>
      </c>
      <c r="K224" s="10" t="s">
        <v>16</v>
      </c>
      <c r="L224" s="10" t="s">
        <v>374</v>
      </c>
    </row>
    <row r="225" spans="1:12" x14ac:dyDescent="0.35">
      <c r="A225" s="9">
        <v>224</v>
      </c>
      <c r="B225" s="19">
        <v>45768.211134259262</v>
      </c>
      <c r="C225" s="20">
        <v>45768</v>
      </c>
      <c r="D225" s="8" t="s">
        <v>342</v>
      </c>
      <c r="E225" s="12">
        <v>500</v>
      </c>
      <c r="F225" s="3">
        <v>0</v>
      </c>
      <c r="G225" s="3">
        <v>5</v>
      </c>
      <c r="H225" s="8" t="s">
        <v>51</v>
      </c>
      <c r="I225" s="8" t="s">
        <v>52</v>
      </c>
      <c r="J225" s="8" t="s">
        <v>33</v>
      </c>
      <c r="K225" s="8" t="s">
        <v>16</v>
      </c>
      <c r="L225" s="8" t="s">
        <v>375</v>
      </c>
    </row>
    <row r="226" spans="1:12" x14ac:dyDescent="0.35">
      <c r="A226" s="11">
        <v>225</v>
      </c>
      <c r="B226" s="17">
        <v>45768.675879629627</v>
      </c>
      <c r="C226" s="18">
        <v>45768</v>
      </c>
      <c r="D226" s="10" t="s">
        <v>77</v>
      </c>
      <c r="E226" s="5">
        <v>0</v>
      </c>
      <c r="F226" s="15">
        <v>1500</v>
      </c>
      <c r="G226" s="5">
        <v>1505</v>
      </c>
      <c r="H226" s="10" t="s">
        <v>51</v>
      </c>
      <c r="I226" s="10" t="s">
        <v>71</v>
      </c>
      <c r="J226" s="10" t="s">
        <v>31</v>
      </c>
      <c r="K226" s="10" t="s">
        <v>16</v>
      </c>
      <c r="L226" s="10" t="s">
        <v>376</v>
      </c>
    </row>
    <row r="227" spans="1:12" x14ac:dyDescent="0.35">
      <c r="A227" s="9">
        <v>226</v>
      </c>
      <c r="B227" s="19">
        <v>45769.210960648154</v>
      </c>
      <c r="C227" s="20">
        <v>45769</v>
      </c>
      <c r="D227" s="8" t="s">
        <v>342</v>
      </c>
      <c r="E227" s="12">
        <v>500</v>
      </c>
      <c r="F227" s="3">
        <v>0</v>
      </c>
      <c r="G227" s="3">
        <v>1005</v>
      </c>
      <c r="H227" s="8" t="s">
        <v>51</v>
      </c>
      <c r="I227" s="8" t="s">
        <v>52</v>
      </c>
      <c r="J227" s="8" t="s">
        <v>33</v>
      </c>
      <c r="K227" s="8" t="s">
        <v>16</v>
      </c>
      <c r="L227" s="8" t="s">
        <v>377</v>
      </c>
    </row>
    <row r="228" spans="1:12" x14ac:dyDescent="0.35">
      <c r="A228" s="11">
        <v>227</v>
      </c>
      <c r="B228" s="17">
        <v>45770.210995370369</v>
      </c>
      <c r="C228" s="18">
        <v>45770</v>
      </c>
      <c r="D228" s="10" t="s">
        <v>342</v>
      </c>
      <c r="E228" s="14">
        <v>500</v>
      </c>
      <c r="F228" s="5">
        <v>0</v>
      </c>
      <c r="G228" s="5">
        <v>505</v>
      </c>
      <c r="H228" s="10" t="s">
        <v>51</v>
      </c>
      <c r="I228" s="10" t="s">
        <v>52</v>
      </c>
      <c r="J228" s="10" t="s">
        <v>33</v>
      </c>
      <c r="K228" s="10" t="s">
        <v>16</v>
      </c>
      <c r="L228" s="10" t="s">
        <v>378</v>
      </c>
    </row>
    <row r="229" spans="1:12" x14ac:dyDescent="0.35">
      <c r="A229" s="9">
        <v>228</v>
      </c>
      <c r="B229" s="19">
        <v>45771.211041666669</v>
      </c>
      <c r="C229" s="20">
        <v>45771</v>
      </c>
      <c r="D229" s="8" t="s">
        <v>342</v>
      </c>
      <c r="E229" s="12">
        <v>500</v>
      </c>
      <c r="F229" s="3">
        <v>0</v>
      </c>
      <c r="G229" s="3">
        <v>5</v>
      </c>
      <c r="H229" s="8" t="s">
        <v>51</v>
      </c>
      <c r="I229" s="8" t="s">
        <v>52</v>
      </c>
      <c r="J229" s="8" t="s">
        <v>33</v>
      </c>
      <c r="K229" s="8" t="s">
        <v>16</v>
      </c>
      <c r="L229" s="8" t="s">
        <v>379</v>
      </c>
    </row>
    <row r="230" spans="1:12" x14ac:dyDescent="0.35">
      <c r="A230" s="11">
        <v>229</v>
      </c>
      <c r="B230" s="17">
        <v>45772.350775462961</v>
      </c>
      <c r="C230" s="18">
        <v>45772</v>
      </c>
      <c r="D230" s="10" t="s">
        <v>380</v>
      </c>
      <c r="E230" s="5">
        <v>0</v>
      </c>
      <c r="F230" s="15">
        <v>50000</v>
      </c>
      <c r="G230" s="5">
        <v>50005</v>
      </c>
      <c r="H230" s="10" t="s">
        <v>33</v>
      </c>
      <c r="I230" s="10" t="s">
        <v>71</v>
      </c>
      <c r="J230" s="10" t="s">
        <v>31</v>
      </c>
      <c r="K230" s="10" t="s">
        <v>16</v>
      </c>
      <c r="L230" s="10" t="s">
        <v>381</v>
      </c>
    </row>
    <row r="231" spans="1:12" x14ac:dyDescent="0.35">
      <c r="A231" s="9">
        <v>230</v>
      </c>
      <c r="B231" s="19">
        <v>45772.373263888891</v>
      </c>
      <c r="C231" s="20">
        <v>45772</v>
      </c>
      <c r="D231" s="8" t="s">
        <v>382</v>
      </c>
      <c r="E231" s="12">
        <v>5000</v>
      </c>
      <c r="F231" s="3">
        <v>0</v>
      </c>
      <c r="G231" s="3">
        <v>45005</v>
      </c>
      <c r="H231" s="8" t="s">
        <v>51</v>
      </c>
      <c r="I231" s="8" t="s">
        <v>52</v>
      </c>
      <c r="J231" s="8" t="s">
        <v>30</v>
      </c>
      <c r="K231" s="8" t="s">
        <v>16</v>
      </c>
      <c r="L231" s="8" t="s">
        <v>383</v>
      </c>
    </row>
    <row r="232" spans="1:12" x14ac:dyDescent="0.35">
      <c r="A232" s="11">
        <v>231</v>
      </c>
      <c r="B232" s="17">
        <v>45772.374062499999</v>
      </c>
      <c r="C232" s="18">
        <v>45772</v>
      </c>
      <c r="D232" s="10" t="s">
        <v>384</v>
      </c>
      <c r="E232" s="14">
        <v>5000</v>
      </c>
      <c r="F232" s="5">
        <v>0</v>
      </c>
      <c r="G232" s="5">
        <v>40005</v>
      </c>
      <c r="H232" s="10" t="s">
        <v>51</v>
      </c>
      <c r="I232" s="10" t="s">
        <v>52</v>
      </c>
      <c r="J232" s="10" t="s">
        <v>30</v>
      </c>
      <c r="K232" s="10" t="s">
        <v>16</v>
      </c>
      <c r="L232" s="10" t="s">
        <v>385</v>
      </c>
    </row>
    <row r="233" spans="1:12" x14ac:dyDescent="0.35">
      <c r="A233" s="9">
        <v>232</v>
      </c>
      <c r="B233" s="19">
        <v>45772.500509259262</v>
      </c>
      <c r="C233" s="20">
        <v>45772</v>
      </c>
      <c r="D233" s="8" t="s">
        <v>386</v>
      </c>
      <c r="E233" s="12">
        <v>24000</v>
      </c>
      <c r="F233" s="3">
        <v>0</v>
      </c>
      <c r="G233" s="3">
        <v>16005</v>
      </c>
      <c r="H233" s="8" t="s">
        <v>51</v>
      </c>
      <c r="I233" s="8" t="s">
        <v>52</v>
      </c>
      <c r="J233" s="8" t="s">
        <v>30</v>
      </c>
      <c r="K233" s="8" t="s">
        <v>16</v>
      </c>
      <c r="L233" s="8" t="s">
        <v>387</v>
      </c>
    </row>
    <row r="234" spans="1:12" x14ac:dyDescent="0.35">
      <c r="A234" s="11">
        <v>233</v>
      </c>
      <c r="B234" s="17">
        <v>45772.751597222217</v>
      </c>
      <c r="C234" s="18">
        <v>45772</v>
      </c>
      <c r="D234" s="10" t="s">
        <v>388</v>
      </c>
      <c r="E234" s="14">
        <v>8000</v>
      </c>
      <c r="F234" s="5">
        <v>0</v>
      </c>
      <c r="G234" s="5">
        <v>8005</v>
      </c>
      <c r="H234" s="10" t="s">
        <v>51</v>
      </c>
      <c r="I234" s="10" t="s">
        <v>52</v>
      </c>
      <c r="J234" s="10" t="s">
        <v>30</v>
      </c>
      <c r="K234" s="10" t="s">
        <v>16</v>
      </c>
      <c r="L234" s="10" t="s">
        <v>389</v>
      </c>
    </row>
    <row r="235" spans="1:12" x14ac:dyDescent="0.35">
      <c r="A235" s="9">
        <v>234</v>
      </c>
      <c r="B235" s="19">
        <v>45773.2108912037</v>
      </c>
      <c r="C235" s="20">
        <v>45773</v>
      </c>
      <c r="D235" s="8" t="s">
        <v>342</v>
      </c>
      <c r="E235" s="12">
        <v>500</v>
      </c>
      <c r="F235" s="3">
        <v>0</v>
      </c>
      <c r="G235" s="3">
        <v>7505</v>
      </c>
      <c r="H235" s="8" t="s">
        <v>51</v>
      </c>
      <c r="I235" s="8" t="s">
        <v>52</v>
      </c>
      <c r="J235" s="8" t="s">
        <v>33</v>
      </c>
      <c r="K235" s="8" t="s">
        <v>16</v>
      </c>
      <c r="L235" s="8" t="s">
        <v>390</v>
      </c>
    </row>
    <row r="236" spans="1:12" x14ac:dyDescent="0.35">
      <c r="A236" s="11">
        <v>235</v>
      </c>
      <c r="B236" s="17">
        <v>45773.362256944441</v>
      </c>
      <c r="C236" s="18">
        <v>45773</v>
      </c>
      <c r="D236" s="10" t="s">
        <v>236</v>
      </c>
      <c r="E236" s="14">
        <v>7500</v>
      </c>
      <c r="F236" s="5">
        <v>0</v>
      </c>
      <c r="G236" s="5">
        <v>5</v>
      </c>
      <c r="H236" s="10" t="s">
        <v>51</v>
      </c>
      <c r="I236" s="10" t="s">
        <v>52</v>
      </c>
      <c r="J236" s="10" t="s">
        <v>30</v>
      </c>
      <c r="K236" s="10" t="s">
        <v>16</v>
      </c>
      <c r="L236" s="10" t="s">
        <v>391</v>
      </c>
    </row>
    <row r="237" spans="1:12" x14ac:dyDescent="0.35">
      <c r="A237" s="9">
        <v>236</v>
      </c>
      <c r="B237" s="19">
        <v>45775.378564814811</v>
      </c>
      <c r="C237" s="20">
        <v>45775</v>
      </c>
      <c r="D237" s="8" t="s">
        <v>392</v>
      </c>
      <c r="E237" s="12">
        <v>3000</v>
      </c>
      <c r="F237" s="3">
        <v>0</v>
      </c>
      <c r="G237" s="3">
        <v>0</v>
      </c>
      <c r="H237" s="8" t="s">
        <v>51</v>
      </c>
      <c r="I237" s="8" t="s">
        <v>52</v>
      </c>
      <c r="J237" s="8" t="s">
        <v>30</v>
      </c>
      <c r="K237" s="8" t="s">
        <v>16</v>
      </c>
      <c r="L237" s="8" t="s">
        <v>393</v>
      </c>
    </row>
    <row r="238" spans="1:12" x14ac:dyDescent="0.35">
      <c r="A238" s="11">
        <v>237</v>
      </c>
      <c r="B238" s="17">
        <v>45775.378657407397</v>
      </c>
      <c r="C238" s="18">
        <v>45775</v>
      </c>
      <c r="D238" s="10" t="s">
        <v>394</v>
      </c>
      <c r="E238" s="5">
        <v>0</v>
      </c>
      <c r="F238" s="15">
        <v>2995</v>
      </c>
      <c r="G238" s="5">
        <v>3000</v>
      </c>
      <c r="H238" s="10" t="s">
        <v>51</v>
      </c>
      <c r="I238" s="10" t="s">
        <v>71</v>
      </c>
      <c r="J238" s="10" t="s">
        <v>32</v>
      </c>
      <c r="K238" s="10" t="s">
        <v>16</v>
      </c>
      <c r="L238" s="10" t="s">
        <v>395</v>
      </c>
    </row>
    <row r="239" spans="1:12" x14ac:dyDescent="0.35">
      <c r="A239" s="9">
        <v>238</v>
      </c>
      <c r="B239" s="19">
        <v>45778.694305555553</v>
      </c>
      <c r="C239" s="20">
        <v>45778</v>
      </c>
      <c r="D239" s="8" t="s">
        <v>396</v>
      </c>
      <c r="E239" s="12">
        <v>350</v>
      </c>
      <c r="F239" s="3">
        <v>0</v>
      </c>
      <c r="G239" s="3">
        <v>0</v>
      </c>
      <c r="H239" s="8" t="s">
        <v>51</v>
      </c>
      <c r="I239" s="8" t="s">
        <v>52</v>
      </c>
      <c r="J239" s="8" t="s">
        <v>36</v>
      </c>
      <c r="K239" s="8" t="s">
        <v>17</v>
      </c>
      <c r="L239" s="8" t="s">
        <v>397</v>
      </c>
    </row>
    <row r="240" spans="1:12" x14ac:dyDescent="0.35">
      <c r="A240" s="11">
        <v>239</v>
      </c>
      <c r="B240" s="17">
        <v>45778.694479166668</v>
      </c>
      <c r="C240" s="18">
        <v>45778</v>
      </c>
      <c r="D240" s="10" t="s">
        <v>394</v>
      </c>
      <c r="E240" s="5">
        <v>0</v>
      </c>
      <c r="F240" s="15">
        <v>350</v>
      </c>
      <c r="G240" s="5">
        <v>350</v>
      </c>
      <c r="H240" s="10" t="s">
        <v>51</v>
      </c>
      <c r="I240" s="10" t="s">
        <v>71</v>
      </c>
      <c r="J240" s="10" t="s">
        <v>32</v>
      </c>
      <c r="K240" s="10" t="s">
        <v>17</v>
      </c>
      <c r="L240" s="10" t="s">
        <v>398</v>
      </c>
    </row>
    <row r="241" spans="1:12" x14ac:dyDescent="0.35">
      <c r="A241" s="9">
        <v>240</v>
      </c>
      <c r="B241" s="19">
        <v>45778.719212962962</v>
      </c>
      <c r="C241" s="20">
        <v>45778</v>
      </c>
      <c r="D241" s="8" t="s">
        <v>323</v>
      </c>
      <c r="E241" s="12">
        <v>2000</v>
      </c>
      <c r="F241" s="3">
        <v>0</v>
      </c>
      <c r="G241" s="3">
        <v>0</v>
      </c>
      <c r="H241" s="8" t="s">
        <v>51</v>
      </c>
      <c r="I241" s="8" t="s">
        <v>52</v>
      </c>
      <c r="J241" s="8" t="s">
        <v>30</v>
      </c>
      <c r="K241" s="8" t="s">
        <v>17</v>
      </c>
      <c r="L241" s="8" t="s">
        <v>399</v>
      </c>
    </row>
    <row r="242" spans="1:12" x14ac:dyDescent="0.35">
      <c r="A242" s="11">
        <v>241</v>
      </c>
      <c r="B242" s="17">
        <v>45778.719282407408</v>
      </c>
      <c r="C242" s="18">
        <v>45778</v>
      </c>
      <c r="D242" s="10" t="s">
        <v>394</v>
      </c>
      <c r="E242" s="5">
        <v>0</v>
      </c>
      <c r="F242" s="15">
        <v>2000</v>
      </c>
      <c r="G242" s="5">
        <v>2000</v>
      </c>
      <c r="H242" s="10" t="s">
        <v>51</v>
      </c>
      <c r="I242" s="10" t="s">
        <v>71</v>
      </c>
      <c r="J242" s="10" t="s">
        <v>32</v>
      </c>
      <c r="K242" s="10" t="s">
        <v>17</v>
      </c>
      <c r="L242" s="10" t="s">
        <v>400</v>
      </c>
    </row>
    <row r="243" spans="1:12" x14ac:dyDescent="0.35">
      <c r="A243" s="9">
        <v>242</v>
      </c>
      <c r="B243" s="19">
        <v>45779.392395833333</v>
      </c>
      <c r="C243" s="20">
        <v>45779</v>
      </c>
      <c r="D243" s="8" t="s">
        <v>401</v>
      </c>
      <c r="E243" s="12">
        <v>750</v>
      </c>
      <c r="F243" s="3">
        <v>0</v>
      </c>
      <c r="G243" s="3">
        <v>0</v>
      </c>
      <c r="H243" s="8" t="s">
        <v>51</v>
      </c>
      <c r="I243" s="8" t="s">
        <v>52</v>
      </c>
      <c r="J243" s="8" t="s">
        <v>36</v>
      </c>
      <c r="K243" s="8" t="s">
        <v>17</v>
      </c>
      <c r="L243" s="8" t="s">
        <v>402</v>
      </c>
    </row>
    <row r="244" spans="1:12" x14ac:dyDescent="0.35">
      <c r="A244" s="11">
        <v>243</v>
      </c>
      <c r="B244" s="17">
        <v>45779.392488425918</v>
      </c>
      <c r="C244" s="18">
        <v>45779</v>
      </c>
      <c r="D244" s="10" t="s">
        <v>394</v>
      </c>
      <c r="E244" s="5">
        <v>0</v>
      </c>
      <c r="F244" s="15">
        <v>750</v>
      </c>
      <c r="G244" s="5">
        <v>750</v>
      </c>
      <c r="H244" s="10" t="s">
        <v>51</v>
      </c>
      <c r="I244" s="10" t="s">
        <v>71</v>
      </c>
      <c r="J244" s="10" t="s">
        <v>32</v>
      </c>
      <c r="K244" s="10" t="s">
        <v>17</v>
      </c>
      <c r="L244" s="10" t="s">
        <v>403</v>
      </c>
    </row>
    <row r="245" spans="1:12" x14ac:dyDescent="0.35">
      <c r="A245" s="9">
        <v>244</v>
      </c>
      <c r="B245" s="19">
        <v>45779.501967592587</v>
      </c>
      <c r="C245" s="20">
        <v>45779</v>
      </c>
      <c r="D245" s="8" t="s">
        <v>404</v>
      </c>
      <c r="E245" s="12">
        <v>3100</v>
      </c>
      <c r="F245" s="3">
        <v>0</v>
      </c>
      <c r="G245" s="3">
        <v>0</v>
      </c>
      <c r="H245" s="8" t="s">
        <v>51</v>
      </c>
      <c r="I245" s="8" t="s">
        <v>52</v>
      </c>
      <c r="J245" s="8" t="s">
        <v>30</v>
      </c>
      <c r="K245" s="8" t="s">
        <v>17</v>
      </c>
      <c r="L245" s="8" t="s">
        <v>405</v>
      </c>
    </row>
    <row r="246" spans="1:12" x14ac:dyDescent="0.35">
      <c r="A246" s="11">
        <v>245</v>
      </c>
      <c r="B246" s="17">
        <v>45779.502118055563</v>
      </c>
      <c r="C246" s="18">
        <v>45779</v>
      </c>
      <c r="D246" s="10" t="s">
        <v>394</v>
      </c>
      <c r="E246" s="5">
        <v>0</v>
      </c>
      <c r="F246" s="15">
        <v>3100</v>
      </c>
      <c r="G246" s="5">
        <v>3100</v>
      </c>
      <c r="H246" s="10" t="s">
        <v>51</v>
      </c>
      <c r="I246" s="10" t="s">
        <v>71</v>
      </c>
      <c r="J246" s="10" t="s">
        <v>32</v>
      </c>
      <c r="K246" s="10" t="s">
        <v>17</v>
      </c>
      <c r="L246" s="10" t="s">
        <v>406</v>
      </c>
    </row>
    <row r="247" spans="1:12" x14ac:dyDescent="0.35">
      <c r="A247" s="9">
        <v>246</v>
      </c>
      <c r="B247" s="19">
        <v>45782.388831018521</v>
      </c>
      <c r="C247" s="20">
        <v>45782</v>
      </c>
      <c r="D247" s="8" t="s">
        <v>339</v>
      </c>
      <c r="E247" s="12">
        <v>500</v>
      </c>
      <c r="F247" s="3">
        <v>0</v>
      </c>
      <c r="G247" s="3">
        <v>0</v>
      </c>
      <c r="H247" s="8" t="s">
        <v>51</v>
      </c>
      <c r="I247" s="8" t="s">
        <v>52</v>
      </c>
      <c r="J247" s="8" t="s">
        <v>36</v>
      </c>
      <c r="K247" s="8" t="s">
        <v>17</v>
      </c>
      <c r="L247" s="8" t="s">
        <v>407</v>
      </c>
    </row>
    <row r="248" spans="1:12" x14ac:dyDescent="0.35">
      <c r="A248" s="11">
        <v>247</v>
      </c>
      <c r="B248" s="17">
        <v>45782.388993055552</v>
      </c>
      <c r="C248" s="18">
        <v>45782</v>
      </c>
      <c r="D248" s="10" t="s">
        <v>394</v>
      </c>
      <c r="E248" s="5">
        <v>0</v>
      </c>
      <c r="F248" s="15">
        <v>500</v>
      </c>
      <c r="G248" s="5">
        <v>500</v>
      </c>
      <c r="H248" s="10" t="s">
        <v>51</v>
      </c>
      <c r="I248" s="10" t="s">
        <v>71</v>
      </c>
      <c r="J248" s="10" t="s">
        <v>32</v>
      </c>
      <c r="K248" s="10" t="s">
        <v>17</v>
      </c>
      <c r="L248" s="10" t="s">
        <v>408</v>
      </c>
    </row>
    <row r="249" spans="1:12" x14ac:dyDescent="0.35">
      <c r="A249" s="9">
        <v>248</v>
      </c>
      <c r="B249" s="19">
        <v>45784.399224537039</v>
      </c>
      <c r="C249" s="20">
        <v>45784</v>
      </c>
      <c r="D249" s="8" t="s">
        <v>77</v>
      </c>
      <c r="E249" s="3">
        <v>0</v>
      </c>
      <c r="F249" s="13">
        <v>10000</v>
      </c>
      <c r="G249" s="3">
        <v>10000</v>
      </c>
      <c r="H249" s="8" t="s">
        <v>51</v>
      </c>
      <c r="I249" s="8" t="s">
        <v>71</v>
      </c>
      <c r="J249" s="8" t="s">
        <v>31</v>
      </c>
      <c r="K249" s="8" t="s">
        <v>17</v>
      </c>
      <c r="L249" s="8" t="s">
        <v>409</v>
      </c>
    </row>
    <row r="250" spans="1:12" x14ac:dyDescent="0.35">
      <c r="A250" s="11">
        <v>249</v>
      </c>
      <c r="B250" s="17">
        <v>45784.399247685193</v>
      </c>
      <c r="C250" s="18">
        <v>45784</v>
      </c>
      <c r="D250" s="10" t="s">
        <v>79</v>
      </c>
      <c r="E250" s="14">
        <v>50</v>
      </c>
      <c r="F250" s="5">
        <v>0</v>
      </c>
      <c r="G250" s="5">
        <v>9950</v>
      </c>
      <c r="H250" s="10" t="s">
        <v>51</v>
      </c>
      <c r="I250" s="10" t="s">
        <v>52</v>
      </c>
      <c r="J250" s="10" t="s">
        <v>36</v>
      </c>
      <c r="K250" s="10" t="s">
        <v>17</v>
      </c>
      <c r="L250" s="10" t="s">
        <v>410</v>
      </c>
    </row>
    <row r="251" spans="1:12" x14ac:dyDescent="0.35">
      <c r="A251" s="9">
        <v>250</v>
      </c>
      <c r="B251" s="19">
        <v>45784.403275462973</v>
      </c>
      <c r="C251" s="20">
        <v>45784</v>
      </c>
      <c r="D251" s="8" t="s">
        <v>342</v>
      </c>
      <c r="E251" s="12">
        <v>10000</v>
      </c>
      <c r="F251" s="3">
        <v>0</v>
      </c>
      <c r="G251" s="3">
        <v>0</v>
      </c>
      <c r="H251" s="8" t="s">
        <v>51</v>
      </c>
      <c r="I251" s="8" t="s">
        <v>52</v>
      </c>
      <c r="J251" s="8" t="s">
        <v>33</v>
      </c>
      <c r="K251" s="8" t="s">
        <v>17</v>
      </c>
      <c r="L251" s="8" t="s">
        <v>411</v>
      </c>
    </row>
    <row r="252" spans="1:12" x14ac:dyDescent="0.35">
      <c r="A252" s="11">
        <v>251</v>
      </c>
      <c r="B252" s="17">
        <v>45784.404050925928</v>
      </c>
      <c r="C252" s="18">
        <v>45784</v>
      </c>
      <c r="D252" s="10" t="s">
        <v>394</v>
      </c>
      <c r="E252" s="5">
        <v>0</v>
      </c>
      <c r="F252" s="15">
        <v>50</v>
      </c>
      <c r="G252" s="5">
        <v>10000</v>
      </c>
      <c r="H252" s="10" t="s">
        <v>51</v>
      </c>
      <c r="I252" s="10" t="s">
        <v>71</v>
      </c>
      <c r="J252" s="10" t="s">
        <v>32</v>
      </c>
      <c r="K252" s="10" t="s">
        <v>17</v>
      </c>
      <c r="L252" s="10" t="s">
        <v>412</v>
      </c>
    </row>
    <row r="253" spans="1:12" x14ac:dyDescent="0.35">
      <c r="A253" s="9">
        <v>252</v>
      </c>
      <c r="B253" s="19">
        <v>45786.313194444447</v>
      </c>
      <c r="C253" s="20">
        <v>45786</v>
      </c>
      <c r="D253" s="8" t="s">
        <v>394</v>
      </c>
      <c r="E253" s="3">
        <v>0</v>
      </c>
      <c r="F253" s="13">
        <v>10</v>
      </c>
      <c r="G253" s="3">
        <v>10</v>
      </c>
      <c r="H253" s="8" t="s">
        <v>51</v>
      </c>
      <c r="I253" s="8" t="s">
        <v>71</v>
      </c>
      <c r="J253" s="8" t="s">
        <v>32</v>
      </c>
      <c r="K253" s="8" t="s">
        <v>17</v>
      </c>
      <c r="L253" s="8" t="s">
        <v>413</v>
      </c>
    </row>
    <row r="254" spans="1:12" x14ac:dyDescent="0.35">
      <c r="A254" s="11">
        <v>253</v>
      </c>
      <c r="B254" s="17">
        <v>45786.313194444447</v>
      </c>
      <c r="C254" s="18">
        <v>45786</v>
      </c>
      <c r="D254" s="10" t="s">
        <v>98</v>
      </c>
      <c r="E254" s="14">
        <v>10</v>
      </c>
      <c r="F254" s="5">
        <v>0</v>
      </c>
      <c r="G254" s="5">
        <v>0</v>
      </c>
      <c r="H254" s="10" t="s">
        <v>99</v>
      </c>
      <c r="I254" s="10" t="s">
        <v>52</v>
      </c>
      <c r="J254" s="10" t="s">
        <v>36</v>
      </c>
      <c r="K254" s="10" t="s">
        <v>17</v>
      </c>
      <c r="L254" s="10" t="s">
        <v>414</v>
      </c>
    </row>
    <row r="255" spans="1:12" x14ac:dyDescent="0.35">
      <c r="A255" s="9">
        <v>254</v>
      </c>
      <c r="B255" s="19">
        <v>45786.313923611109</v>
      </c>
      <c r="C255" s="20">
        <v>45786</v>
      </c>
      <c r="D255" s="8" t="s">
        <v>210</v>
      </c>
      <c r="E255" s="12">
        <v>200</v>
      </c>
      <c r="F255" s="3">
        <v>0</v>
      </c>
      <c r="G255" s="3">
        <v>0</v>
      </c>
      <c r="H255" s="8" t="s">
        <v>99</v>
      </c>
      <c r="I255" s="8" t="s">
        <v>52</v>
      </c>
      <c r="J255" s="8" t="s">
        <v>37</v>
      </c>
      <c r="K255" s="8" t="s">
        <v>17</v>
      </c>
      <c r="L255" s="8" t="s">
        <v>415</v>
      </c>
    </row>
    <row r="256" spans="1:12" x14ac:dyDescent="0.35">
      <c r="A256" s="11">
        <v>255</v>
      </c>
      <c r="B256" s="17">
        <v>45786.313923611109</v>
      </c>
      <c r="C256" s="18">
        <v>45786</v>
      </c>
      <c r="D256" s="10" t="s">
        <v>394</v>
      </c>
      <c r="E256" s="5">
        <v>0</v>
      </c>
      <c r="F256" s="15">
        <v>200</v>
      </c>
      <c r="G256" s="5">
        <v>200</v>
      </c>
      <c r="H256" s="10" t="s">
        <v>51</v>
      </c>
      <c r="I256" s="10" t="s">
        <v>71</v>
      </c>
      <c r="J256" s="10" t="s">
        <v>32</v>
      </c>
      <c r="K256" s="10" t="s">
        <v>17</v>
      </c>
      <c r="L256" s="10" t="s">
        <v>416</v>
      </c>
    </row>
    <row r="257" spans="1:12" x14ac:dyDescent="0.35">
      <c r="A257" s="9">
        <v>256</v>
      </c>
      <c r="B257" s="19">
        <v>45786.318113425928</v>
      </c>
      <c r="C257" s="20">
        <v>45786</v>
      </c>
      <c r="D257" s="8" t="s">
        <v>77</v>
      </c>
      <c r="E257" s="3">
        <v>0</v>
      </c>
      <c r="F257" s="13">
        <v>16000</v>
      </c>
      <c r="G257" s="3">
        <v>16000</v>
      </c>
      <c r="H257" s="8" t="s">
        <v>51</v>
      </c>
      <c r="I257" s="8" t="s">
        <v>71</v>
      </c>
      <c r="J257" s="8" t="s">
        <v>31</v>
      </c>
      <c r="K257" s="8" t="s">
        <v>17</v>
      </c>
      <c r="L257" s="8" t="s">
        <v>417</v>
      </c>
    </row>
    <row r="258" spans="1:12" x14ac:dyDescent="0.35">
      <c r="A258" s="11">
        <v>257</v>
      </c>
      <c r="B258" s="17">
        <v>45786.318136574067</v>
      </c>
      <c r="C258" s="18">
        <v>45786</v>
      </c>
      <c r="D258" s="10" t="s">
        <v>79</v>
      </c>
      <c r="E258" s="14">
        <v>50</v>
      </c>
      <c r="F258" s="5">
        <v>0</v>
      </c>
      <c r="G258" s="5">
        <v>15950</v>
      </c>
      <c r="H258" s="10" t="s">
        <v>51</v>
      </c>
      <c r="I258" s="10" t="s">
        <v>52</v>
      </c>
      <c r="J258" s="10" t="s">
        <v>36</v>
      </c>
      <c r="K258" s="10" t="s">
        <v>17</v>
      </c>
      <c r="L258" s="10" t="s">
        <v>418</v>
      </c>
    </row>
    <row r="259" spans="1:12" x14ac:dyDescent="0.35">
      <c r="A259" s="9">
        <v>258</v>
      </c>
      <c r="B259" s="19">
        <v>45786.550949074073</v>
      </c>
      <c r="C259" s="20">
        <v>45786</v>
      </c>
      <c r="D259" s="8" t="s">
        <v>77</v>
      </c>
      <c r="E259" s="3">
        <v>0</v>
      </c>
      <c r="F259" s="13">
        <v>80000</v>
      </c>
      <c r="G259" s="3">
        <v>95950</v>
      </c>
      <c r="H259" s="8" t="s">
        <v>51</v>
      </c>
      <c r="I259" s="8" t="s">
        <v>71</v>
      </c>
      <c r="J259" s="8" t="s">
        <v>31</v>
      </c>
      <c r="K259" s="8" t="s">
        <v>17</v>
      </c>
      <c r="L259" s="8" t="s">
        <v>419</v>
      </c>
    </row>
    <row r="260" spans="1:12" x14ac:dyDescent="0.35">
      <c r="A260" s="11">
        <v>259</v>
      </c>
      <c r="B260" s="17">
        <v>45786.55097222222</v>
      </c>
      <c r="C260" s="18">
        <v>45786</v>
      </c>
      <c r="D260" s="10" t="s">
        <v>79</v>
      </c>
      <c r="E260" s="14">
        <v>50</v>
      </c>
      <c r="F260" s="5">
        <v>0</v>
      </c>
      <c r="G260" s="5">
        <v>95900</v>
      </c>
      <c r="H260" s="10" t="s">
        <v>51</v>
      </c>
      <c r="I260" s="10" t="s">
        <v>52</v>
      </c>
      <c r="J260" s="10" t="s">
        <v>36</v>
      </c>
      <c r="K260" s="10" t="s">
        <v>17</v>
      </c>
      <c r="L260" s="10" t="s">
        <v>420</v>
      </c>
    </row>
    <row r="261" spans="1:12" x14ac:dyDescent="0.35">
      <c r="A261" s="9">
        <v>260</v>
      </c>
      <c r="B261" s="19">
        <v>45786.551736111112</v>
      </c>
      <c r="C261" s="20">
        <v>45786</v>
      </c>
      <c r="D261" s="8" t="s">
        <v>342</v>
      </c>
      <c r="E261" s="12">
        <v>50000</v>
      </c>
      <c r="F261" s="3">
        <v>0</v>
      </c>
      <c r="G261" s="3">
        <v>45900</v>
      </c>
      <c r="H261" s="8" t="s">
        <v>51</v>
      </c>
      <c r="I261" s="8" t="s">
        <v>52</v>
      </c>
      <c r="J261" s="8" t="s">
        <v>33</v>
      </c>
      <c r="K261" s="8" t="s">
        <v>17</v>
      </c>
      <c r="L261" s="8" t="s">
        <v>421</v>
      </c>
    </row>
    <row r="262" spans="1:12" x14ac:dyDescent="0.35">
      <c r="A262" s="11">
        <v>261</v>
      </c>
      <c r="B262" s="17">
        <v>45786.901562500003</v>
      </c>
      <c r="C262" s="18">
        <v>45786</v>
      </c>
      <c r="D262" s="10" t="s">
        <v>422</v>
      </c>
      <c r="E262" s="5">
        <v>0</v>
      </c>
      <c r="F262" s="15">
        <v>10000</v>
      </c>
      <c r="G262" s="5">
        <v>55900</v>
      </c>
      <c r="H262" s="10" t="s">
        <v>51</v>
      </c>
      <c r="I262" s="10" t="s">
        <v>71</v>
      </c>
      <c r="J262" s="10" t="s">
        <v>31</v>
      </c>
      <c r="K262" s="10" t="s">
        <v>17</v>
      </c>
      <c r="L262" s="10" t="s">
        <v>423</v>
      </c>
    </row>
    <row r="263" spans="1:12" x14ac:dyDescent="0.35">
      <c r="A263" s="9">
        <v>262</v>
      </c>
      <c r="B263" s="19">
        <v>45786.901631944442</v>
      </c>
      <c r="C263" s="20">
        <v>45786</v>
      </c>
      <c r="D263" s="8" t="s">
        <v>79</v>
      </c>
      <c r="E263" s="12">
        <v>50</v>
      </c>
      <c r="F263" s="3">
        <v>0</v>
      </c>
      <c r="G263" s="3">
        <v>55850</v>
      </c>
      <c r="H263" s="8" t="s">
        <v>51</v>
      </c>
      <c r="I263" s="8" t="s">
        <v>52</v>
      </c>
      <c r="J263" s="8" t="s">
        <v>36</v>
      </c>
      <c r="K263" s="8" t="s">
        <v>17</v>
      </c>
      <c r="L263" s="8" t="s">
        <v>424</v>
      </c>
    </row>
    <row r="264" spans="1:12" x14ac:dyDescent="0.35">
      <c r="A264" s="11">
        <v>263</v>
      </c>
      <c r="B264" s="17">
        <v>45786.926238425927</v>
      </c>
      <c r="C264" s="18">
        <v>45786</v>
      </c>
      <c r="D264" s="10" t="s">
        <v>342</v>
      </c>
      <c r="E264" s="14">
        <v>5000</v>
      </c>
      <c r="F264" s="5">
        <v>0</v>
      </c>
      <c r="G264" s="5">
        <v>50850</v>
      </c>
      <c r="H264" s="10" t="s">
        <v>51</v>
      </c>
      <c r="I264" s="10" t="s">
        <v>52</v>
      </c>
      <c r="J264" s="10" t="s">
        <v>33</v>
      </c>
      <c r="K264" s="10" t="s">
        <v>17</v>
      </c>
      <c r="L264" s="10" t="s">
        <v>425</v>
      </c>
    </row>
    <row r="265" spans="1:12" x14ac:dyDescent="0.35">
      <c r="A265" s="9">
        <v>264</v>
      </c>
      <c r="B265" s="19">
        <v>45786.930590277778</v>
      </c>
      <c r="C265" s="20">
        <v>45786</v>
      </c>
      <c r="D265" s="8" t="s">
        <v>426</v>
      </c>
      <c r="E265" s="12">
        <v>50850</v>
      </c>
      <c r="F265" s="3">
        <v>0</v>
      </c>
      <c r="G265" s="3">
        <v>0</v>
      </c>
      <c r="H265" s="8" t="s">
        <v>51</v>
      </c>
      <c r="I265" s="8" t="s">
        <v>52</v>
      </c>
      <c r="J265" s="8" t="s">
        <v>32</v>
      </c>
      <c r="K265" s="8" t="s">
        <v>17</v>
      </c>
      <c r="L265" s="8" t="s">
        <v>427</v>
      </c>
    </row>
    <row r="266" spans="1:12" x14ac:dyDescent="0.35">
      <c r="A266" s="11">
        <v>265</v>
      </c>
      <c r="B266" s="17">
        <v>45787.373773148152</v>
      </c>
      <c r="C266" s="18">
        <v>45787</v>
      </c>
      <c r="D266" s="10" t="s">
        <v>276</v>
      </c>
      <c r="E266" s="14">
        <v>900</v>
      </c>
      <c r="F266" s="5">
        <v>0</v>
      </c>
      <c r="G266" s="5">
        <v>0</v>
      </c>
      <c r="H266" s="10" t="s">
        <v>51</v>
      </c>
      <c r="I266" s="10" t="s">
        <v>52</v>
      </c>
      <c r="J266" s="10" t="s">
        <v>36</v>
      </c>
      <c r="K266" s="10" t="s">
        <v>17</v>
      </c>
      <c r="L266" s="10" t="s">
        <v>428</v>
      </c>
    </row>
    <row r="267" spans="1:12" x14ac:dyDescent="0.35">
      <c r="A267" s="9">
        <v>266</v>
      </c>
      <c r="B267" s="19">
        <v>45787.37394675926</v>
      </c>
      <c r="C267" s="20">
        <v>45787</v>
      </c>
      <c r="D267" s="8" t="s">
        <v>394</v>
      </c>
      <c r="E267" s="3">
        <v>0</v>
      </c>
      <c r="F267" s="13">
        <v>900</v>
      </c>
      <c r="G267" s="3">
        <v>900</v>
      </c>
      <c r="H267" s="8" t="s">
        <v>51</v>
      </c>
      <c r="I267" s="8" t="s">
        <v>71</v>
      </c>
      <c r="J267" s="8" t="s">
        <v>32</v>
      </c>
      <c r="K267" s="8" t="s">
        <v>17</v>
      </c>
      <c r="L267" s="8" t="s">
        <v>429</v>
      </c>
    </row>
    <row r="268" spans="1:12" x14ac:dyDescent="0.35">
      <c r="A268" s="11">
        <v>267</v>
      </c>
      <c r="B268" s="17">
        <v>45787.417037037027</v>
      </c>
      <c r="C268" s="18">
        <v>45787</v>
      </c>
      <c r="D268" s="10" t="s">
        <v>430</v>
      </c>
      <c r="E268" s="14">
        <v>7000</v>
      </c>
      <c r="F268" s="5">
        <v>0</v>
      </c>
      <c r="G268" s="5">
        <v>0</v>
      </c>
      <c r="H268" s="10" t="s">
        <v>51</v>
      </c>
      <c r="I268" s="10" t="s">
        <v>52</v>
      </c>
      <c r="J268" s="10" t="s">
        <v>30</v>
      </c>
      <c r="K268" s="10" t="s">
        <v>17</v>
      </c>
      <c r="L268" s="10" t="s">
        <v>431</v>
      </c>
    </row>
    <row r="269" spans="1:12" x14ac:dyDescent="0.35">
      <c r="A269" s="9">
        <v>268</v>
      </c>
      <c r="B269" s="19">
        <v>45787.417129629634</v>
      </c>
      <c r="C269" s="20">
        <v>45787</v>
      </c>
      <c r="D269" s="8" t="s">
        <v>394</v>
      </c>
      <c r="E269" s="3">
        <v>0</v>
      </c>
      <c r="F269" s="13">
        <v>7000</v>
      </c>
      <c r="G269" s="3">
        <v>7000</v>
      </c>
      <c r="H269" s="8" t="s">
        <v>51</v>
      </c>
      <c r="I269" s="8" t="s">
        <v>71</v>
      </c>
      <c r="J269" s="8" t="s">
        <v>32</v>
      </c>
      <c r="K269" s="8" t="s">
        <v>17</v>
      </c>
      <c r="L269" s="8" t="s">
        <v>432</v>
      </c>
    </row>
    <row r="270" spans="1:12" x14ac:dyDescent="0.35">
      <c r="A270" s="11">
        <v>269</v>
      </c>
      <c r="B270" s="17">
        <v>45787.658136574071</v>
      </c>
      <c r="C270" s="18">
        <v>45787</v>
      </c>
      <c r="D270" s="10" t="s">
        <v>433</v>
      </c>
      <c r="E270" s="14">
        <v>6000</v>
      </c>
      <c r="F270" s="5">
        <v>0</v>
      </c>
      <c r="G270" s="5">
        <v>0</v>
      </c>
      <c r="H270" s="10" t="s">
        <v>51</v>
      </c>
      <c r="I270" s="10" t="s">
        <v>52</v>
      </c>
      <c r="J270" s="10" t="s">
        <v>30</v>
      </c>
      <c r="K270" s="10" t="s">
        <v>17</v>
      </c>
      <c r="L270" s="10" t="s">
        <v>434</v>
      </c>
    </row>
    <row r="271" spans="1:12" x14ac:dyDescent="0.35">
      <c r="A271" s="9">
        <v>270</v>
      </c>
      <c r="B271" s="19">
        <v>45787.658217592587</v>
      </c>
      <c r="C271" s="20">
        <v>45787</v>
      </c>
      <c r="D271" s="8" t="s">
        <v>394</v>
      </c>
      <c r="E271" s="3">
        <v>0</v>
      </c>
      <c r="F271" s="13">
        <v>6000</v>
      </c>
      <c r="G271" s="3">
        <v>6000</v>
      </c>
      <c r="H271" s="8" t="s">
        <v>51</v>
      </c>
      <c r="I271" s="8" t="s">
        <v>71</v>
      </c>
      <c r="J271" s="8" t="s">
        <v>32</v>
      </c>
      <c r="K271" s="8" t="s">
        <v>17</v>
      </c>
      <c r="L271" s="8" t="s">
        <v>435</v>
      </c>
    </row>
    <row r="272" spans="1:12" x14ac:dyDescent="0.35">
      <c r="A272" s="11">
        <v>271</v>
      </c>
      <c r="B272" s="17">
        <v>45789.369895833333</v>
      </c>
      <c r="C272" s="18">
        <v>45789</v>
      </c>
      <c r="D272" s="10" t="s">
        <v>436</v>
      </c>
      <c r="E272" s="14">
        <v>3100</v>
      </c>
      <c r="F272" s="5">
        <v>0</v>
      </c>
      <c r="G272" s="5">
        <v>0</v>
      </c>
      <c r="H272" s="10" t="s">
        <v>51</v>
      </c>
      <c r="I272" s="10" t="s">
        <v>52</v>
      </c>
      <c r="J272" s="10" t="s">
        <v>30</v>
      </c>
      <c r="K272" s="10" t="s">
        <v>17</v>
      </c>
      <c r="L272" s="10" t="s">
        <v>437</v>
      </c>
    </row>
    <row r="273" spans="1:12" x14ac:dyDescent="0.35">
      <c r="A273" s="9">
        <v>272</v>
      </c>
      <c r="B273" s="19">
        <v>45789.36996527778</v>
      </c>
      <c r="C273" s="20">
        <v>45789</v>
      </c>
      <c r="D273" s="8" t="s">
        <v>394</v>
      </c>
      <c r="E273" s="3">
        <v>0</v>
      </c>
      <c r="F273" s="13">
        <v>3100</v>
      </c>
      <c r="G273" s="3">
        <v>3100</v>
      </c>
      <c r="H273" s="8" t="s">
        <v>51</v>
      </c>
      <c r="I273" s="8" t="s">
        <v>71</v>
      </c>
      <c r="J273" s="8" t="s">
        <v>32</v>
      </c>
      <c r="K273" s="8" t="s">
        <v>17</v>
      </c>
      <c r="L273" s="8" t="s">
        <v>438</v>
      </c>
    </row>
    <row r="274" spans="1:12" x14ac:dyDescent="0.35">
      <c r="A274" s="11">
        <v>273</v>
      </c>
      <c r="B274" s="17">
        <v>45789.422534722216</v>
      </c>
      <c r="C274" s="18">
        <v>45789</v>
      </c>
      <c r="D274" s="10" t="s">
        <v>439</v>
      </c>
      <c r="E274" s="14">
        <v>2000</v>
      </c>
      <c r="F274" s="5">
        <v>0</v>
      </c>
      <c r="G274" s="5">
        <v>0</v>
      </c>
      <c r="H274" s="10" t="s">
        <v>51</v>
      </c>
      <c r="I274" s="10" t="s">
        <v>52</v>
      </c>
      <c r="J274" s="10" t="s">
        <v>30</v>
      </c>
      <c r="K274" s="10" t="s">
        <v>17</v>
      </c>
      <c r="L274" s="10" t="s">
        <v>440</v>
      </c>
    </row>
    <row r="275" spans="1:12" x14ac:dyDescent="0.35">
      <c r="A275" s="9">
        <v>274</v>
      </c>
      <c r="B275" s="19">
        <v>45789.422615740739</v>
      </c>
      <c r="C275" s="20">
        <v>45789</v>
      </c>
      <c r="D275" s="8" t="s">
        <v>394</v>
      </c>
      <c r="E275" s="3">
        <v>0</v>
      </c>
      <c r="F275" s="13">
        <v>2000</v>
      </c>
      <c r="G275" s="3">
        <v>2000</v>
      </c>
      <c r="H275" s="8" t="s">
        <v>51</v>
      </c>
      <c r="I275" s="8" t="s">
        <v>71</v>
      </c>
      <c r="J275" s="8" t="s">
        <v>32</v>
      </c>
      <c r="K275" s="8" t="s">
        <v>17</v>
      </c>
      <c r="L275" s="8" t="s">
        <v>441</v>
      </c>
    </row>
    <row r="276" spans="1:12" x14ac:dyDescent="0.35">
      <c r="A276" s="11">
        <v>275</v>
      </c>
      <c r="B276" s="17">
        <v>45789.530717592592</v>
      </c>
      <c r="C276" s="18">
        <v>45789</v>
      </c>
      <c r="D276" s="10" t="s">
        <v>442</v>
      </c>
      <c r="E276" s="14">
        <v>2100</v>
      </c>
      <c r="F276" s="5">
        <v>0</v>
      </c>
      <c r="G276" s="5">
        <v>0</v>
      </c>
      <c r="H276" s="10" t="s">
        <v>51</v>
      </c>
      <c r="I276" s="10" t="s">
        <v>52</v>
      </c>
      <c r="J276" s="10" t="s">
        <v>30</v>
      </c>
      <c r="K276" s="10" t="s">
        <v>17</v>
      </c>
      <c r="L276" s="10" t="s">
        <v>443</v>
      </c>
    </row>
    <row r="277" spans="1:12" x14ac:dyDescent="0.35">
      <c r="A277" s="9">
        <v>276</v>
      </c>
      <c r="B277" s="19">
        <v>45789.530810185177</v>
      </c>
      <c r="C277" s="20">
        <v>45789</v>
      </c>
      <c r="D277" s="8" t="s">
        <v>394</v>
      </c>
      <c r="E277" s="3">
        <v>0</v>
      </c>
      <c r="F277" s="13">
        <v>2100</v>
      </c>
      <c r="G277" s="3">
        <v>2100</v>
      </c>
      <c r="H277" s="8" t="s">
        <v>51</v>
      </c>
      <c r="I277" s="8" t="s">
        <v>71</v>
      </c>
      <c r="J277" s="8" t="s">
        <v>32</v>
      </c>
      <c r="K277" s="8" t="s">
        <v>17</v>
      </c>
      <c r="L277" s="8" t="s">
        <v>444</v>
      </c>
    </row>
    <row r="278" spans="1:12" x14ac:dyDescent="0.35">
      <c r="A278" s="11">
        <v>277</v>
      </c>
      <c r="B278" s="17">
        <v>45789.740925925929</v>
      </c>
      <c r="C278" s="18">
        <v>45789</v>
      </c>
      <c r="D278" s="10" t="s">
        <v>236</v>
      </c>
      <c r="E278" s="14">
        <v>15000</v>
      </c>
      <c r="F278" s="5">
        <v>0</v>
      </c>
      <c r="G278" s="5">
        <v>0</v>
      </c>
      <c r="H278" s="10" t="s">
        <v>51</v>
      </c>
      <c r="I278" s="10" t="s">
        <v>52</v>
      </c>
      <c r="J278" s="10" t="s">
        <v>30</v>
      </c>
      <c r="K278" s="10" t="s">
        <v>17</v>
      </c>
      <c r="L278" s="10" t="s">
        <v>445</v>
      </c>
    </row>
    <row r="279" spans="1:12" x14ac:dyDescent="0.35">
      <c r="A279" s="9">
        <v>278</v>
      </c>
      <c r="B279" s="19">
        <v>45789.740995370368</v>
      </c>
      <c r="C279" s="20">
        <v>45789</v>
      </c>
      <c r="D279" s="8" t="s">
        <v>394</v>
      </c>
      <c r="E279" s="3">
        <v>0</v>
      </c>
      <c r="F279" s="13">
        <v>15000</v>
      </c>
      <c r="G279" s="3">
        <v>15000</v>
      </c>
      <c r="H279" s="8" t="s">
        <v>51</v>
      </c>
      <c r="I279" s="8" t="s">
        <v>71</v>
      </c>
      <c r="J279" s="8" t="s">
        <v>32</v>
      </c>
      <c r="K279" s="8" t="s">
        <v>17</v>
      </c>
      <c r="L279" s="8" t="s">
        <v>446</v>
      </c>
    </row>
    <row r="280" spans="1:12" x14ac:dyDescent="0.35">
      <c r="A280" s="11">
        <v>279</v>
      </c>
      <c r="B280" s="17">
        <v>45790.36109953704</v>
      </c>
      <c r="C280" s="18">
        <v>45790</v>
      </c>
      <c r="D280" s="10" t="s">
        <v>447</v>
      </c>
      <c r="E280" s="14">
        <v>1500</v>
      </c>
      <c r="F280" s="5">
        <v>0</v>
      </c>
      <c r="G280" s="5">
        <v>0</v>
      </c>
      <c r="H280" s="10" t="s">
        <v>51</v>
      </c>
      <c r="I280" s="10" t="s">
        <v>52</v>
      </c>
      <c r="J280" s="10" t="s">
        <v>30</v>
      </c>
      <c r="K280" s="10" t="s">
        <v>17</v>
      </c>
      <c r="L280" s="10" t="s">
        <v>448</v>
      </c>
    </row>
    <row r="281" spans="1:12" x14ac:dyDescent="0.35">
      <c r="A281" s="9">
        <v>280</v>
      </c>
      <c r="B281" s="19">
        <v>45790.361168981479</v>
      </c>
      <c r="C281" s="20">
        <v>45790</v>
      </c>
      <c r="D281" s="8" t="s">
        <v>394</v>
      </c>
      <c r="E281" s="3">
        <v>0</v>
      </c>
      <c r="F281" s="13">
        <v>1500</v>
      </c>
      <c r="G281" s="3">
        <v>1500</v>
      </c>
      <c r="H281" s="8" t="s">
        <v>51</v>
      </c>
      <c r="I281" s="8" t="s">
        <v>71</v>
      </c>
      <c r="J281" s="8" t="s">
        <v>32</v>
      </c>
      <c r="K281" s="8" t="s">
        <v>17</v>
      </c>
      <c r="L281" s="8" t="s">
        <v>449</v>
      </c>
    </row>
    <row r="282" spans="1:12" x14ac:dyDescent="0.35">
      <c r="A282" s="11">
        <v>281</v>
      </c>
      <c r="B282" s="17">
        <v>45790.52443287037</v>
      </c>
      <c r="C282" s="18">
        <v>45790</v>
      </c>
      <c r="D282" s="10" t="s">
        <v>450</v>
      </c>
      <c r="E282" s="5">
        <v>0</v>
      </c>
      <c r="F282" s="15">
        <v>60000</v>
      </c>
      <c r="G282" s="5">
        <v>60000</v>
      </c>
      <c r="H282" s="10" t="s">
        <v>51</v>
      </c>
      <c r="I282" s="10" t="s">
        <v>71</v>
      </c>
      <c r="J282" s="10" t="s">
        <v>31</v>
      </c>
      <c r="K282" s="10" t="s">
        <v>17</v>
      </c>
      <c r="L282" s="10" t="s">
        <v>451</v>
      </c>
    </row>
    <row r="283" spans="1:12" x14ac:dyDescent="0.35">
      <c r="A283" s="9">
        <v>282</v>
      </c>
      <c r="B283" s="19">
        <v>45790.524444444447</v>
      </c>
      <c r="C283" s="20">
        <v>45790</v>
      </c>
      <c r="D283" s="8" t="s">
        <v>79</v>
      </c>
      <c r="E283" s="12">
        <v>50</v>
      </c>
      <c r="F283" s="3">
        <v>0</v>
      </c>
      <c r="G283" s="3">
        <v>59950</v>
      </c>
      <c r="H283" s="8" t="s">
        <v>51</v>
      </c>
      <c r="I283" s="8" t="s">
        <v>52</v>
      </c>
      <c r="J283" s="8" t="s">
        <v>36</v>
      </c>
      <c r="K283" s="8" t="s">
        <v>17</v>
      </c>
      <c r="L283" s="8" t="s">
        <v>452</v>
      </c>
    </row>
    <row r="284" spans="1:12" x14ac:dyDescent="0.35">
      <c r="A284" s="11">
        <v>283</v>
      </c>
      <c r="B284" s="17">
        <v>45790.525590277779</v>
      </c>
      <c r="C284" s="18">
        <v>45790</v>
      </c>
      <c r="D284" s="10" t="s">
        <v>342</v>
      </c>
      <c r="E284" s="14">
        <v>40000</v>
      </c>
      <c r="F284" s="5">
        <v>0</v>
      </c>
      <c r="G284" s="5">
        <v>19950</v>
      </c>
      <c r="H284" s="10" t="s">
        <v>51</v>
      </c>
      <c r="I284" s="10" t="s">
        <v>52</v>
      </c>
      <c r="J284" s="10" t="s">
        <v>33</v>
      </c>
      <c r="K284" s="10" t="s">
        <v>17</v>
      </c>
      <c r="L284" s="10" t="s">
        <v>453</v>
      </c>
    </row>
    <row r="285" spans="1:12" x14ac:dyDescent="0.35">
      <c r="A285" s="9">
        <v>284</v>
      </c>
      <c r="B285" s="19">
        <v>45790.552129629628</v>
      </c>
      <c r="C285" s="20">
        <v>45790</v>
      </c>
      <c r="D285" s="8" t="s">
        <v>454</v>
      </c>
      <c r="E285" s="12">
        <v>1927.75</v>
      </c>
      <c r="F285" s="3">
        <v>0</v>
      </c>
      <c r="G285" s="3">
        <v>18022.25</v>
      </c>
      <c r="H285" s="8" t="s">
        <v>51</v>
      </c>
      <c r="I285" s="8" t="s">
        <v>52</v>
      </c>
      <c r="J285" s="8" t="s">
        <v>36</v>
      </c>
      <c r="K285" s="8" t="s">
        <v>17</v>
      </c>
      <c r="L285" s="8" t="s">
        <v>455</v>
      </c>
    </row>
    <row r="286" spans="1:12" x14ac:dyDescent="0.35">
      <c r="A286" s="11">
        <v>285</v>
      </c>
      <c r="B286" s="17">
        <v>45790.55300925926</v>
      </c>
      <c r="C286" s="18">
        <v>45790</v>
      </c>
      <c r="D286" s="10" t="s">
        <v>454</v>
      </c>
      <c r="E286" s="14">
        <v>1000</v>
      </c>
      <c r="F286" s="5">
        <v>0</v>
      </c>
      <c r="G286" s="5">
        <v>17022.25</v>
      </c>
      <c r="H286" s="10" t="s">
        <v>51</v>
      </c>
      <c r="I286" s="10" t="s">
        <v>52</v>
      </c>
      <c r="J286" s="10" t="s">
        <v>36</v>
      </c>
      <c r="K286" s="10" t="s">
        <v>17</v>
      </c>
      <c r="L286" s="10" t="s">
        <v>456</v>
      </c>
    </row>
    <row r="287" spans="1:12" x14ac:dyDescent="0.35">
      <c r="A287" s="9">
        <v>286</v>
      </c>
      <c r="B287" s="19">
        <v>45790.930555555547</v>
      </c>
      <c r="C287" s="20">
        <v>45790</v>
      </c>
      <c r="D287" s="8" t="s">
        <v>426</v>
      </c>
      <c r="E287" s="12">
        <v>17022.25</v>
      </c>
      <c r="F287" s="3">
        <v>0</v>
      </c>
      <c r="G287" s="3">
        <v>0</v>
      </c>
      <c r="H287" s="8" t="s">
        <v>51</v>
      </c>
      <c r="I287" s="8" t="s">
        <v>52</v>
      </c>
      <c r="J287" s="8" t="s">
        <v>32</v>
      </c>
      <c r="K287" s="8" t="s">
        <v>17</v>
      </c>
      <c r="L287" s="8" t="s">
        <v>457</v>
      </c>
    </row>
    <row r="288" spans="1:12" x14ac:dyDescent="0.35">
      <c r="A288" s="11">
        <v>287</v>
      </c>
      <c r="B288" s="17">
        <v>45791.5934837963</v>
      </c>
      <c r="C288" s="18">
        <v>45791</v>
      </c>
      <c r="D288" s="10" t="s">
        <v>458</v>
      </c>
      <c r="E288" s="14">
        <v>2500</v>
      </c>
      <c r="F288" s="5">
        <v>0</v>
      </c>
      <c r="G288" s="5">
        <v>0</v>
      </c>
      <c r="H288" s="10" t="s">
        <v>51</v>
      </c>
      <c r="I288" s="10" t="s">
        <v>52</v>
      </c>
      <c r="J288" s="10" t="s">
        <v>30</v>
      </c>
      <c r="K288" s="10" t="s">
        <v>17</v>
      </c>
      <c r="L288" s="10" t="s">
        <v>459</v>
      </c>
    </row>
    <row r="289" spans="1:12" x14ac:dyDescent="0.35">
      <c r="A289" s="9">
        <v>288</v>
      </c>
      <c r="B289" s="19">
        <v>45791.593553240738</v>
      </c>
      <c r="C289" s="20">
        <v>45791</v>
      </c>
      <c r="D289" s="8" t="s">
        <v>394</v>
      </c>
      <c r="E289" s="3">
        <v>0</v>
      </c>
      <c r="F289" s="13">
        <v>2500</v>
      </c>
      <c r="G289" s="3">
        <v>2500</v>
      </c>
      <c r="H289" s="8" t="s">
        <v>51</v>
      </c>
      <c r="I289" s="8" t="s">
        <v>71</v>
      </c>
      <c r="J289" s="8" t="s">
        <v>32</v>
      </c>
      <c r="K289" s="8" t="s">
        <v>17</v>
      </c>
      <c r="L289" s="8" t="s">
        <v>460</v>
      </c>
    </row>
    <row r="290" spans="1:12" x14ac:dyDescent="0.35">
      <c r="A290" s="11">
        <v>289</v>
      </c>
      <c r="B290" s="17">
        <v>45791.624652777777</v>
      </c>
      <c r="C290" s="18">
        <v>45791</v>
      </c>
      <c r="D290" s="10" t="s">
        <v>461</v>
      </c>
      <c r="E290" s="14">
        <v>1650</v>
      </c>
      <c r="F290" s="5">
        <v>0</v>
      </c>
      <c r="G290" s="5">
        <v>0</v>
      </c>
      <c r="H290" s="10" t="s">
        <v>51</v>
      </c>
      <c r="I290" s="10" t="s">
        <v>52</v>
      </c>
      <c r="J290" s="10" t="s">
        <v>30</v>
      </c>
      <c r="K290" s="10" t="s">
        <v>17</v>
      </c>
      <c r="L290" s="10" t="s">
        <v>462</v>
      </c>
    </row>
    <row r="291" spans="1:12" x14ac:dyDescent="0.35">
      <c r="A291" s="9">
        <v>290</v>
      </c>
      <c r="B291" s="19">
        <v>45791.624722222223</v>
      </c>
      <c r="C291" s="20">
        <v>45791</v>
      </c>
      <c r="D291" s="8" t="s">
        <v>394</v>
      </c>
      <c r="E291" s="3">
        <v>0</v>
      </c>
      <c r="F291" s="13">
        <v>1650</v>
      </c>
      <c r="G291" s="3">
        <v>1650</v>
      </c>
      <c r="H291" s="8" t="s">
        <v>51</v>
      </c>
      <c r="I291" s="8" t="s">
        <v>71</v>
      </c>
      <c r="J291" s="8" t="s">
        <v>32</v>
      </c>
      <c r="K291" s="8" t="s">
        <v>17</v>
      </c>
      <c r="L291" s="8" t="s">
        <v>463</v>
      </c>
    </row>
    <row r="292" spans="1:12" x14ac:dyDescent="0.35">
      <c r="A292" s="11">
        <v>291</v>
      </c>
      <c r="B292" s="17">
        <v>45791.726678240739</v>
      </c>
      <c r="C292" s="18">
        <v>45791</v>
      </c>
      <c r="D292" s="10" t="s">
        <v>464</v>
      </c>
      <c r="E292" s="14">
        <v>3100</v>
      </c>
      <c r="F292" s="5">
        <v>0</v>
      </c>
      <c r="G292" s="5">
        <v>0</v>
      </c>
      <c r="H292" s="10" t="s">
        <v>51</v>
      </c>
      <c r="I292" s="10" t="s">
        <v>52</v>
      </c>
      <c r="J292" s="10" t="s">
        <v>30</v>
      </c>
      <c r="K292" s="10" t="s">
        <v>17</v>
      </c>
      <c r="L292" s="10" t="s">
        <v>465</v>
      </c>
    </row>
    <row r="293" spans="1:12" x14ac:dyDescent="0.35">
      <c r="A293" s="9">
        <v>292</v>
      </c>
      <c r="B293" s="19">
        <v>45791.726793981477</v>
      </c>
      <c r="C293" s="20">
        <v>45791</v>
      </c>
      <c r="D293" s="8" t="s">
        <v>394</v>
      </c>
      <c r="E293" s="3">
        <v>0</v>
      </c>
      <c r="F293" s="13">
        <v>3100</v>
      </c>
      <c r="G293" s="3">
        <v>3100</v>
      </c>
      <c r="H293" s="8" t="s">
        <v>51</v>
      </c>
      <c r="I293" s="8" t="s">
        <v>71</v>
      </c>
      <c r="J293" s="8" t="s">
        <v>32</v>
      </c>
      <c r="K293" s="8" t="s">
        <v>17</v>
      </c>
      <c r="L293" s="8" t="s">
        <v>466</v>
      </c>
    </row>
    <row r="294" spans="1:12" x14ac:dyDescent="0.35">
      <c r="A294" s="11">
        <v>293</v>
      </c>
      <c r="B294" s="17">
        <v>45792.352152777778</v>
      </c>
      <c r="C294" s="18">
        <v>45792</v>
      </c>
      <c r="D294" s="10" t="s">
        <v>342</v>
      </c>
      <c r="E294" s="14">
        <v>500</v>
      </c>
      <c r="F294" s="5">
        <v>0</v>
      </c>
      <c r="G294" s="5">
        <v>0</v>
      </c>
      <c r="H294" s="10" t="s">
        <v>51</v>
      </c>
      <c r="I294" s="10" t="s">
        <v>52</v>
      </c>
      <c r="J294" s="10" t="s">
        <v>33</v>
      </c>
      <c r="K294" s="10" t="s">
        <v>17</v>
      </c>
      <c r="L294" s="10" t="s">
        <v>467</v>
      </c>
    </row>
    <row r="295" spans="1:12" x14ac:dyDescent="0.35">
      <c r="A295" s="9">
        <v>294</v>
      </c>
      <c r="B295" s="19">
        <v>45792.352233796293</v>
      </c>
      <c r="C295" s="20">
        <v>45792</v>
      </c>
      <c r="D295" s="8" t="s">
        <v>394</v>
      </c>
      <c r="E295" s="3">
        <v>0</v>
      </c>
      <c r="F295" s="13">
        <v>500</v>
      </c>
      <c r="G295" s="3">
        <v>500</v>
      </c>
      <c r="H295" s="8" t="s">
        <v>51</v>
      </c>
      <c r="I295" s="8" t="s">
        <v>71</v>
      </c>
      <c r="J295" s="8" t="s">
        <v>32</v>
      </c>
      <c r="K295" s="8" t="s">
        <v>17</v>
      </c>
      <c r="L295" s="8" t="s">
        <v>468</v>
      </c>
    </row>
    <row r="296" spans="1:12" x14ac:dyDescent="0.35">
      <c r="A296" s="11">
        <v>295</v>
      </c>
      <c r="B296" s="17">
        <v>45792.8828587963</v>
      </c>
      <c r="C296" s="18">
        <v>45792</v>
      </c>
      <c r="D296" s="10" t="s">
        <v>469</v>
      </c>
      <c r="E296" s="14">
        <v>1010.75</v>
      </c>
      <c r="F296" s="5">
        <v>0</v>
      </c>
      <c r="G296" s="5">
        <v>0</v>
      </c>
      <c r="H296" s="10" t="s">
        <v>51</v>
      </c>
      <c r="I296" s="10" t="s">
        <v>52</v>
      </c>
      <c r="J296" s="10" t="s">
        <v>30</v>
      </c>
      <c r="K296" s="10" t="s">
        <v>17</v>
      </c>
      <c r="L296" s="10" t="s">
        <v>470</v>
      </c>
    </row>
    <row r="297" spans="1:12" x14ac:dyDescent="0.35">
      <c r="A297" s="9">
        <v>296</v>
      </c>
      <c r="B297" s="19">
        <v>45792.882928240739</v>
      </c>
      <c r="C297" s="20">
        <v>45792</v>
      </c>
      <c r="D297" s="8" t="s">
        <v>394</v>
      </c>
      <c r="E297" s="3">
        <v>0</v>
      </c>
      <c r="F297" s="13">
        <v>1010.75</v>
      </c>
      <c r="G297" s="3">
        <v>1010.75</v>
      </c>
      <c r="H297" s="8" t="s">
        <v>51</v>
      </c>
      <c r="I297" s="8" t="s">
        <v>71</v>
      </c>
      <c r="J297" s="8" t="s">
        <v>32</v>
      </c>
      <c r="K297" s="8" t="s">
        <v>17</v>
      </c>
      <c r="L297" s="8" t="s">
        <v>471</v>
      </c>
    </row>
    <row r="298" spans="1:12" x14ac:dyDescent="0.35">
      <c r="A298" s="11">
        <v>297</v>
      </c>
      <c r="B298" s="17">
        <v>45792.886747685188</v>
      </c>
      <c r="C298" s="18">
        <v>45792</v>
      </c>
      <c r="D298" s="10" t="s">
        <v>472</v>
      </c>
      <c r="E298" s="14">
        <v>1010.75</v>
      </c>
      <c r="F298" s="5">
        <v>0</v>
      </c>
      <c r="G298" s="5">
        <v>0</v>
      </c>
      <c r="H298" s="10" t="s">
        <v>51</v>
      </c>
      <c r="I298" s="10" t="s">
        <v>52</v>
      </c>
      <c r="J298" s="10" t="s">
        <v>30</v>
      </c>
      <c r="K298" s="10" t="s">
        <v>17</v>
      </c>
      <c r="L298" s="10" t="s">
        <v>473</v>
      </c>
    </row>
    <row r="299" spans="1:12" x14ac:dyDescent="0.35">
      <c r="A299" s="9">
        <v>298</v>
      </c>
      <c r="B299" s="19">
        <v>45792.886840277781</v>
      </c>
      <c r="C299" s="20">
        <v>45792</v>
      </c>
      <c r="D299" s="8" t="s">
        <v>394</v>
      </c>
      <c r="E299" s="3">
        <v>0</v>
      </c>
      <c r="F299" s="13">
        <v>1010.75</v>
      </c>
      <c r="G299" s="3">
        <v>1010.75</v>
      </c>
      <c r="H299" s="8" t="s">
        <v>51</v>
      </c>
      <c r="I299" s="8" t="s">
        <v>71</v>
      </c>
      <c r="J299" s="8" t="s">
        <v>32</v>
      </c>
      <c r="K299" s="8" t="s">
        <v>17</v>
      </c>
      <c r="L299" s="8" t="s">
        <v>474</v>
      </c>
    </row>
    <row r="300" spans="1:12" x14ac:dyDescent="0.35">
      <c r="A300" s="11">
        <v>299</v>
      </c>
      <c r="B300" s="17">
        <v>45792.910624999997</v>
      </c>
      <c r="C300" s="18">
        <v>45792</v>
      </c>
      <c r="D300" s="10" t="s">
        <v>475</v>
      </c>
      <c r="E300" s="5">
        <v>0</v>
      </c>
      <c r="F300" s="15">
        <v>2000</v>
      </c>
      <c r="G300" s="5">
        <v>2000</v>
      </c>
      <c r="H300" s="10" t="s">
        <v>51</v>
      </c>
      <c r="I300" s="10" t="s">
        <v>71</v>
      </c>
      <c r="J300" s="10" t="s">
        <v>31</v>
      </c>
      <c r="K300" s="10" t="s">
        <v>17</v>
      </c>
      <c r="L300" s="10" t="s">
        <v>476</v>
      </c>
    </row>
    <row r="301" spans="1:12" x14ac:dyDescent="0.35">
      <c r="A301" s="9">
        <v>300</v>
      </c>
      <c r="B301" s="19">
        <v>45792.931006944447</v>
      </c>
      <c r="C301" s="20">
        <v>45792</v>
      </c>
      <c r="D301" s="8" t="s">
        <v>426</v>
      </c>
      <c r="E301" s="12">
        <v>2000</v>
      </c>
      <c r="F301" s="3">
        <v>0</v>
      </c>
      <c r="G301" s="3">
        <v>0</v>
      </c>
      <c r="H301" s="8" t="s">
        <v>51</v>
      </c>
      <c r="I301" s="8" t="s">
        <v>52</v>
      </c>
      <c r="J301" s="8" t="s">
        <v>32</v>
      </c>
      <c r="K301" s="8" t="s">
        <v>17</v>
      </c>
      <c r="L301" s="8" t="s">
        <v>477</v>
      </c>
    </row>
    <row r="302" spans="1:12" x14ac:dyDescent="0.35">
      <c r="A302" s="11">
        <v>301</v>
      </c>
      <c r="B302" s="17">
        <v>45793.212222222217</v>
      </c>
      <c r="C302" s="18">
        <v>45793</v>
      </c>
      <c r="D302" s="10" t="s">
        <v>394</v>
      </c>
      <c r="E302" s="5">
        <v>0</v>
      </c>
      <c r="F302" s="15">
        <v>500</v>
      </c>
      <c r="G302" s="5">
        <v>500</v>
      </c>
      <c r="H302" s="10" t="s">
        <v>51</v>
      </c>
      <c r="I302" s="10" t="s">
        <v>71</v>
      </c>
      <c r="J302" s="10" t="s">
        <v>32</v>
      </c>
      <c r="K302" s="10" t="s">
        <v>17</v>
      </c>
      <c r="L302" s="10" t="s">
        <v>478</v>
      </c>
    </row>
    <row r="303" spans="1:12" x14ac:dyDescent="0.35">
      <c r="A303" s="9">
        <v>302</v>
      </c>
      <c r="B303" s="19">
        <v>45793.212222222217</v>
      </c>
      <c r="C303" s="20">
        <v>45793</v>
      </c>
      <c r="D303" s="8" t="s">
        <v>342</v>
      </c>
      <c r="E303" s="12">
        <v>500</v>
      </c>
      <c r="F303" s="3">
        <v>0</v>
      </c>
      <c r="G303" s="3">
        <v>0</v>
      </c>
      <c r="H303" s="8" t="s">
        <v>51</v>
      </c>
      <c r="I303" s="8" t="s">
        <v>52</v>
      </c>
      <c r="J303" s="8" t="s">
        <v>33</v>
      </c>
      <c r="K303" s="8" t="s">
        <v>17</v>
      </c>
      <c r="L303" s="8" t="s">
        <v>479</v>
      </c>
    </row>
    <row r="304" spans="1:12" x14ac:dyDescent="0.35">
      <c r="A304" s="11">
        <v>303</v>
      </c>
      <c r="B304" s="17">
        <v>45793.393807870372</v>
      </c>
      <c r="C304" s="18">
        <v>45793</v>
      </c>
      <c r="D304" s="10" t="s">
        <v>480</v>
      </c>
      <c r="E304" s="14">
        <v>2300.08</v>
      </c>
      <c r="F304" s="5">
        <v>0</v>
      </c>
      <c r="G304" s="5">
        <v>0</v>
      </c>
      <c r="H304" s="10" t="s">
        <v>51</v>
      </c>
      <c r="I304" s="10" t="s">
        <v>52</v>
      </c>
      <c r="J304" s="10" t="s">
        <v>30</v>
      </c>
      <c r="K304" s="10" t="s">
        <v>17</v>
      </c>
      <c r="L304" s="10" t="s">
        <v>481</v>
      </c>
    </row>
    <row r="305" spans="1:12" x14ac:dyDescent="0.35">
      <c r="A305" s="9">
        <v>304</v>
      </c>
      <c r="B305" s="19">
        <v>45793.393888888888</v>
      </c>
      <c r="C305" s="20">
        <v>45793</v>
      </c>
      <c r="D305" s="8" t="s">
        <v>394</v>
      </c>
      <c r="E305" s="3">
        <v>0</v>
      </c>
      <c r="F305" s="13">
        <v>2300.08</v>
      </c>
      <c r="G305" s="3">
        <v>2300.08</v>
      </c>
      <c r="H305" s="8" t="s">
        <v>51</v>
      </c>
      <c r="I305" s="8" t="s">
        <v>71</v>
      </c>
      <c r="J305" s="8" t="s">
        <v>32</v>
      </c>
      <c r="K305" s="8" t="s">
        <v>17</v>
      </c>
      <c r="L305" s="8" t="s">
        <v>482</v>
      </c>
    </row>
    <row r="306" spans="1:12" x14ac:dyDescent="0.35">
      <c r="A306" s="11">
        <v>305</v>
      </c>
      <c r="B306" s="17">
        <v>45794.212187500001</v>
      </c>
      <c r="C306" s="18">
        <v>45794</v>
      </c>
      <c r="D306" s="10" t="s">
        <v>394</v>
      </c>
      <c r="E306" s="5">
        <v>0</v>
      </c>
      <c r="F306" s="15">
        <v>500</v>
      </c>
      <c r="G306" s="5">
        <v>500</v>
      </c>
      <c r="H306" s="10" t="s">
        <v>51</v>
      </c>
      <c r="I306" s="10" t="s">
        <v>71</v>
      </c>
      <c r="J306" s="10" t="s">
        <v>32</v>
      </c>
      <c r="K306" s="10" t="s">
        <v>17</v>
      </c>
      <c r="L306" s="10" t="s">
        <v>483</v>
      </c>
    </row>
    <row r="307" spans="1:12" x14ac:dyDescent="0.35">
      <c r="A307" s="9">
        <v>306</v>
      </c>
      <c r="B307" s="19">
        <v>45794.212187500001</v>
      </c>
      <c r="C307" s="20">
        <v>45794</v>
      </c>
      <c r="D307" s="8" t="s">
        <v>342</v>
      </c>
      <c r="E307" s="12">
        <v>500</v>
      </c>
      <c r="F307" s="3">
        <v>0</v>
      </c>
      <c r="G307" s="3">
        <v>0</v>
      </c>
      <c r="H307" s="8" t="s">
        <v>51</v>
      </c>
      <c r="I307" s="8" t="s">
        <v>52</v>
      </c>
      <c r="J307" s="8" t="s">
        <v>33</v>
      </c>
      <c r="K307" s="8" t="s">
        <v>17</v>
      </c>
      <c r="L307" s="8" t="s">
        <v>484</v>
      </c>
    </row>
    <row r="308" spans="1:12" x14ac:dyDescent="0.35">
      <c r="A308" s="11">
        <v>307</v>
      </c>
      <c r="B308" s="17">
        <v>45794.46429398148</v>
      </c>
      <c r="C308" s="18">
        <v>45794</v>
      </c>
      <c r="D308" s="10" t="s">
        <v>485</v>
      </c>
      <c r="E308" s="14">
        <v>500</v>
      </c>
      <c r="F308" s="5">
        <v>0</v>
      </c>
      <c r="G308" s="5">
        <v>0</v>
      </c>
      <c r="H308" s="10" t="s">
        <v>51</v>
      </c>
      <c r="I308" s="10" t="s">
        <v>52</v>
      </c>
      <c r="J308" s="10" t="s">
        <v>36</v>
      </c>
      <c r="K308" s="10" t="s">
        <v>17</v>
      </c>
      <c r="L308" s="10" t="s">
        <v>486</v>
      </c>
    </row>
    <row r="309" spans="1:12" x14ac:dyDescent="0.35">
      <c r="A309" s="9">
        <v>308</v>
      </c>
      <c r="B309" s="19">
        <v>45794.464409722219</v>
      </c>
      <c r="C309" s="20">
        <v>45794</v>
      </c>
      <c r="D309" s="8" t="s">
        <v>394</v>
      </c>
      <c r="E309" s="3">
        <v>0</v>
      </c>
      <c r="F309" s="13">
        <v>500</v>
      </c>
      <c r="G309" s="3">
        <v>500</v>
      </c>
      <c r="H309" s="8" t="s">
        <v>51</v>
      </c>
      <c r="I309" s="8" t="s">
        <v>71</v>
      </c>
      <c r="J309" s="8" t="s">
        <v>32</v>
      </c>
      <c r="K309" s="8" t="s">
        <v>17</v>
      </c>
      <c r="L309" s="8" t="s">
        <v>487</v>
      </c>
    </row>
    <row r="310" spans="1:12" x14ac:dyDescent="0.35">
      <c r="A310" s="11">
        <v>309</v>
      </c>
      <c r="B310" s="17">
        <v>45794.466377314813</v>
      </c>
      <c r="C310" s="18">
        <v>45794</v>
      </c>
      <c r="D310" s="10" t="s">
        <v>488</v>
      </c>
      <c r="E310" s="14">
        <v>10000</v>
      </c>
      <c r="F310" s="5">
        <v>0</v>
      </c>
      <c r="G310" s="5">
        <v>0</v>
      </c>
      <c r="H310" s="10" t="s">
        <v>51</v>
      </c>
      <c r="I310" s="10" t="s">
        <v>52</v>
      </c>
      <c r="J310" s="10" t="s">
        <v>30</v>
      </c>
      <c r="K310" s="10" t="s">
        <v>17</v>
      </c>
      <c r="L310" s="10" t="s">
        <v>489</v>
      </c>
    </row>
    <row r="311" spans="1:12" x14ac:dyDescent="0.35">
      <c r="A311" s="9">
        <v>310</v>
      </c>
      <c r="B311" s="19">
        <v>45794.466469907413</v>
      </c>
      <c r="C311" s="20">
        <v>45794</v>
      </c>
      <c r="D311" s="8" t="s">
        <v>394</v>
      </c>
      <c r="E311" s="3">
        <v>0</v>
      </c>
      <c r="F311" s="13">
        <v>10000</v>
      </c>
      <c r="G311" s="3">
        <v>10000</v>
      </c>
      <c r="H311" s="8" t="s">
        <v>51</v>
      </c>
      <c r="I311" s="8" t="s">
        <v>71</v>
      </c>
      <c r="J311" s="8" t="s">
        <v>32</v>
      </c>
      <c r="K311" s="8" t="s">
        <v>17</v>
      </c>
      <c r="L311" s="8" t="s">
        <v>490</v>
      </c>
    </row>
    <row r="312" spans="1:12" x14ac:dyDescent="0.35">
      <c r="A312" s="11">
        <v>311</v>
      </c>
      <c r="B312" s="17">
        <v>45794.487453703703</v>
      </c>
      <c r="C312" s="18">
        <v>45794</v>
      </c>
      <c r="D312" s="10" t="s">
        <v>491</v>
      </c>
      <c r="E312" s="14">
        <v>7650</v>
      </c>
      <c r="F312" s="5">
        <v>0</v>
      </c>
      <c r="G312" s="5">
        <v>0</v>
      </c>
      <c r="H312" s="10" t="s">
        <v>51</v>
      </c>
      <c r="I312" s="10" t="s">
        <v>52</v>
      </c>
      <c r="J312" s="10" t="s">
        <v>30</v>
      </c>
      <c r="K312" s="10" t="s">
        <v>17</v>
      </c>
      <c r="L312" s="10" t="s">
        <v>492</v>
      </c>
    </row>
    <row r="313" spans="1:12" x14ac:dyDescent="0.35">
      <c r="A313" s="9">
        <v>312</v>
      </c>
      <c r="B313" s="19">
        <v>45794.487523148149</v>
      </c>
      <c r="C313" s="20">
        <v>45794</v>
      </c>
      <c r="D313" s="8" t="s">
        <v>394</v>
      </c>
      <c r="E313" s="3">
        <v>0</v>
      </c>
      <c r="F313" s="13">
        <v>7650</v>
      </c>
      <c r="G313" s="3">
        <v>7650</v>
      </c>
      <c r="H313" s="8" t="s">
        <v>51</v>
      </c>
      <c r="I313" s="8" t="s">
        <v>71</v>
      </c>
      <c r="J313" s="8" t="s">
        <v>32</v>
      </c>
      <c r="K313" s="8" t="s">
        <v>17</v>
      </c>
      <c r="L313" s="8" t="s">
        <v>493</v>
      </c>
    </row>
    <row r="314" spans="1:12" x14ac:dyDescent="0.35">
      <c r="A314" s="11">
        <v>313</v>
      </c>
      <c r="B314" s="17">
        <v>45795.37259259259</v>
      </c>
      <c r="C314" s="18">
        <v>45795</v>
      </c>
      <c r="D314" s="10" t="s">
        <v>488</v>
      </c>
      <c r="E314" s="14">
        <v>2500</v>
      </c>
      <c r="F314" s="5">
        <v>0</v>
      </c>
      <c r="G314" s="5">
        <v>0</v>
      </c>
      <c r="H314" s="10" t="s">
        <v>51</v>
      </c>
      <c r="I314" s="10" t="s">
        <v>52</v>
      </c>
      <c r="J314" s="10" t="s">
        <v>30</v>
      </c>
      <c r="K314" s="10" t="s">
        <v>17</v>
      </c>
      <c r="L314" s="10" t="s">
        <v>494</v>
      </c>
    </row>
    <row r="315" spans="1:12" x14ac:dyDescent="0.35">
      <c r="A315" s="9">
        <v>314</v>
      </c>
      <c r="B315" s="19">
        <v>45795.372708333343</v>
      </c>
      <c r="C315" s="20">
        <v>45795</v>
      </c>
      <c r="D315" s="8" t="s">
        <v>394</v>
      </c>
      <c r="E315" s="3">
        <v>0</v>
      </c>
      <c r="F315" s="13">
        <v>2500</v>
      </c>
      <c r="G315" s="3">
        <v>2500</v>
      </c>
      <c r="H315" s="8" t="s">
        <v>51</v>
      </c>
      <c r="I315" s="8" t="s">
        <v>71</v>
      </c>
      <c r="J315" s="8" t="s">
        <v>32</v>
      </c>
      <c r="K315" s="8" t="s">
        <v>17</v>
      </c>
      <c r="L315" s="8" t="s">
        <v>495</v>
      </c>
    </row>
    <row r="316" spans="1:12" x14ac:dyDescent="0.35">
      <c r="A316" s="11">
        <v>315</v>
      </c>
      <c r="B316" s="17">
        <v>45796.414930555547</v>
      </c>
      <c r="C316" s="18">
        <v>45796</v>
      </c>
      <c r="D316" s="10" t="s">
        <v>488</v>
      </c>
      <c r="E316" s="14">
        <v>45000</v>
      </c>
      <c r="F316" s="5">
        <v>0</v>
      </c>
      <c r="G316" s="5">
        <v>0</v>
      </c>
      <c r="H316" s="10" t="s">
        <v>51</v>
      </c>
      <c r="I316" s="10" t="s">
        <v>52</v>
      </c>
      <c r="J316" s="10" t="s">
        <v>30</v>
      </c>
      <c r="K316" s="10" t="s">
        <v>17</v>
      </c>
      <c r="L316" s="10" t="s">
        <v>496</v>
      </c>
    </row>
    <row r="317" spans="1:12" x14ac:dyDescent="0.35">
      <c r="A317" s="9">
        <v>316</v>
      </c>
      <c r="B317" s="19">
        <v>45796.415000000001</v>
      </c>
      <c r="C317" s="20">
        <v>45796</v>
      </c>
      <c r="D317" s="8" t="s">
        <v>394</v>
      </c>
      <c r="E317" s="3">
        <v>0</v>
      </c>
      <c r="F317" s="13">
        <v>45000</v>
      </c>
      <c r="G317" s="3">
        <v>45000</v>
      </c>
      <c r="H317" s="8" t="s">
        <v>51</v>
      </c>
      <c r="I317" s="8" t="s">
        <v>71</v>
      </c>
      <c r="J317" s="8" t="s">
        <v>32</v>
      </c>
      <c r="K317" s="8" t="s">
        <v>17</v>
      </c>
      <c r="L317" s="8" t="s">
        <v>497</v>
      </c>
    </row>
    <row r="318" spans="1:12" x14ac:dyDescent="0.35">
      <c r="A318" s="11">
        <v>317</v>
      </c>
      <c r="B318" s="17">
        <v>45798.333634259259</v>
      </c>
      <c r="C318" s="18">
        <v>45798</v>
      </c>
      <c r="D318" s="10" t="s">
        <v>488</v>
      </c>
      <c r="E318" s="14">
        <v>10000</v>
      </c>
      <c r="F318" s="5">
        <v>0</v>
      </c>
      <c r="G318" s="5">
        <v>0</v>
      </c>
      <c r="H318" s="10" t="s">
        <v>51</v>
      </c>
      <c r="I318" s="10" t="s">
        <v>52</v>
      </c>
      <c r="J318" s="10" t="s">
        <v>30</v>
      </c>
      <c r="K318" s="10" t="s">
        <v>17</v>
      </c>
      <c r="L318" s="10" t="s">
        <v>498</v>
      </c>
    </row>
    <row r="319" spans="1:12" x14ac:dyDescent="0.35">
      <c r="A319" s="9">
        <v>318</v>
      </c>
      <c r="B319" s="19">
        <v>45798.333680555559</v>
      </c>
      <c r="C319" s="20">
        <v>45798</v>
      </c>
      <c r="D319" s="8" t="s">
        <v>394</v>
      </c>
      <c r="E319" s="3">
        <v>0</v>
      </c>
      <c r="F319" s="13">
        <v>10000</v>
      </c>
      <c r="G319" s="3">
        <v>10000</v>
      </c>
      <c r="H319" s="8" t="s">
        <v>51</v>
      </c>
      <c r="I319" s="8" t="s">
        <v>71</v>
      </c>
      <c r="J319" s="8" t="s">
        <v>32</v>
      </c>
      <c r="K319" s="8" t="s">
        <v>17</v>
      </c>
      <c r="L319" s="8" t="s">
        <v>499</v>
      </c>
    </row>
    <row r="320" spans="1:12" x14ac:dyDescent="0.35">
      <c r="A320" s="11">
        <v>319</v>
      </c>
      <c r="B320" s="17">
        <v>45799.380983796298</v>
      </c>
      <c r="C320" s="18">
        <v>45799</v>
      </c>
      <c r="D320" s="10" t="s">
        <v>500</v>
      </c>
      <c r="E320" s="14">
        <v>8000</v>
      </c>
      <c r="F320" s="5">
        <v>0</v>
      </c>
      <c r="G320" s="5">
        <v>0</v>
      </c>
      <c r="H320" s="10" t="s">
        <v>51</v>
      </c>
      <c r="I320" s="10" t="s">
        <v>52</v>
      </c>
      <c r="J320" s="10" t="s">
        <v>30</v>
      </c>
      <c r="K320" s="10" t="s">
        <v>17</v>
      </c>
      <c r="L320" s="10" t="s">
        <v>501</v>
      </c>
    </row>
    <row r="321" spans="1:12" x14ac:dyDescent="0.35">
      <c r="A321" s="9">
        <v>320</v>
      </c>
      <c r="B321" s="19">
        <v>45799.381041666667</v>
      </c>
      <c r="C321" s="20">
        <v>45799</v>
      </c>
      <c r="D321" s="8" t="s">
        <v>394</v>
      </c>
      <c r="E321" s="3">
        <v>0</v>
      </c>
      <c r="F321" s="13">
        <v>8000</v>
      </c>
      <c r="G321" s="3">
        <v>8000</v>
      </c>
      <c r="H321" s="8" t="s">
        <v>51</v>
      </c>
      <c r="I321" s="8" t="s">
        <v>71</v>
      </c>
      <c r="J321" s="8" t="s">
        <v>32</v>
      </c>
      <c r="K321" s="8" t="s">
        <v>17</v>
      </c>
      <c r="L321" s="8" t="s">
        <v>502</v>
      </c>
    </row>
    <row r="322" spans="1:12" x14ac:dyDescent="0.35">
      <c r="A322" s="11">
        <v>321</v>
      </c>
      <c r="B322" s="17">
        <v>45800.355671296304</v>
      </c>
      <c r="C322" s="18">
        <v>45800</v>
      </c>
      <c r="D322" s="10" t="s">
        <v>339</v>
      </c>
      <c r="E322" s="14">
        <v>500</v>
      </c>
      <c r="F322" s="5">
        <v>0</v>
      </c>
      <c r="G322" s="5">
        <v>0</v>
      </c>
      <c r="H322" s="10" t="s">
        <v>51</v>
      </c>
      <c r="I322" s="10" t="s">
        <v>52</v>
      </c>
      <c r="J322" s="10" t="s">
        <v>36</v>
      </c>
      <c r="K322" s="10" t="s">
        <v>17</v>
      </c>
      <c r="L322" s="10" t="s">
        <v>503</v>
      </c>
    </row>
    <row r="323" spans="1:12" x14ac:dyDescent="0.35">
      <c r="A323" s="9">
        <v>322</v>
      </c>
      <c r="B323" s="19">
        <v>45800.355717592603</v>
      </c>
      <c r="C323" s="20">
        <v>45800</v>
      </c>
      <c r="D323" s="8" t="s">
        <v>394</v>
      </c>
      <c r="E323" s="3">
        <v>0</v>
      </c>
      <c r="F323" s="13">
        <v>500</v>
      </c>
      <c r="G323" s="3">
        <v>500</v>
      </c>
      <c r="H323" s="8" t="s">
        <v>51</v>
      </c>
      <c r="I323" s="8" t="s">
        <v>71</v>
      </c>
      <c r="J323" s="8" t="s">
        <v>32</v>
      </c>
      <c r="K323" s="8" t="s">
        <v>17</v>
      </c>
      <c r="L323" s="8" t="s">
        <v>504</v>
      </c>
    </row>
    <row r="324" spans="1:12" x14ac:dyDescent="0.35">
      <c r="A324" s="11">
        <v>323</v>
      </c>
      <c r="B324" s="17">
        <v>45801.469895833332</v>
      </c>
      <c r="C324" s="18">
        <v>45801</v>
      </c>
      <c r="D324" s="10" t="s">
        <v>77</v>
      </c>
      <c r="E324" s="5">
        <v>0</v>
      </c>
      <c r="F324" s="15">
        <v>40000</v>
      </c>
      <c r="G324" s="5">
        <v>40000</v>
      </c>
      <c r="H324" s="10" t="s">
        <v>51</v>
      </c>
      <c r="I324" s="10" t="s">
        <v>71</v>
      </c>
      <c r="J324" s="10" t="s">
        <v>31</v>
      </c>
      <c r="K324" s="10" t="s">
        <v>17</v>
      </c>
      <c r="L324" s="10" t="s">
        <v>505</v>
      </c>
    </row>
    <row r="325" spans="1:12" x14ac:dyDescent="0.35">
      <c r="A325" s="9">
        <v>324</v>
      </c>
      <c r="B325" s="19">
        <v>45801.469930555562</v>
      </c>
      <c r="C325" s="20">
        <v>45801</v>
      </c>
      <c r="D325" s="8" t="s">
        <v>79</v>
      </c>
      <c r="E325" s="12">
        <v>50</v>
      </c>
      <c r="F325" s="3">
        <v>0</v>
      </c>
      <c r="G325" s="3">
        <v>39950</v>
      </c>
      <c r="H325" s="8" t="s">
        <v>51</v>
      </c>
      <c r="I325" s="8" t="s">
        <v>52</v>
      </c>
      <c r="J325" s="8" t="s">
        <v>36</v>
      </c>
      <c r="K325" s="8" t="s">
        <v>17</v>
      </c>
      <c r="L325" s="8" t="s">
        <v>506</v>
      </c>
    </row>
    <row r="326" spans="1:12" x14ac:dyDescent="0.35">
      <c r="A326" s="11">
        <v>325</v>
      </c>
      <c r="B326" s="17">
        <v>45801.47625</v>
      </c>
      <c r="C326" s="18">
        <v>45801</v>
      </c>
      <c r="D326" s="10" t="s">
        <v>188</v>
      </c>
      <c r="E326" s="14">
        <v>980</v>
      </c>
      <c r="F326" s="5">
        <v>0</v>
      </c>
      <c r="G326" s="5">
        <v>38970</v>
      </c>
      <c r="H326" s="10" t="s">
        <v>51</v>
      </c>
      <c r="I326" s="10" t="s">
        <v>52</v>
      </c>
      <c r="J326" s="10" t="s">
        <v>37</v>
      </c>
      <c r="K326" s="10" t="s">
        <v>17</v>
      </c>
      <c r="L326" s="10" t="s">
        <v>507</v>
      </c>
    </row>
    <row r="327" spans="1:12" x14ac:dyDescent="0.35">
      <c r="A327" s="9">
        <v>326</v>
      </c>
      <c r="B327" s="19">
        <v>45801.931377314817</v>
      </c>
      <c r="C327" s="20">
        <v>45801</v>
      </c>
      <c r="D327" s="8" t="s">
        <v>426</v>
      </c>
      <c r="E327" s="12">
        <v>38970</v>
      </c>
      <c r="F327" s="3">
        <v>0</v>
      </c>
      <c r="G327" s="3">
        <v>0</v>
      </c>
      <c r="H327" s="8" t="s">
        <v>51</v>
      </c>
      <c r="I327" s="8" t="s">
        <v>52</v>
      </c>
      <c r="J327" s="8" t="s">
        <v>32</v>
      </c>
      <c r="K327" s="8" t="s">
        <v>17</v>
      </c>
      <c r="L327" s="8" t="s">
        <v>508</v>
      </c>
    </row>
    <row r="328" spans="1:12" x14ac:dyDescent="0.35">
      <c r="A328" s="11">
        <v>327</v>
      </c>
      <c r="B328" s="17">
        <v>45802.362175925933</v>
      </c>
      <c r="C328" s="18">
        <v>45802</v>
      </c>
      <c r="D328" s="10" t="s">
        <v>339</v>
      </c>
      <c r="E328" s="14">
        <v>500</v>
      </c>
      <c r="F328" s="5">
        <v>0</v>
      </c>
      <c r="G328" s="5">
        <v>0</v>
      </c>
      <c r="H328" s="10" t="s">
        <v>51</v>
      </c>
      <c r="I328" s="10" t="s">
        <v>52</v>
      </c>
      <c r="J328" s="10" t="s">
        <v>36</v>
      </c>
      <c r="K328" s="10" t="s">
        <v>17</v>
      </c>
      <c r="L328" s="10" t="s">
        <v>509</v>
      </c>
    </row>
    <row r="329" spans="1:12" x14ac:dyDescent="0.35">
      <c r="A329" s="9">
        <v>328</v>
      </c>
      <c r="B329" s="19">
        <v>45802.362291666657</v>
      </c>
      <c r="C329" s="20">
        <v>45802</v>
      </c>
      <c r="D329" s="8" t="s">
        <v>394</v>
      </c>
      <c r="E329" s="3">
        <v>0</v>
      </c>
      <c r="F329" s="13">
        <v>500</v>
      </c>
      <c r="G329" s="3">
        <v>500</v>
      </c>
      <c r="H329" s="8" t="s">
        <v>51</v>
      </c>
      <c r="I329" s="8" t="s">
        <v>71</v>
      </c>
      <c r="J329" s="8" t="s">
        <v>32</v>
      </c>
      <c r="K329" s="8" t="s">
        <v>17</v>
      </c>
      <c r="L329" s="8" t="s">
        <v>510</v>
      </c>
    </row>
    <row r="330" spans="1:12" x14ac:dyDescent="0.35">
      <c r="A330" s="11">
        <v>329</v>
      </c>
      <c r="B330" s="17">
        <v>45802.551527777781</v>
      </c>
      <c r="C330" s="18">
        <v>45802</v>
      </c>
      <c r="D330" s="10" t="s">
        <v>511</v>
      </c>
      <c r="E330" s="14">
        <v>3400</v>
      </c>
      <c r="F330" s="5">
        <v>0</v>
      </c>
      <c r="G330" s="5">
        <v>0</v>
      </c>
      <c r="H330" s="10" t="s">
        <v>51</v>
      </c>
      <c r="I330" s="10" t="s">
        <v>52</v>
      </c>
      <c r="J330" s="10" t="s">
        <v>30</v>
      </c>
      <c r="K330" s="10" t="s">
        <v>17</v>
      </c>
      <c r="L330" s="10" t="s">
        <v>512</v>
      </c>
    </row>
    <row r="331" spans="1:12" x14ac:dyDescent="0.35">
      <c r="A331" s="9">
        <v>330</v>
      </c>
      <c r="B331" s="19">
        <v>45802.55164351852</v>
      </c>
      <c r="C331" s="20">
        <v>45802</v>
      </c>
      <c r="D331" s="8" t="s">
        <v>394</v>
      </c>
      <c r="E331" s="3">
        <v>0</v>
      </c>
      <c r="F331" s="13">
        <v>3400</v>
      </c>
      <c r="G331" s="3">
        <v>3400</v>
      </c>
      <c r="H331" s="8" t="s">
        <v>51</v>
      </c>
      <c r="I331" s="8" t="s">
        <v>71</v>
      </c>
      <c r="J331" s="8" t="s">
        <v>32</v>
      </c>
      <c r="K331" s="8" t="s">
        <v>17</v>
      </c>
      <c r="L331" s="8" t="s">
        <v>513</v>
      </c>
    </row>
    <row r="332" spans="1:12" x14ac:dyDescent="0.35">
      <c r="A332" s="11">
        <v>331</v>
      </c>
      <c r="B332" s="17">
        <v>45802.643148148149</v>
      </c>
      <c r="C332" s="18">
        <v>45802</v>
      </c>
      <c r="D332" s="10" t="s">
        <v>98</v>
      </c>
      <c r="E332" s="14">
        <v>10</v>
      </c>
      <c r="F332" s="5">
        <v>0</v>
      </c>
      <c r="G332" s="5">
        <v>0</v>
      </c>
      <c r="H332" s="10" t="s">
        <v>99</v>
      </c>
      <c r="I332" s="10" t="s">
        <v>52</v>
      </c>
      <c r="J332" s="10" t="s">
        <v>36</v>
      </c>
      <c r="K332" s="10" t="s">
        <v>17</v>
      </c>
      <c r="L332" s="10" t="s">
        <v>514</v>
      </c>
    </row>
    <row r="333" spans="1:12" x14ac:dyDescent="0.35">
      <c r="A333" s="9">
        <v>332</v>
      </c>
      <c r="B333" s="19">
        <v>45802.643159722233</v>
      </c>
      <c r="C333" s="20">
        <v>45802</v>
      </c>
      <c r="D333" s="8" t="s">
        <v>394</v>
      </c>
      <c r="E333" s="3">
        <v>0</v>
      </c>
      <c r="F333" s="13">
        <v>10</v>
      </c>
      <c r="G333" s="3">
        <v>10</v>
      </c>
      <c r="H333" s="8" t="s">
        <v>51</v>
      </c>
      <c r="I333" s="8" t="s">
        <v>71</v>
      </c>
      <c r="J333" s="8" t="s">
        <v>32</v>
      </c>
      <c r="K333" s="8" t="s">
        <v>17</v>
      </c>
      <c r="L333" s="8" t="s">
        <v>515</v>
      </c>
    </row>
    <row r="334" spans="1:12" x14ac:dyDescent="0.35">
      <c r="A334" s="11">
        <v>333</v>
      </c>
      <c r="B334" s="17">
        <v>45802.643437500003</v>
      </c>
      <c r="C334" s="18">
        <v>45802</v>
      </c>
      <c r="D334" s="10" t="s">
        <v>165</v>
      </c>
      <c r="E334" s="14">
        <v>500</v>
      </c>
      <c r="F334" s="5">
        <v>0</v>
      </c>
      <c r="G334" s="5">
        <v>0</v>
      </c>
      <c r="H334" s="10" t="s">
        <v>99</v>
      </c>
      <c r="I334" s="10" t="s">
        <v>52</v>
      </c>
      <c r="J334" s="10" t="s">
        <v>36</v>
      </c>
      <c r="K334" s="10" t="s">
        <v>17</v>
      </c>
      <c r="L334" s="10" t="s">
        <v>516</v>
      </c>
    </row>
    <row r="335" spans="1:12" x14ac:dyDescent="0.35">
      <c r="A335" s="9">
        <v>334</v>
      </c>
      <c r="B335" s="19">
        <v>45802.643437500003</v>
      </c>
      <c r="C335" s="20">
        <v>45802</v>
      </c>
      <c r="D335" s="8" t="s">
        <v>394</v>
      </c>
      <c r="E335" s="3">
        <v>0</v>
      </c>
      <c r="F335" s="13">
        <v>500</v>
      </c>
      <c r="G335" s="3">
        <v>500</v>
      </c>
      <c r="H335" s="8" t="s">
        <v>51</v>
      </c>
      <c r="I335" s="8" t="s">
        <v>71</v>
      </c>
      <c r="J335" s="8" t="s">
        <v>32</v>
      </c>
      <c r="K335" s="8" t="s">
        <v>17</v>
      </c>
      <c r="L335" s="8" t="s">
        <v>517</v>
      </c>
    </row>
    <row r="336" spans="1:12" x14ac:dyDescent="0.35">
      <c r="A336" s="11">
        <v>335</v>
      </c>
      <c r="B336" s="17">
        <v>45802.812523148154</v>
      </c>
      <c r="C336" s="18">
        <v>45802</v>
      </c>
      <c r="D336" s="10" t="s">
        <v>518</v>
      </c>
      <c r="E336" s="5">
        <v>0</v>
      </c>
      <c r="F336" s="15">
        <v>3500</v>
      </c>
      <c r="G336" s="5">
        <v>3500</v>
      </c>
      <c r="H336" s="10" t="s">
        <v>51</v>
      </c>
      <c r="I336" s="10" t="s">
        <v>71</v>
      </c>
      <c r="J336" s="10" t="s">
        <v>31</v>
      </c>
      <c r="K336" s="10" t="s">
        <v>17</v>
      </c>
      <c r="L336" s="10" t="s">
        <v>519</v>
      </c>
    </row>
    <row r="337" spans="1:12" x14ac:dyDescent="0.35">
      <c r="A337" s="9">
        <v>336</v>
      </c>
      <c r="B337" s="19">
        <v>45802.929467592592</v>
      </c>
      <c r="C337" s="20">
        <v>45802</v>
      </c>
      <c r="D337" s="8" t="s">
        <v>426</v>
      </c>
      <c r="E337" s="12">
        <v>3500</v>
      </c>
      <c r="F337" s="3">
        <v>0</v>
      </c>
      <c r="G337" s="3">
        <v>0</v>
      </c>
      <c r="H337" s="8" t="s">
        <v>51</v>
      </c>
      <c r="I337" s="8" t="s">
        <v>52</v>
      </c>
      <c r="J337" s="8" t="s">
        <v>32</v>
      </c>
      <c r="K337" s="8" t="s">
        <v>17</v>
      </c>
      <c r="L337" s="8" t="s">
        <v>520</v>
      </c>
    </row>
    <row r="338" spans="1:12" x14ac:dyDescent="0.35">
      <c r="A338" s="11">
        <v>337</v>
      </c>
      <c r="B338" s="17">
        <v>45804.302997685183</v>
      </c>
      <c r="C338" s="18">
        <v>45804</v>
      </c>
      <c r="D338" s="10" t="s">
        <v>339</v>
      </c>
      <c r="E338" s="14">
        <v>500</v>
      </c>
      <c r="F338" s="5">
        <v>0</v>
      </c>
      <c r="G338" s="5">
        <v>0</v>
      </c>
      <c r="H338" s="10" t="s">
        <v>51</v>
      </c>
      <c r="I338" s="10" t="s">
        <v>52</v>
      </c>
      <c r="J338" s="10" t="s">
        <v>36</v>
      </c>
      <c r="K338" s="10" t="s">
        <v>17</v>
      </c>
      <c r="L338" s="10" t="s">
        <v>521</v>
      </c>
    </row>
    <row r="339" spans="1:12" x14ac:dyDescent="0.35">
      <c r="A339" s="9">
        <v>338</v>
      </c>
      <c r="B339" s="19">
        <v>45804.303067129629</v>
      </c>
      <c r="C339" s="20">
        <v>45804</v>
      </c>
      <c r="D339" s="8" t="s">
        <v>394</v>
      </c>
      <c r="E339" s="3">
        <v>0</v>
      </c>
      <c r="F339" s="13">
        <v>500</v>
      </c>
      <c r="G339" s="3">
        <v>500</v>
      </c>
      <c r="H339" s="8" t="s">
        <v>51</v>
      </c>
      <c r="I339" s="8" t="s">
        <v>71</v>
      </c>
      <c r="J339" s="8" t="s">
        <v>32</v>
      </c>
      <c r="K339" s="8" t="s">
        <v>17</v>
      </c>
      <c r="L339" s="8" t="s">
        <v>522</v>
      </c>
    </row>
    <row r="340" spans="1:12" x14ac:dyDescent="0.35">
      <c r="A340" s="11">
        <v>339</v>
      </c>
      <c r="B340" s="17">
        <v>45804.348252314812</v>
      </c>
      <c r="C340" s="18">
        <v>45804</v>
      </c>
      <c r="D340" s="10" t="s">
        <v>523</v>
      </c>
      <c r="E340" s="14">
        <v>19600</v>
      </c>
      <c r="F340" s="5">
        <v>0</v>
      </c>
      <c r="G340" s="5">
        <v>0</v>
      </c>
      <c r="H340" s="10" t="s">
        <v>51</v>
      </c>
      <c r="I340" s="10" t="s">
        <v>52</v>
      </c>
      <c r="J340" s="10" t="s">
        <v>30</v>
      </c>
      <c r="K340" s="10" t="s">
        <v>17</v>
      </c>
      <c r="L340" s="10" t="s">
        <v>524</v>
      </c>
    </row>
    <row r="341" spans="1:12" x14ac:dyDescent="0.35">
      <c r="A341" s="9">
        <v>340</v>
      </c>
      <c r="B341" s="19">
        <v>45804.348333333342</v>
      </c>
      <c r="C341" s="20">
        <v>45804</v>
      </c>
      <c r="D341" s="8" t="s">
        <v>394</v>
      </c>
      <c r="E341" s="3">
        <v>0</v>
      </c>
      <c r="F341" s="13">
        <v>19600</v>
      </c>
      <c r="G341" s="3">
        <v>19600</v>
      </c>
      <c r="H341" s="8" t="s">
        <v>51</v>
      </c>
      <c r="I341" s="8" t="s">
        <v>71</v>
      </c>
      <c r="J341" s="8" t="s">
        <v>32</v>
      </c>
      <c r="K341" s="8" t="s">
        <v>17</v>
      </c>
      <c r="L341" s="8" t="s">
        <v>525</v>
      </c>
    </row>
    <row r="342" spans="1:12" x14ac:dyDescent="0.35">
      <c r="A342" s="11">
        <v>341</v>
      </c>
      <c r="B342" s="17">
        <v>45804.357731481483</v>
      </c>
      <c r="C342" s="18">
        <v>45804</v>
      </c>
      <c r="D342" s="10" t="s">
        <v>526</v>
      </c>
      <c r="E342" s="14">
        <v>1500</v>
      </c>
      <c r="F342" s="5">
        <v>0</v>
      </c>
      <c r="G342" s="5">
        <v>0</v>
      </c>
      <c r="H342" s="10" t="s">
        <v>51</v>
      </c>
      <c r="I342" s="10" t="s">
        <v>52</v>
      </c>
      <c r="J342" s="10" t="s">
        <v>30</v>
      </c>
      <c r="K342" s="10" t="s">
        <v>17</v>
      </c>
      <c r="L342" s="10" t="s">
        <v>527</v>
      </c>
    </row>
    <row r="343" spans="1:12" x14ac:dyDescent="0.35">
      <c r="A343" s="9">
        <v>342</v>
      </c>
      <c r="B343" s="19">
        <v>45804.357777777783</v>
      </c>
      <c r="C343" s="20">
        <v>45804</v>
      </c>
      <c r="D343" s="8" t="s">
        <v>394</v>
      </c>
      <c r="E343" s="3">
        <v>0</v>
      </c>
      <c r="F343" s="13">
        <v>1500</v>
      </c>
      <c r="G343" s="3">
        <v>1500</v>
      </c>
      <c r="H343" s="8" t="s">
        <v>51</v>
      </c>
      <c r="I343" s="8" t="s">
        <v>71</v>
      </c>
      <c r="J343" s="8" t="s">
        <v>32</v>
      </c>
      <c r="K343" s="8" t="s">
        <v>17</v>
      </c>
      <c r="L343" s="8" t="s">
        <v>528</v>
      </c>
    </row>
    <row r="344" spans="1:12" x14ac:dyDescent="0.35">
      <c r="A344" s="11">
        <v>343</v>
      </c>
      <c r="B344" s="17">
        <v>45804.706064814818</v>
      </c>
      <c r="C344" s="18">
        <v>45804</v>
      </c>
      <c r="D344" s="10" t="s">
        <v>232</v>
      </c>
      <c r="E344" s="14">
        <v>5000</v>
      </c>
      <c r="F344" s="5">
        <v>0</v>
      </c>
      <c r="G344" s="5">
        <v>0</v>
      </c>
      <c r="H344" s="10" t="s">
        <v>51</v>
      </c>
      <c r="I344" s="10" t="s">
        <v>52</v>
      </c>
      <c r="J344" s="10" t="s">
        <v>30</v>
      </c>
      <c r="K344" s="10" t="s">
        <v>17</v>
      </c>
      <c r="L344" s="10" t="s">
        <v>529</v>
      </c>
    </row>
    <row r="345" spans="1:12" x14ac:dyDescent="0.35">
      <c r="A345" s="9">
        <v>344</v>
      </c>
      <c r="B345" s="19">
        <v>45804.706122685187</v>
      </c>
      <c r="C345" s="20">
        <v>45804</v>
      </c>
      <c r="D345" s="8" t="s">
        <v>394</v>
      </c>
      <c r="E345" s="3">
        <v>0</v>
      </c>
      <c r="F345" s="13">
        <v>5000</v>
      </c>
      <c r="G345" s="3">
        <v>5000</v>
      </c>
      <c r="H345" s="8" t="s">
        <v>51</v>
      </c>
      <c r="I345" s="8" t="s">
        <v>71</v>
      </c>
      <c r="J345" s="8" t="s">
        <v>32</v>
      </c>
      <c r="K345" s="8" t="s">
        <v>17</v>
      </c>
      <c r="L345" s="8" t="s">
        <v>530</v>
      </c>
    </row>
    <row r="346" spans="1:12" x14ac:dyDescent="0.35">
      <c r="A346" s="11">
        <v>345</v>
      </c>
      <c r="B346" s="17">
        <v>45804.739131944443</v>
      </c>
      <c r="C346" s="18">
        <v>45804</v>
      </c>
      <c r="D346" s="10" t="s">
        <v>339</v>
      </c>
      <c r="E346" s="14">
        <v>500</v>
      </c>
      <c r="F346" s="5">
        <v>0</v>
      </c>
      <c r="G346" s="5">
        <v>0</v>
      </c>
      <c r="H346" s="10" t="s">
        <v>51</v>
      </c>
      <c r="I346" s="10" t="s">
        <v>52</v>
      </c>
      <c r="J346" s="10" t="s">
        <v>36</v>
      </c>
      <c r="K346" s="10" t="s">
        <v>17</v>
      </c>
      <c r="L346" s="10" t="s">
        <v>531</v>
      </c>
    </row>
    <row r="347" spans="1:12" x14ac:dyDescent="0.35">
      <c r="A347" s="9">
        <v>346</v>
      </c>
      <c r="B347" s="19">
        <v>45804.739189814813</v>
      </c>
      <c r="C347" s="20">
        <v>45804</v>
      </c>
      <c r="D347" s="8" t="s">
        <v>394</v>
      </c>
      <c r="E347" s="3">
        <v>0</v>
      </c>
      <c r="F347" s="13">
        <v>500</v>
      </c>
      <c r="G347" s="3">
        <v>500</v>
      </c>
      <c r="H347" s="8" t="s">
        <v>51</v>
      </c>
      <c r="I347" s="8" t="s">
        <v>71</v>
      </c>
      <c r="J347" s="8" t="s">
        <v>32</v>
      </c>
      <c r="K347" s="8" t="s">
        <v>17</v>
      </c>
      <c r="L347" s="8" t="s">
        <v>532</v>
      </c>
    </row>
    <row r="348" spans="1:12" x14ac:dyDescent="0.35">
      <c r="A348" s="11">
        <v>347</v>
      </c>
      <c r="B348" s="17">
        <v>45805.471030092587</v>
      </c>
      <c r="C348" s="18">
        <v>45805</v>
      </c>
      <c r="D348" s="10" t="s">
        <v>533</v>
      </c>
      <c r="E348" s="5">
        <v>0</v>
      </c>
      <c r="F348" s="15">
        <v>324750</v>
      </c>
      <c r="G348" s="5">
        <v>324750</v>
      </c>
      <c r="H348" s="10" t="s">
        <v>51</v>
      </c>
      <c r="I348" s="10" t="s">
        <v>71</v>
      </c>
      <c r="J348" s="10" t="s">
        <v>31</v>
      </c>
      <c r="K348" s="10" t="s">
        <v>17</v>
      </c>
      <c r="L348" s="10" t="s">
        <v>534</v>
      </c>
    </row>
    <row r="349" spans="1:12" x14ac:dyDescent="0.35">
      <c r="A349" s="9">
        <v>348</v>
      </c>
      <c r="B349" s="19">
        <v>45805.471053240741</v>
      </c>
      <c r="C349" s="20">
        <v>45805</v>
      </c>
      <c r="D349" s="8" t="s">
        <v>79</v>
      </c>
      <c r="E349" s="12">
        <v>50</v>
      </c>
      <c r="F349" s="3">
        <v>0</v>
      </c>
      <c r="G349" s="3">
        <v>324700</v>
      </c>
      <c r="H349" s="8" t="s">
        <v>51</v>
      </c>
      <c r="I349" s="8" t="s">
        <v>52</v>
      </c>
      <c r="J349" s="8" t="s">
        <v>36</v>
      </c>
      <c r="K349" s="8" t="s">
        <v>17</v>
      </c>
      <c r="L349" s="8" t="s">
        <v>535</v>
      </c>
    </row>
    <row r="350" spans="1:12" x14ac:dyDescent="0.35">
      <c r="A350" s="11">
        <v>349</v>
      </c>
      <c r="B350" s="17">
        <v>45805.498067129629</v>
      </c>
      <c r="C350" s="18">
        <v>45805</v>
      </c>
      <c r="D350" s="10" t="s">
        <v>536</v>
      </c>
      <c r="E350" s="14">
        <v>294750</v>
      </c>
      <c r="F350" s="5">
        <v>0</v>
      </c>
      <c r="G350" s="5">
        <v>29950</v>
      </c>
      <c r="H350" s="10" t="s">
        <v>51</v>
      </c>
      <c r="I350" s="10" t="s">
        <v>52</v>
      </c>
      <c r="J350" s="10" t="s">
        <v>30</v>
      </c>
      <c r="K350" s="10" t="s">
        <v>17</v>
      </c>
      <c r="L350" s="10" t="s">
        <v>537</v>
      </c>
    </row>
    <row r="351" spans="1:12" x14ac:dyDescent="0.35">
      <c r="A351" s="9">
        <v>350</v>
      </c>
      <c r="B351" s="19">
        <v>45805.50136574074</v>
      </c>
      <c r="C351" s="20">
        <v>45805</v>
      </c>
      <c r="D351" s="8" t="s">
        <v>342</v>
      </c>
      <c r="E351" s="12">
        <v>40500</v>
      </c>
      <c r="F351" s="3">
        <v>0</v>
      </c>
      <c r="G351" s="3">
        <v>0</v>
      </c>
      <c r="H351" s="8" t="s">
        <v>51</v>
      </c>
      <c r="I351" s="8" t="s">
        <v>52</v>
      </c>
      <c r="J351" s="8" t="s">
        <v>33</v>
      </c>
      <c r="K351" s="8" t="s">
        <v>17</v>
      </c>
      <c r="L351" s="8" t="s">
        <v>538</v>
      </c>
    </row>
    <row r="352" spans="1:12" x14ac:dyDescent="0.35">
      <c r="A352" s="11">
        <v>351</v>
      </c>
      <c r="B352" s="17">
        <v>45805.501400462963</v>
      </c>
      <c r="C352" s="18">
        <v>45805</v>
      </c>
      <c r="D352" s="10" t="s">
        <v>394</v>
      </c>
      <c r="E352" s="5">
        <v>0</v>
      </c>
      <c r="F352" s="15">
        <v>10550</v>
      </c>
      <c r="G352" s="5">
        <v>40500</v>
      </c>
      <c r="H352" s="10" t="s">
        <v>51</v>
      </c>
      <c r="I352" s="10" t="s">
        <v>71</v>
      </c>
      <c r="J352" s="10" t="s">
        <v>32</v>
      </c>
      <c r="K352" s="10" t="s">
        <v>17</v>
      </c>
      <c r="L352" s="10" t="s">
        <v>539</v>
      </c>
    </row>
    <row r="353" spans="1:12" x14ac:dyDescent="0.35">
      <c r="A353" s="9">
        <v>352</v>
      </c>
      <c r="B353" s="19">
        <v>45805.587060185193</v>
      </c>
      <c r="C353" s="20">
        <v>45805</v>
      </c>
      <c r="D353" s="8" t="s">
        <v>540</v>
      </c>
      <c r="E353" s="12">
        <v>1500</v>
      </c>
      <c r="F353" s="3">
        <v>0</v>
      </c>
      <c r="G353" s="3">
        <v>0</v>
      </c>
      <c r="H353" s="8" t="s">
        <v>51</v>
      </c>
      <c r="I353" s="8" t="s">
        <v>52</v>
      </c>
      <c r="J353" s="8" t="s">
        <v>37</v>
      </c>
      <c r="K353" s="8" t="s">
        <v>17</v>
      </c>
      <c r="L353" s="8" t="s">
        <v>541</v>
      </c>
    </row>
    <row r="354" spans="1:12" x14ac:dyDescent="0.35">
      <c r="A354" s="11">
        <v>353</v>
      </c>
      <c r="B354" s="17">
        <v>45805.58730324074</v>
      </c>
      <c r="C354" s="18">
        <v>45805</v>
      </c>
      <c r="D354" s="10" t="s">
        <v>394</v>
      </c>
      <c r="E354" s="5">
        <v>0</v>
      </c>
      <c r="F354" s="15">
        <v>1500</v>
      </c>
      <c r="G354" s="5">
        <v>1500</v>
      </c>
      <c r="H354" s="10" t="s">
        <v>51</v>
      </c>
      <c r="I354" s="10" t="s">
        <v>71</v>
      </c>
      <c r="J354" s="10" t="s">
        <v>32</v>
      </c>
      <c r="K354" s="10" t="s">
        <v>17</v>
      </c>
      <c r="L354" s="10" t="s">
        <v>542</v>
      </c>
    </row>
    <row r="355" spans="1:12" x14ac:dyDescent="0.35">
      <c r="A355" s="9">
        <v>354</v>
      </c>
      <c r="B355" s="19">
        <v>45806.212083333332</v>
      </c>
      <c r="C355" s="20">
        <v>45806</v>
      </c>
      <c r="D355" s="8" t="s">
        <v>342</v>
      </c>
      <c r="E355" s="12">
        <v>500</v>
      </c>
      <c r="F355" s="3">
        <v>0</v>
      </c>
      <c r="G355" s="3">
        <v>0</v>
      </c>
      <c r="H355" s="8" t="s">
        <v>51</v>
      </c>
      <c r="I355" s="8" t="s">
        <v>52</v>
      </c>
      <c r="J355" s="8" t="s">
        <v>33</v>
      </c>
      <c r="K355" s="8" t="s">
        <v>17</v>
      </c>
      <c r="L355" s="8" t="s">
        <v>543</v>
      </c>
    </row>
    <row r="356" spans="1:12" x14ac:dyDescent="0.35">
      <c r="A356" s="11">
        <v>355</v>
      </c>
      <c r="B356" s="17">
        <v>45806.212094907409</v>
      </c>
      <c r="C356" s="18">
        <v>45806</v>
      </c>
      <c r="D356" s="10" t="s">
        <v>394</v>
      </c>
      <c r="E356" s="5">
        <v>0</v>
      </c>
      <c r="F356" s="15">
        <v>500</v>
      </c>
      <c r="G356" s="5">
        <v>500</v>
      </c>
      <c r="H356" s="10" t="s">
        <v>51</v>
      </c>
      <c r="I356" s="10" t="s">
        <v>71</v>
      </c>
      <c r="J356" s="10" t="s">
        <v>32</v>
      </c>
      <c r="K356" s="10" t="s">
        <v>17</v>
      </c>
      <c r="L356" s="10" t="s">
        <v>544</v>
      </c>
    </row>
    <row r="357" spans="1:12" x14ac:dyDescent="0.35">
      <c r="A357" s="9">
        <v>356</v>
      </c>
      <c r="B357" s="19">
        <v>45806.36310185185</v>
      </c>
      <c r="C357" s="20">
        <v>45806</v>
      </c>
      <c r="D357" s="8" t="s">
        <v>330</v>
      </c>
      <c r="E357" s="12">
        <v>1800</v>
      </c>
      <c r="F357" s="3">
        <v>0</v>
      </c>
      <c r="G357" s="3">
        <v>0</v>
      </c>
      <c r="H357" s="8" t="s">
        <v>51</v>
      </c>
      <c r="I357" s="8" t="s">
        <v>52</v>
      </c>
      <c r="J357" s="8" t="s">
        <v>30</v>
      </c>
      <c r="K357" s="8" t="s">
        <v>17</v>
      </c>
      <c r="L357" s="8" t="s">
        <v>545</v>
      </c>
    </row>
    <row r="358" spans="1:12" x14ac:dyDescent="0.35">
      <c r="A358" s="11">
        <v>357</v>
      </c>
      <c r="B358" s="17">
        <v>45806.363159722219</v>
      </c>
      <c r="C358" s="18">
        <v>45806</v>
      </c>
      <c r="D358" s="10" t="s">
        <v>394</v>
      </c>
      <c r="E358" s="5">
        <v>0</v>
      </c>
      <c r="F358" s="15">
        <v>1800</v>
      </c>
      <c r="G358" s="5">
        <v>1800</v>
      </c>
      <c r="H358" s="10" t="s">
        <v>51</v>
      </c>
      <c r="I358" s="10" t="s">
        <v>71</v>
      </c>
      <c r="J358" s="10" t="s">
        <v>32</v>
      </c>
      <c r="K358" s="10" t="s">
        <v>17</v>
      </c>
      <c r="L358" s="10" t="s">
        <v>546</v>
      </c>
    </row>
    <row r="359" spans="1:12" x14ac:dyDescent="0.35">
      <c r="A359" s="9">
        <v>358</v>
      </c>
      <c r="B359" s="19">
        <v>45806.368217592593</v>
      </c>
      <c r="C359" s="20">
        <v>45806</v>
      </c>
      <c r="D359" s="8" t="s">
        <v>547</v>
      </c>
      <c r="E359" s="3">
        <v>0</v>
      </c>
      <c r="F359" s="13">
        <v>90000</v>
      </c>
      <c r="G359" s="3">
        <v>90000</v>
      </c>
      <c r="H359" s="8" t="s">
        <v>51</v>
      </c>
      <c r="I359" s="8" t="s">
        <v>71</v>
      </c>
      <c r="J359" s="8" t="s">
        <v>31</v>
      </c>
      <c r="K359" s="8" t="s">
        <v>17</v>
      </c>
      <c r="L359" s="8" t="s">
        <v>548</v>
      </c>
    </row>
    <row r="360" spans="1:12" x14ac:dyDescent="0.35">
      <c r="A360" s="11">
        <v>359</v>
      </c>
      <c r="B360" s="17">
        <v>45806.36822916667</v>
      </c>
      <c r="C360" s="18">
        <v>45806</v>
      </c>
      <c r="D360" s="10" t="s">
        <v>79</v>
      </c>
      <c r="E360" s="14">
        <v>50</v>
      </c>
      <c r="F360" s="5">
        <v>0</v>
      </c>
      <c r="G360" s="5">
        <v>89950</v>
      </c>
      <c r="H360" s="10" t="s">
        <v>51</v>
      </c>
      <c r="I360" s="10" t="s">
        <v>52</v>
      </c>
      <c r="J360" s="10" t="s">
        <v>36</v>
      </c>
      <c r="K360" s="10" t="s">
        <v>17</v>
      </c>
      <c r="L360" s="10" t="s">
        <v>549</v>
      </c>
    </row>
    <row r="361" spans="1:12" x14ac:dyDescent="0.35">
      <c r="A361" s="9">
        <v>360</v>
      </c>
      <c r="B361" s="19">
        <v>45806.381342592591</v>
      </c>
      <c r="C361" s="20">
        <v>45806</v>
      </c>
      <c r="D361" s="8" t="s">
        <v>342</v>
      </c>
      <c r="E361" s="12">
        <v>70000</v>
      </c>
      <c r="F361" s="3">
        <v>0</v>
      </c>
      <c r="G361" s="3">
        <v>19950</v>
      </c>
      <c r="H361" s="8" t="s">
        <v>51</v>
      </c>
      <c r="I361" s="8" t="s">
        <v>52</v>
      </c>
      <c r="J361" s="8" t="s">
        <v>33</v>
      </c>
      <c r="K361" s="8" t="s">
        <v>17</v>
      </c>
      <c r="L361" s="8" t="s">
        <v>550</v>
      </c>
    </row>
    <row r="362" spans="1:12" x14ac:dyDescent="0.35">
      <c r="A362" s="11">
        <v>361</v>
      </c>
      <c r="B362" s="17">
        <v>45806.528993055559</v>
      </c>
      <c r="C362" s="18">
        <v>45806</v>
      </c>
      <c r="D362" s="10" t="s">
        <v>551</v>
      </c>
      <c r="E362" s="5">
        <v>0</v>
      </c>
      <c r="F362" s="15">
        <v>20000</v>
      </c>
      <c r="G362" s="5">
        <v>39950</v>
      </c>
      <c r="H362" s="10" t="s">
        <v>51</v>
      </c>
      <c r="I362" s="10" t="s">
        <v>71</v>
      </c>
      <c r="J362" s="10" t="s">
        <v>31</v>
      </c>
      <c r="K362" s="10" t="s">
        <v>17</v>
      </c>
      <c r="L362" s="10" t="s">
        <v>552</v>
      </c>
    </row>
    <row r="363" spans="1:12" x14ac:dyDescent="0.35">
      <c r="A363" s="9">
        <v>362</v>
      </c>
      <c r="B363" s="19">
        <v>45806.529004629629</v>
      </c>
      <c r="C363" s="20">
        <v>45806</v>
      </c>
      <c r="D363" s="8" t="s">
        <v>79</v>
      </c>
      <c r="E363" s="12">
        <v>50</v>
      </c>
      <c r="F363" s="3">
        <v>0</v>
      </c>
      <c r="G363" s="3">
        <v>39900</v>
      </c>
      <c r="H363" s="8" t="s">
        <v>51</v>
      </c>
      <c r="I363" s="8" t="s">
        <v>52</v>
      </c>
      <c r="J363" s="8" t="s">
        <v>36</v>
      </c>
      <c r="K363" s="8" t="s">
        <v>17</v>
      </c>
      <c r="L363" s="8" t="s">
        <v>553</v>
      </c>
    </row>
    <row r="364" spans="1:12" x14ac:dyDescent="0.35">
      <c r="A364" s="11">
        <v>363</v>
      </c>
      <c r="B364" s="17">
        <v>45806.529606481483</v>
      </c>
      <c r="C364" s="18">
        <v>45806</v>
      </c>
      <c r="D364" s="10" t="s">
        <v>342</v>
      </c>
      <c r="E364" s="14">
        <v>20000</v>
      </c>
      <c r="F364" s="5">
        <v>0</v>
      </c>
      <c r="G364" s="5">
        <v>19900</v>
      </c>
      <c r="H364" s="10" t="s">
        <v>51</v>
      </c>
      <c r="I364" s="10" t="s">
        <v>52</v>
      </c>
      <c r="J364" s="10" t="s">
        <v>33</v>
      </c>
      <c r="K364" s="10" t="s">
        <v>17</v>
      </c>
      <c r="L364" s="10" t="s">
        <v>554</v>
      </c>
    </row>
    <row r="365" spans="1:12" x14ac:dyDescent="0.35">
      <c r="A365" s="9">
        <v>364</v>
      </c>
      <c r="B365" s="19">
        <v>45806.891203703701</v>
      </c>
      <c r="C365" s="20">
        <v>45806</v>
      </c>
      <c r="D365" s="8" t="s">
        <v>555</v>
      </c>
      <c r="E365" s="3">
        <v>0</v>
      </c>
      <c r="F365" s="13">
        <v>8500</v>
      </c>
      <c r="G365" s="3">
        <v>28400</v>
      </c>
      <c r="H365" s="8" t="s">
        <v>51</v>
      </c>
      <c r="I365" s="8" t="s">
        <v>71</v>
      </c>
      <c r="J365" s="8" t="s">
        <v>31</v>
      </c>
      <c r="K365" s="8" t="s">
        <v>17</v>
      </c>
      <c r="L365" s="8" t="s">
        <v>556</v>
      </c>
    </row>
    <row r="366" spans="1:12" x14ac:dyDescent="0.35">
      <c r="A366" s="11">
        <v>365</v>
      </c>
      <c r="B366" s="17">
        <v>45806.930231481478</v>
      </c>
      <c r="C366" s="18">
        <v>45806</v>
      </c>
      <c r="D366" s="10" t="s">
        <v>426</v>
      </c>
      <c r="E366" s="14">
        <v>28400</v>
      </c>
      <c r="F366" s="5">
        <v>0</v>
      </c>
      <c r="G366" s="5">
        <v>0</v>
      </c>
      <c r="H366" s="10" t="s">
        <v>51</v>
      </c>
      <c r="I366" s="10" t="s">
        <v>52</v>
      </c>
      <c r="J366" s="10" t="s">
        <v>32</v>
      </c>
      <c r="K366" s="10" t="s">
        <v>17</v>
      </c>
      <c r="L366" s="10" t="s">
        <v>557</v>
      </c>
    </row>
    <row r="367" spans="1:12" x14ac:dyDescent="0.35">
      <c r="A367" s="9">
        <v>366</v>
      </c>
      <c r="B367" s="19">
        <v>45807.212129629632</v>
      </c>
      <c r="C367" s="20">
        <v>45807</v>
      </c>
      <c r="D367" s="8" t="s">
        <v>394</v>
      </c>
      <c r="E367" s="3">
        <v>0</v>
      </c>
      <c r="F367" s="13">
        <v>500</v>
      </c>
      <c r="G367" s="3">
        <v>500</v>
      </c>
      <c r="H367" s="8" t="s">
        <v>51</v>
      </c>
      <c r="I367" s="8" t="s">
        <v>71</v>
      </c>
      <c r="J367" s="8" t="s">
        <v>32</v>
      </c>
      <c r="K367" s="8" t="s">
        <v>17</v>
      </c>
      <c r="L367" s="8" t="s">
        <v>558</v>
      </c>
    </row>
    <row r="368" spans="1:12" x14ac:dyDescent="0.35">
      <c r="A368" s="11">
        <v>367</v>
      </c>
      <c r="B368" s="17">
        <v>45807.212129629632</v>
      </c>
      <c r="C368" s="18">
        <v>45807</v>
      </c>
      <c r="D368" s="10" t="s">
        <v>342</v>
      </c>
      <c r="E368" s="14">
        <v>500</v>
      </c>
      <c r="F368" s="5">
        <v>0</v>
      </c>
      <c r="G368" s="5">
        <v>0</v>
      </c>
      <c r="H368" s="10" t="s">
        <v>51</v>
      </c>
      <c r="I368" s="10" t="s">
        <v>52</v>
      </c>
      <c r="J368" s="10" t="s">
        <v>33</v>
      </c>
      <c r="K368" s="10" t="s">
        <v>17</v>
      </c>
      <c r="L368" s="10" t="s">
        <v>559</v>
      </c>
    </row>
    <row r="369" spans="1:12" x14ac:dyDescent="0.35">
      <c r="A369" s="9">
        <v>368</v>
      </c>
      <c r="B369" s="19">
        <v>45807.391643518517</v>
      </c>
      <c r="C369" s="20">
        <v>45807</v>
      </c>
      <c r="D369" s="8" t="s">
        <v>533</v>
      </c>
      <c r="E369" s="3">
        <v>0</v>
      </c>
      <c r="F369" s="13">
        <v>606960</v>
      </c>
      <c r="G369" s="3">
        <v>606960</v>
      </c>
      <c r="H369" s="8" t="s">
        <v>51</v>
      </c>
      <c r="I369" s="8" t="s">
        <v>71</v>
      </c>
      <c r="J369" s="8" t="s">
        <v>31</v>
      </c>
      <c r="K369" s="8" t="s">
        <v>17</v>
      </c>
      <c r="L369" s="8" t="s">
        <v>560</v>
      </c>
    </row>
    <row r="370" spans="1:12" x14ac:dyDescent="0.35">
      <c r="A370" s="11">
        <v>369</v>
      </c>
      <c r="B370" s="17">
        <v>45807.39166666667</v>
      </c>
      <c r="C370" s="18">
        <v>45807</v>
      </c>
      <c r="D370" s="10" t="s">
        <v>79</v>
      </c>
      <c r="E370" s="14">
        <v>50</v>
      </c>
      <c r="F370" s="5">
        <v>0</v>
      </c>
      <c r="G370" s="5">
        <v>606910</v>
      </c>
      <c r="H370" s="10" t="s">
        <v>51</v>
      </c>
      <c r="I370" s="10" t="s">
        <v>52</v>
      </c>
      <c r="J370" s="10" t="s">
        <v>36</v>
      </c>
      <c r="K370" s="10" t="s">
        <v>17</v>
      </c>
      <c r="L370" s="10" t="s">
        <v>561</v>
      </c>
    </row>
    <row r="371" spans="1:12" x14ac:dyDescent="0.35">
      <c r="A371" s="9">
        <v>370</v>
      </c>
      <c r="B371" s="19">
        <v>45807.419525462959</v>
      </c>
      <c r="C371" s="20">
        <v>45807</v>
      </c>
      <c r="D371" s="8" t="s">
        <v>536</v>
      </c>
      <c r="E371" s="12">
        <v>528960</v>
      </c>
      <c r="F371" s="3">
        <v>0</v>
      </c>
      <c r="G371" s="3">
        <v>77950</v>
      </c>
      <c r="H371" s="8" t="s">
        <v>51</v>
      </c>
      <c r="I371" s="8" t="s">
        <v>52</v>
      </c>
      <c r="J371" s="8" t="s">
        <v>30</v>
      </c>
      <c r="K371" s="8" t="s">
        <v>17</v>
      </c>
      <c r="L371" s="8" t="s">
        <v>562</v>
      </c>
    </row>
    <row r="372" spans="1:12" x14ac:dyDescent="0.35">
      <c r="A372" s="11">
        <v>371</v>
      </c>
      <c r="B372" s="17">
        <v>45807.420636574083</v>
      </c>
      <c r="C372" s="18">
        <v>45807</v>
      </c>
      <c r="D372" s="10" t="s">
        <v>342</v>
      </c>
      <c r="E372" s="14">
        <v>50000</v>
      </c>
      <c r="F372" s="5">
        <v>0</v>
      </c>
      <c r="G372" s="5">
        <v>27950</v>
      </c>
      <c r="H372" s="10" t="s">
        <v>51</v>
      </c>
      <c r="I372" s="10" t="s">
        <v>52</v>
      </c>
      <c r="J372" s="10" t="s">
        <v>33</v>
      </c>
      <c r="K372" s="10" t="s">
        <v>17</v>
      </c>
      <c r="L372" s="10" t="s">
        <v>563</v>
      </c>
    </row>
    <row r="373" spans="1:12" x14ac:dyDescent="0.35">
      <c r="A373" s="9">
        <v>372</v>
      </c>
      <c r="B373" s="19">
        <v>45807.506631944438</v>
      </c>
      <c r="C373" s="20">
        <v>45807</v>
      </c>
      <c r="D373" s="8" t="s">
        <v>564</v>
      </c>
      <c r="E373" s="12">
        <v>1700</v>
      </c>
      <c r="F373" s="3">
        <v>0</v>
      </c>
      <c r="G373" s="3">
        <v>26250</v>
      </c>
      <c r="H373" s="8" t="s">
        <v>51</v>
      </c>
      <c r="I373" s="8" t="s">
        <v>52</v>
      </c>
      <c r="J373" s="8" t="s">
        <v>30</v>
      </c>
      <c r="K373" s="8" t="s">
        <v>17</v>
      </c>
      <c r="L373" s="8" t="s">
        <v>565</v>
      </c>
    </row>
    <row r="374" spans="1:12" x14ac:dyDescent="0.35">
      <c r="A374" s="11">
        <v>373</v>
      </c>
      <c r="B374" s="17">
        <v>45807.595254629632</v>
      </c>
      <c r="C374" s="18">
        <v>45807</v>
      </c>
      <c r="D374" s="10" t="s">
        <v>566</v>
      </c>
      <c r="E374" s="14">
        <v>5000</v>
      </c>
      <c r="F374" s="5">
        <v>0</v>
      </c>
      <c r="G374" s="5">
        <v>21250</v>
      </c>
      <c r="H374" s="10" t="s">
        <v>51</v>
      </c>
      <c r="I374" s="10" t="s">
        <v>52</v>
      </c>
      <c r="J374" s="10" t="s">
        <v>30</v>
      </c>
      <c r="K374" s="10" t="s">
        <v>17</v>
      </c>
      <c r="L374" s="10" t="s">
        <v>567</v>
      </c>
    </row>
    <row r="375" spans="1:12" x14ac:dyDescent="0.35">
      <c r="A375" s="9">
        <v>374</v>
      </c>
      <c r="B375" s="19">
        <v>45807.853067129632</v>
      </c>
      <c r="C375" s="20">
        <v>45807</v>
      </c>
      <c r="D375" s="8" t="s">
        <v>450</v>
      </c>
      <c r="E375" s="3">
        <v>0</v>
      </c>
      <c r="F375" s="13">
        <v>60000</v>
      </c>
      <c r="G375" s="3">
        <v>81250</v>
      </c>
      <c r="H375" s="8" t="s">
        <v>51</v>
      </c>
      <c r="I375" s="8" t="s">
        <v>71</v>
      </c>
      <c r="J375" s="8" t="s">
        <v>31</v>
      </c>
      <c r="K375" s="8" t="s">
        <v>17</v>
      </c>
      <c r="L375" s="8" t="s">
        <v>568</v>
      </c>
    </row>
    <row r="376" spans="1:12" x14ac:dyDescent="0.35">
      <c r="A376" s="11">
        <v>375</v>
      </c>
      <c r="B376" s="17">
        <v>45807.853090277778</v>
      </c>
      <c r="C376" s="18">
        <v>45807</v>
      </c>
      <c r="D376" s="10" t="s">
        <v>79</v>
      </c>
      <c r="E376" s="14">
        <v>50</v>
      </c>
      <c r="F376" s="5">
        <v>0</v>
      </c>
      <c r="G376" s="5">
        <v>81200</v>
      </c>
      <c r="H376" s="10" t="s">
        <v>51</v>
      </c>
      <c r="I376" s="10" t="s">
        <v>52</v>
      </c>
      <c r="J376" s="10" t="s">
        <v>36</v>
      </c>
      <c r="K376" s="10" t="s">
        <v>17</v>
      </c>
      <c r="L376" s="10" t="s">
        <v>569</v>
      </c>
    </row>
    <row r="377" spans="1:12" x14ac:dyDescent="0.35">
      <c r="A377" s="9">
        <v>376</v>
      </c>
      <c r="B377" s="19">
        <v>45807.854247685187</v>
      </c>
      <c r="C377" s="20">
        <v>45807</v>
      </c>
      <c r="D377" s="8" t="s">
        <v>342</v>
      </c>
      <c r="E377" s="12">
        <v>50000</v>
      </c>
      <c r="F377" s="3">
        <v>0</v>
      </c>
      <c r="G377" s="3">
        <v>31200</v>
      </c>
      <c r="H377" s="8" t="s">
        <v>51</v>
      </c>
      <c r="I377" s="8" t="s">
        <v>52</v>
      </c>
      <c r="J377" s="8" t="s">
        <v>33</v>
      </c>
      <c r="K377" s="8" t="s">
        <v>17</v>
      </c>
      <c r="L377" s="8" t="s">
        <v>570</v>
      </c>
    </row>
    <row r="378" spans="1:12" x14ac:dyDescent="0.35">
      <c r="A378" s="11">
        <v>377</v>
      </c>
      <c r="B378" s="17">
        <v>45807.932129629633</v>
      </c>
      <c r="C378" s="18">
        <v>45807</v>
      </c>
      <c r="D378" s="10" t="s">
        <v>426</v>
      </c>
      <c r="E378" s="14">
        <v>31200</v>
      </c>
      <c r="F378" s="5">
        <v>0</v>
      </c>
      <c r="G378" s="5">
        <v>0</v>
      </c>
      <c r="H378" s="10" t="s">
        <v>51</v>
      </c>
      <c r="I378" s="10" t="s">
        <v>52</v>
      </c>
      <c r="J378" s="10" t="s">
        <v>32</v>
      </c>
      <c r="K378" s="10" t="s">
        <v>17</v>
      </c>
      <c r="L378" s="10" t="s">
        <v>571</v>
      </c>
    </row>
    <row r="379" spans="1:12" x14ac:dyDescent="0.35">
      <c r="A379" s="9">
        <v>378</v>
      </c>
      <c r="B379" s="19">
        <v>45808.212037037039</v>
      </c>
      <c r="C379" s="20">
        <v>45808</v>
      </c>
      <c r="D379" s="8" t="s">
        <v>394</v>
      </c>
      <c r="E379" s="3">
        <v>0</v>
      </c>
      <c r="F379" s="13">
        <v>500</v>
      </c>
      <c r="G379" s="3">
        <v>500</v>
      </c>
      <c r="H379" s="8" t="s">
        <v>51</v>
      </c>
      <c r="I379" s="8" t="s">
        <v>71</v>
      </c>
      <c r="J379" s="8" t="s">
        <v>32</v>
      </c>
      <c r="K379" s="8" t="s">
        <v>17</v>
      </c>
      <c r="L379" s="8" t="s">
        <v>572</v>
      </c>
    </row>
    <row r="380" spans="1:12" x14ac:dyDescent="0.35">
      <c r="A380" s="11">
        <v>379</v>
      </c>
      <c r="B380" s="17">
        <v>45808.212037037039</v>
      </c>
      <c r="C380" s="18">
        <v>45808</v>
      </c>
      <c r="D380" s="10" t="s">
        <v>342</v>
      </c>
      <c r="E380" s="14">
        <v>500</v>
      </c>
      <c r="F380" s="5">
        <v>0</v>
      </c>
      <c r="G380" s="5">
        <v>0</v>
      </c>
      <c r="H380" s="10" t="s">
        <v>51</v>
      </c>
      <c r="I380" s="10" t="s">
        <v>52</v>
      </c>
      <c r="J380" s="10" t="s">
        <v>33</v>
      </c>
      <c r="K380" s="10" t="s">
        <v>17</v>
      </c>
      <c r="L380" s="10" t="s">
        <v>573</v>
      </c>
    </row>
    <row r="381" spans="1:12" x14ac:dyDescent="0.35">
      <c r="A381" s="9">
        <v>380</v>
      </c>
      <c r="B381" s="19">
        <v>45808.563611111109</v>
      </c>
      <c r="C381" s="20">
        <v>45808</v>
      </c>
      <c r="D381" s="8" t="s">
        <v>574</v>
      </c>
      <c r="E381" s="12">
        <v>15000</v>
      </c>
      <c r="F381" s="3">
        <v>0</v>
      </c>
      <c r="G381" s="3">
        <v>0</v>
      </c>
      <c r="H381" s="8" t="s">
        <v>51</v>
      </c>
      <c r="I381" s="8" t="s">
        <v>52</v>
      </c>
      <c r="J381" s="8" t="s">
        <v>30</v>
      </c>
      <c r="K381" s="8" t="s">
        <v>17</v>
      </c>
      <c r="L381" s="8" t="s">
        <v>575</v>
      </c>
    </row>
    <row r="382" spans="1:12" x14ac:dyDescent="0.35">
      <c r="A382" s="11">
        <v>381</v>
      </c>
      <c r="B382" s="17">
        <v>45808.563657407409</v>
      </c>
      <c r="C382" s="18">
        <v>45808</v>
      </c>
      <c r="D382" s="10" t="s">
        <v>394</v>
      </c>
      <c r="E382" s="5">
        <v>0</v>
      </c>
      <c r="F382" s="15">
        <v>15000</v>
      </c>
      <c r="G382" s="5">
        <v>15000</v>
      </c>
      <c r="H382" s="10" t="s">
        <v>51</v>
      </c>
      <c r="I382" s="10" t="s">
        <v>71</v>
      </c>
      <c r="J382" s="10" t="s">
        <v>32</v>
      </c>
      <c r="K382" s="10" t="s">
        <v>17</v>
      </c>
      <c r="L382" s="10" t="s">
        <v>576</v>
      </c>
    </row>
    <row r="383" spans="1:12" x14ac:dyDescent="0.35">
      <c r="A383" s="9">
        <v>382</v>
      </c>
      <c r="B383" s="19">
        <v>45808.751504629632</v>
      </c>
      <c r="C383" s="20">
        <v>45808</v>
      </c>
      <c r="D383" s="8" t="s">
        <v>577</v>
      </c>
      <c r="E383" s="12">
        <v>2000</v>
      </c>
      <c r="F383" s="3">
        <v>0</v>
      </c>
      <c r="G383" s="3">
        <v>0</v>
      </c>
      <c r="H383" s="8" t="s">
        <v>51</v>
      </c>
      <c r="I383" s="8" t="s">
        <v>52</v>
      </c>
      <c r="J383" s="8" t="s">
        <v>30</v>
      </c>
      <c r="K383" s="8" t="s">
        <v>17</v>
      </c>
      <c r="L383" s="8" t="s">
        <v>578</v>
      </c>
    </row>
    <row r="384" spans="1:12" x14ac:dyDescent="0.35">
      <c r="A384" s="11">
        <v>383</v>
      </c>
      <c r="B384" s="17">
        <v>45808.751562500001</v>
      </c>
      <c r="C384" s="18">
        <v>45808</v>
      </c>
      <c r="D384" s="10" t="s">
        <v>394</v>
      </c>
      <c r="E384" s="5">
        <v>0</v>
      </c>
      <c r="F384" s="15">
        <v>2000</v>
      </c>
      <c r="G384" s="5">
        <v>2000</v>
      </c>
      <c r="H384" s="10" t="s">
        <v>51</v>
      </c>
      <c r="I384" s="10" t="s">
        <v>71</v>
      </c>
      <c r="J384" s="10" t="s">
        <v>32</v>
      </c>
      <c r="K384" s="10" t="s">
        <v>17</v>
      </c>
      <c r="L384" s="10" t="s">
        <v>579</v>
      </c>
    </row>
    <row r="385" spans="1:12" x14ac:dyDescent="0.35">
      <c r="A385" s="9">
        <v>384</v>
      </c>
      <c r="B385" s="19">
        <v>45808.770150462973</v>
      </c>
      <c r="C385" s="20">
        <v>45808</v>
      </c>
      <c r="D385" s="8" t="s">
        <v>580</v>
      </c>
      <c r="E385" s="12">
        <v>2100</v>
      </c>
      <c r="F385" s="3">
        <v>0</v>
      </c>
      <c r="G385" s="3">
        <v>0</v>
      </c>
      <c r="H385" s="8" t="s">
        <v>51</v>
      </c>
      <c r="I385" s="8" t="s">
        <v>52</v>
      </c>
      <c r="J385" s="8" t="s">
        <v>30</v>
      </c>
      <c r="K385" s="8" t="s">
        <v>17</v>
      </c>
      <c r="L385" s="8" t="s">
        <v>581</v>
      </c>
    </row>
    <row r="386" spans="1:12" x14ac:dyDescent="0.35">
      <c r="A386" s="11">
        <v>385</v>
      </c>
      <c r="B386" s="17">
        <v>45808.770196759258</v>
      </c>
      <c r="C386" s="18">
        <v>45808</v>
      </c>
      <c r="D386" s="10" t="s">
        <v>394</v>
      </c>
      <c r="E386" s="5">
        <v>0</v>
      </c>
      <c r="F386" s="15">
        <v>2100</v>
      </c>
      <c r="G386" s="5">
        <v>2100</v>
      </c>
      <c r="H386" s="10" t="s">
        <v>51</v>
      </c>
      <c r="I386" s="10" t="s">
        <v>71</v>
      </c>
      <c r="J386" s="10" t="s">
        <v>32</v>
      </c>
      <c r="K386" s="10" t="s">
        <v>17</v>
      </c>
      <c r="L386" s="10" t="s">
        <v>582</v>
      </c>
    </row>
    <row r="387" spans="1:12" x14ac:dyDescent="0.35">
      <c r="A387" s="9">
        <v>386</v>
      </c>
      <c r="B387" s="19">
        <v>45808.800509259258</v>
      </c>
      <c r="C387" s="20">
        <v>45808</v>
      </c>
      <c r="D387" s="8" t="s">
        <v>583</v>
      </c>
      <c r="E387" s="12">
        <v>2000</v>
      </c>
      <c r="F387" s="3">
        <v>0</v>
      </c>
      <c r="G387" s="3">
        <v>0</v>
      </c>
      <c r="H387" s="8" t="s">
        <v>51</v>
      </c>
      <c r="I387" s="8" t="s">
        <v>52</v>
      </c>
      <c r="J387" s="8" t="s">
        <v>30</v>
      </c>
      <c r="K387" s="8" t="s">
        <v>17</v>
      </c>
      <c r="L387" s="8" t="s">
        <v>584</v>
      </c>
    </row>
    <row r="388" spans="1:12" x14ac:dyDescent="0.35">
      <c r="A388" s="11">
        <v>387</v>
      </c>
      <c r="B388" s="17">
        <v>45808.800555555557</v>
      </c>
      <c r="C388" s="18">
        <v>45808</v>
      </c>
      <c r="D388" s="10" t="s">
        <v>394</v>
      </c>
      <c r="E388" s="5">
        <v>0</v>
      </c>
      <c r="F388" s="15">
        <v>2000</v>
      </c>
      <c r="G388" s="5">
        <v>2000</v>
      </c>
      <c r="H388" s="10" t="s">
        <v>51</v>
      </c>
      <c r="I388" s="10" t="s">
        <v>71</v>
      </c>
      <c r="J388" s="10" t="s">
        <v>32</v>
      </c>
      <c r="K388" s="10" t="s">
        <v>17</v>
      </c>
      <c r="L388" s="10" t="s">
        <v>585</v>
      </c>
    </row>
    <row r="389" spans="1:12" x14ac:dyDescent="0.35">
      <c r="A389" s="9">
        <v>388</v>
      </c>
      <c r="B389" s="19">
        <v>45809.21199074074</v>
      </c>
      <c r="C389" s="20">
        <v>45809</v>
      </c>
      <c r="D389" s="8" t="s">
        <v>342</v>
      </c>
      <c r="E389" s="12">
        <v>500</v>
      </c>
      <c r="F389" s="3">
        <v>0</v>
      </c>
      <c r="G389" s="3">
        <v>0</v>
      </c>
      <c r="H389" s="8" t="s">
        <v>51</v>
      </c>
      <c r="I389" s="8" t="s">
        <v>52</v>
      </c>
      <c r="J389" s="8" t="s">
        <v>33</v>
      </c>
      <c r="K389" s="8" t="s">
        <v>18</v>
      </c>
      <c r="L389" s="8" t="s">
        <v>586</v>
      </c>
    </row>
    <row r="390" spans="1:12" x14ac:dyDescent="0.35">
      <c r="A390" s="11">
        <v>389</v>
      </c>
      <c r="B390" s="17">
        <v>45809.212002314824</v>
      </c>
      <c r="C390" s="18">
        <v>45809</v>
      </c>
      <c r="D390" s="10" t="s">
        <v>394</v>
      </c>
      <c r="E390" s="5">
        <v>0</v>
      </c>
      <c r="F390" s="15">
        <v>500</v>
      </c>
      <c r="G390" s="5">
        <v>500</v>
      </c>
      <c r="H390" s="10" t="s">
        <v>51</v>
      </c>
      <c r="I390" s="10" t="s">
        <v>71</v>
      </c>
      <c r="J390" s="10" t="s">
        <v>32</v>
      </c>
      <c r="K390" s="10" t="s">
        <v>18</v>
      </c>
      <c r="L390" s="10" t="s">
        <v>587</v>
      </c>
    </row>
    <row r="391" spans="1:12" x14ac:dyDescent="0.35">
      <c r="A391" s="9">
        <v>390</v>
      </c>
      <c r="B391" s="19">
        <v>45809.444641203707</v>
      </c>
      <c r="C391" s="20">
        <v>45809</v>
      </c>
      <c r="D391" s="8" t="s">
        <v>436</v>
      </c>
      <c r="E391" s="12">
        <v>2100</v>
      </c>
      <c r="F391" s="3">
        <v>0</v>
      </c>
      <c r="G391" s="3">
        <v>0</v>
      </c>
      <c r="H391" s="8" t="s">
        <v>51</v>
      </c>
      <c r="I391" s="8" t="s">
        <v>52</v>
      </c>
      <c r="J391" s="8" t="s">
        <v>30</v>
      </c>
      <c r="K391" s="8" t="s">
        <v>18</v>
      </c>
      <c r="L391" s="8" t="s">
        <v>588</v>
      </c>
    </row>
    <row r="392" spans="1:12" x14ac:dyDescent="0.35">
      <c r="A392" s="11">
        <v>391</v>
      </c>
      <c r="B392" s="17">
        <v>45809.444687499999</v>
      </c>
      <c r="C392" s="18">
        <v>45809</v>
      </c>
      <c r="D392" s="10" t="s">
        <v>394</v>
      </c>
      <c r="E392" s="5">
        <v>0</v>
      </c>
      <c r="F392" s="15">
        <v>2100</v>
      </c>
      <c r="G392" s="5">
        <v>2100</v>
      </c>
      <c r="H392" s="10" t="s">
        <v>51</v>
      </c>
      <c r="I392" s="10" t="s">
        <v>71</v>
      </c>
      <c r="J392" s="10" t="s">
        <v>32</v>
      </c>
      <c r="K392" s="10" t="s">
        <v>18</v>
      </c>
      <c r="L392" s="10" t="s">
        <v>589</v>
      </c>
    </row>
    <row r="393" spans="1:12" x14ac:dyDescent="0.35">
      <c r="A393" s="9">
        <v>392</v>
      </c>
      <c r="B393" s="19">
        <v>45809.526261574072</v>
      </c>
      <c r="C393" s="20">
        <v>45809</v>
      </c>
      <c r="D393" s="8" t="s">
        <v>590</v>
      </c>
      <c r="E393" s="12">
        <v>2000</v>
      </c>
      <c r="F393" s="3">
        <v>0</v>
      </c>
      <c r="G393" s="3">
        <v>0</v>
      </c>
      <c r="H393" s="8" t="s">
        <v>51</v>
      </c>
      <c r="I393" s="8" t="s">
        <v>52</v>
      </c>
      <c r="J393" s="8" t="s">
        <v>30</v>
      </c>
      <c r="K393" s="8" t="s">
        <v>18</v>
      </c>
      <c r="L393" s="8" t="s">
        <v>591</v>
      </c>
    </row>
    <row r="394" spans="1:12" x14ac:dyDescent="0.35">
      <c r="A394" s="11">
        <v>393</v>
      </c>
      <c r="B394" s="17">
        <v>45809.526307870372</v>
      </c>
      <c r="C394" s="18">
        <v>45809</v>
      </c>
      <c r="D394" s="10" t="s">
        <v>394</v>
      </c>
      <c r="E394" s="5">
        <v>0</v>
      </c>
      <c r="F394" s="15">
        <v>2000</v>
      </c>
      <c r="G394" s="5">
        <v>2000</v>
      </c>
      <c r="H394" s="10" t="s">
        <v>51</v>
      </c>
      <c r="I394" s="10" t="s">
        <v>71</v>
      </c>
      <c r="J394" s="10" t="s">
        <v>32</v>
      </c>
      <c r="K394" s="10" t="s">
        <v>18</v>
      </c>
      <c r="L394" s="10" t="s">
        <v>592</v>
      </c>
    </row>
    <row r="395" spans="1:12" x14ac:dyDescent="0.35">
      <c r="A395" s="9">
        <v>394</v>
      </c>
      <c r="B395" s="19">
        <v>45810.211655092593</v>
      </c>
      <c r="C395" s="20">
        <v>45810</v>
      </c>
      <c r="D395" s="8" t="s">
        <v>394</v>
      </c>
      <c r="E395" s="3">
        <v>0</v>
      </c>
      <c r="F395" s="13">
        <v>500</v>
      </c>
      <c r="G395" s="3">
        <v>500</v>
      </c>
      <c r="H395" s="8" t="s">
        <v>51</v>
      </c>
      <c r="I395" s="8" t="s">
        <v>71</v>
      </c>
      <c r="J395" s="8" t="s">
        <v>32</v>
      </c>
      <c r="K395" s="8" t="s">
        <v>18</v>
      </c>
      <c r="L395" s="8" t="s">
        <v>593</v>
      </c>
    </row>
    <row r="396" spans="1:12" x14ac:dyDescent="0.35">
      <c r="A396" s="11">
        <v>395</v>
      </c>
      <c r="B396" s="17">
        <v>45810.211655092593</v>
      </c>
      <c r="C396" s="18">
        <v>45810</v>
      </c>
      <c r="D396" s="10" t="s">
        <v>342</v>
      </c>
      <c r="E396" s="14">
        <v>500</v>
      </c>
      <c r="F396" s="5">
        <v>0</v>
      </c>
      <c r="G396" s="5">
        <v>0</v>
      </c>
      <c r="H396" s="10" t="s">
        <v>51</v>
      </c>
      <c r="I396" s="10" t="s">
        <v>52</v>
      </c>
      <c r="J396" s="10" t="s">
        <v>33</v>
      </c>
      <c r="K396" s="10" t="s">
        <v>18</v>
      </c>
      <c r="L396" s="10" t="s">
        <v>594</v>
      </c>
    </row>
    <row r="397" spans="1:12" x14ac:dyDescent="0.35">
      <c r="A397" s="9">
        <v>396</v>
      </c>
      <c r="B397" s="19">
        <v>45810.66511574074</v>
      </c>
      <c r="C397" s="20">
        <v>45810</v>
      </c>
      <c r="D397" s="8" t="s">
        <v>595</v>
      </c>
      <c r="E397" s="12">
        <v>800</v>
      </c>
      <c r="F397" s="3">
        <v>0</v>
      </c>
      <c r="G397" s="3">
        <v>0</v>
      </c>
      <c r="H397" s="8" t="s">
        <v>51</v>
      </c>
      <c r="I397" s="8" t="s">
        <v>52</v>
      </c>
      <c r="J397" s="8" t="s">
        <v>30</v>
      </c>
      <c r="K397" s="8" t="s">
        <v>18</v>
      </c>
      <c r="L397" s="8" t="s">
        <v>596</v>
      </c>
    </row>
    <row r="398" spans="1:12" x14ac:dyDescent="0.35">
      <c r="A398" s="11">
        <v>397</v>
      </c>
      <c r="B398" s="17">
        <v>45810.665162037039</v>
      </c>
      <c r="C398" s="18">
        <v>45810</v>
      </c>
      <c r="D398" s="10" t="s">
        <v>394</v>
      </c>
      <c r="E398" s="5">
        <v>0</v>
      </c>
      <c r="F398" s="15">
        <v>800</v>
      </c>
      <c r="G398" s="5">
        <v>800</v>
      </c>
      <c r="H398" s="10" t="s">
        <v>51</v>
      </c>
      <c r="I398" s="10" t="s">
        <v>71</v>
      </c>
      <c r="J398" s="10" t="s">
        <v>32</v>
      </c>
      <c r="K398" s="10" t="s">
        <v>18</v>
      </c>
      <c r="L398" s="10" t="s">
        <v>597</v>
      </c>
    </row>
    <row r="399" spans="1:12" x14ac:dyDescent="0.35">
      <c r="A399" s="9">
        <v>398</v>
      </c>
      <c r="B399" s="19">
        <v>45810.728437500002</v>
      </c>
      <c r="C399" s="20">
        <v>45810</v>
      </c>
      <c r="D399" s="8" t="s">
        <v>598</v>
      </c>
      <c r="E399" s="12">
        <v>2100</v>
      </c>
      <c r="F399" s="3">
        <v>0</v>
      </c>
      <c r="G399" s="3">
        <v>0</v>
      </c>
      <c r="H399" s="8" t="s">
        <v>51</v>
      </c>
      <c r="I399" s="8" t="s">
        <v>52</v>
      </c>
      <c r="J399" s="8" t="s">
        <v>30</v>
      </c>
      <c r="K399" s="8" t="s">
        <v>18</v>
      </c>
      <c r="L399" s="8" t="s">
        <v>599</v>
      </c>
    </row>
    <row r="400" spans="1:12" x14ac:dyDescent="0.35">
      <c r="A400" s="11">
        <v>399</v>
      </c>
      <c r="B400" s="17">
        <v>45810.728472222218</v>
      </c>
      <c r="C400" s="18">
        <v>45810</v>
      </c>
      <c r="D400" s="10" t="s">
        <v>394</v>
      </c>
      <c r="E400" s="5">
        <v>0</v>
      </c>
      <c r="F400" s="15">
        <v>2100</v>
      </c>
      <c r="G400" s="5">
        <v>2100</v>
      </c>
      <c r="H400" s="10" t="s">
        <v>51</v>
      </c>
      <c r="I400" s="10" t="s">
        <v>71</v>
      </c>
      <c r="J400" s="10" t="s">
        <v>32</v>
      </c>
      <c r="K400" s="10" t="s">
        <v>18</v>
      </c>
      <c r="L400" s="10" t="s">
        <v>600</v>
      </c>
    </row>
    <row r="401" spans="1:12" x14ac:dyDescent="0.35">
      <c r="A401" s="9">
        <v>400</v>
      </c>
      <c r="B401" s="19">
        <v>45811.211608796293</v>
      </c>
      <c r="C401" s="20">
        <v>45811</v>
      </c>
      <c r="D401" s="8" t="s">
        <v>394</v>
      </c>
      <c r="E401" s="3">
        <v>0</v>
      </c>
      <c r="F401" s="13">
        <v>500</v>
      </c>
      <c r="G401" s="3">
        <v>500</v>
      </c>
      <c r="H401" s="8" t="s">
        <v>51</v>
      </c>
      <c r="I401" s="8" t="s">
        <v>71</v>
      </c>
      <c r="J401" s="8" t="s">
        <v>32</v>
      </c>
      <c r="K401" s="8" t="s">
        <v>18</v>
      </c>
      <c r="L401" s="8" t="s">
        <v>601</v>
      </c>
    </row>
    <row r="402" spans="1:12" x14ac:dyDescent="0.35">
      <c r="A402" s="11">
        <v>401</v>
      </c>
      <c r="B402" s="17">
        <v>45811.211608796293</v>
      </c>
      <c r="C402" s="18">
        <v>45811</v>
      </c>
      <c r="D402" s="10" t="s">
        <v>342</v>
      </c>
      <c r="E402" s="14">
        <v>500</v>
      </c>
      <c r="F402" s="5">
        <v>0</v>
      </c>
      <c r="G402" s="5">
        <v>0</v>
      </c>
      <c r="H402" s="10" t="s">
        <v>51</v>
      </c>
      <c r="I402" s="10" t="s">
        <v>52</v>
      </c>
      <c r="J402" s="10" t="s">
        <v>33</v>
      </c>
      <c r="K402" s="10" t="s">
        <v>18</v>
      </c>
      <c r="L402" s="10" t="s">
        <v>602</v>
      </c>
    </row>
    <row r="403" spans="1:12" x14ac:dyDescent="0.35">
      <c r="A403" s="9">
        <v>402</v>
      </c>
      <c r="B403" s="19">
        <v>45811.65697916667</v>
      </c>
      <c r="C403" s="20">
        <v>45811</v>
      </c>
      <c r="D403" s="8" t="s">
        <v>603</v>
      </c>
      <c r="E403" s="12">
        <v>1000</v>
      </c>
      <c r="F403" s="3">
        <v>0</v>
      </c>
      <c r="G403" s="3">
        <v>0</v>
      </c>
      <c r="H403" s="8" t="s">
        <v>51</v>
      </c>
      <c r="I403" s="8" t="s">
        <v>52</v>
      </c>
      <c r="J403" s="8" t="s">
        <v>30</v>
      </c>
      <c r="K403" s="8" t="s">
        <v>18</v>
      </c>
      <c r="L403" s="8" t="s">
        <v>604</v>
      </c>
    </row>
    <row r="404" spans="1:12" x14ac:dyDescent="0.35">
      <c r="A404" s="11">
        <v>403</v>
      </c>
      <c r="B404" s="17">
        <v>45811.657013888893</v>
      </c>
      <c r="C404" s="18">
        <v>45811</v>
      </c>
      <c r="D404" s="10" t="s">
        <v>394</v>
      </c>
      <c r="E404" s="5">
        <v>0</v>
      </c>
      <c r="F404" s="15">
        <v>1000</v>
      </c>
      <c r="G404" s="5">
        <v>1000</v>
      </c>
      <c r="H404" s="10" t="s">
        <v>51</v>
      </c>
      <c r="I404" s="10" t="s">
        <v>71</v>
      </c>
      <c r="J404" s="10" t="s">
        <v>32</v>
      </c>
      <c r="K404" s="10" t="s">
        <v>18</v>
      </c>
      <c r="L404" s="10" t="s">
        <v>605</v>
      </c>
    </row>
    <row r="405" spans="1:12" x14ac:dyDescent="0.35">
      <c r="A405" s="9">
        <v>404</v>
      </c>
      <c r="B405" s="19">
        <v>45811.879826388889</v>
      </c>
      <c r="C405" s="20">
        <v>45811</v>
      </c>
      <c r="D405" s="8" t="s">
        <v>236</v>
      </c>
      <c r="E405" s="12">
        <v>2500</v>
      </c>
      <c r="F405" s="3">
        <v>0</v>
      </c>
      <c r="G405" s="3">
        <v>0</v>
      </c>
      <c r="H405" s="8" t="s">
        <v>51</v>
      </c>
      <c r="I405" s="8" t="s">
        <v>52</v>
      </c>
      <c r="J405" s="8" t="s">
        <v>30</v>
      </c>
      <c r="K405" s="8" t="s">
        <v>18</v>
      </c>
      <c r="L405" s="8" t="s">
        <v>606</v>
      </c>
    </row>
    <row r="406" spans="1:12" x14ac:dyDescent="0.35">
      <c r="A406" s="11">
        <v>405</v>
      </c>
      <c r="B406" s="17">
        <v>45811.879884259259</v>
      </c>
      <c r="C406" s="18">
        <v>45811</v>
      </c>
      <c r="D406" s="10" t="s">
        <v>394</v>
      </c>
      <c r="E406" s="5">
        <v>0</v>
      </c>
      <c r="F406" s="15">
        <v>2500</v>
      </c>
      <c r="G406" s="5">
        <v>2500</v>
      </c>
      <c r="H406" s="10" t="s">
        <v>51</v>
      </c>
      <c r="I406" s="10" t="s">
        <v>71</v>
      </c>
      <c r="J406" s="10" t="s">
        <v>32</v>
      </c>
      <c r="K406" s="10" t="s">
        <v>18</v>
      </c>
      <c r="L406" s="10" t="s">
        <v>607</v>
      </c>
    </row>
    <row r="407" spans="1:12" x14ac:dyDescent="0.35">
      <c r="A407" s="9">
        <v>406</v>
      </c>
      <c r="B407" s="19">
        <v>45812.211631944447</v>
      </c>
      <c r="C407" s="20">
        <v>45812</v>
      </c>
      <c r="D407" s="8" t="s">
        <v>342</v>
      </c>
      <c r="E407" s="12">
        <v>500</v>
      </c>
      <c r="F407" s="3">
        <v>0</v>
      </c>
      <c r="G407" s="3">
        <v>0</v>
      </c>
      <c r="H407" s="8" t="s">
        <v>51</v>
      </c>
      <c r="I407" s="8" t="s">
        <v>52</v>
      </c>
      <c r="J407" s="8" t="s">
        <v>33</v>
      </c>
      <c r="K407" s="8" t="s">
        <v>18</v>
      </c>
      <c r="L407" s="8" t="s">
        <v>608</v>
      </c>
    </row>
    <row r="408" spans="1:12" x14ac:dyDescent="0.35">
      <c r="A408" s="11">
        <v>407</v>
      </c>
      <c r="B408" s="17">
        <v>45812.211643518523</v>
      </c>
      <c r="C408" s="18">
        <v>45812</v>
      </c>
      <c r="D408" s="10" t="s">
        <v>394</v>
      </c>
      <c r="E408" s="5">
        <v>0</v>
      </c>
      <c r="F408" s="15">
        <v>500</v>
      </c>
      <c r="G408" s="5">
        <v>500</v>
      </c>
      <c r="H408" s="10" t="s">
        <v>51</v>
      </c>
      <c r="I408" s="10" t="s">
        <v>71</v>
      </c>
      <c r="J408" s="10" t="s">
        <v>32</v>
      </c>
      <c r="K408" s="10" t="s">
        <v>18</v>
      </c>
      <c r="L408" s="10" t="s">
        <v>609</v>
      </c>
    </row>
    <row r="409" spans="1:12" x14ac:dyDescent="0.35">
      <c r="A409" s="9">
        <v>408</v>
      </c>
      <c r="B409" s="19">
        <v>45812.78802083333</v>
      </c>
      <c r="C409" s="20">
        <v>45812</v>
      </c>
      <c r="D409" s="8" t="s">
        <v>610</v>
      </c>
      <c r="E409" s="12">
        <v>10100</v>
      </c>
      <c r="F409" s="3">
        <v>0</v>
      </c>
      <c r="G409" s="3">
        <v>0</v>
      </c>
      <c r="H409" s="8" t="s">
        <v>51</v>
      </c>
      <c r="I409" s="8" t="s">
        <v>52</v>
      </c>
      <c r="J409" s="8" t="s">
        <v>30</v>
      </c>
      <c r="K409" s="8" t="s">
        <v>18</v>
      </c>
      <c r="L409" s="8" t="s">
        <v>611</v>
      </c>
    </row>
    <row r="410" spans="1:12" x14ac:dyDescent="0.35">
      <c r="A410" s="11">
        <v>409</v>
      </c>
      <c r="B410" s="17">
        <v>45812.78806712963</v>
      </c>
      <c r="C410" s="18">
        <v>45812</v>
      </c>
      <c r="D410" s="10" t="s">
        <v>394</v>
      </c>
      <c r="E410" s="5">
        <v>0</v>
      </c>
      <c r="F410" s="15">
        <v>10100</v>
      </c>
      <c r="G410" s="5">
        <v>10100</v>
      </c>
      <c r="H410" s="10" t="s">
        <v>51</v>
      </c>
      <c r="I410" s="10" t="s">
        <v>71</v>
      </c>
      <c r="J410" s="10" t="s">
        <v>32</v>
      </c>
      <c r="K410" s="10" t="s">
        <v>18</v>
      </c>
      <c r="L410" s="10" t="s">
        <v>612</v>
      </c>
    </row>
    <row r="411" spans="1:12" x14ac:dyDescent="0.35">
      <c r="A411" s="9">
        <v>410</v>
      </c>
      <c r="B411" s="19">
        <v>45813.211412037039</v>
      </c>
      <c r="C411" s="20">
        <v>45813</v>
      </c>
      <c r="D411" s="8" t="s">
        <v>342</v>
      </c>
      <c r="E411" s="12">
        <v>500</v>
      </c>
      <c r="F411" s="3">
        <v>0</v>
      </c>
      <c r="G411" s="3">
        <v>0</v>
      </c>
      <c r="H411" s="8" t="s">
        <v>51</v>
      </c>
      <c r="I411" s="8" t="s">
        <v>52</v>
      </c>
      <c r="J411" s="8" t="s">
        <v>33</v>
      </c>
      <c r="K411" s="8" t="s">
        <v>18</v>
      </c>
      <c r="L411" s="8" t="s">
        <v>613</v>
      </c>
    </row>
    <row r="412" spans="1:12" x14ac:dyDescent="0.35">
      <c r="A412" s="11">
        <v>411</v>
      </c>
      <c r="B412" s="17">
        <v>45813.211423611108</v>
      </c>
      <c r="C412" s="18">
        <v>45813</v>
      </c>
      <c r="D412" s="10" t="s">
        <v>394</v>
      </c>
      <c r="E412" s="5">
        <v>0</v>
      </c>
      <c r="F412" s="15">
        <v>500</v>
      </c>
      <c r="G412" s="5">
        <v>500</v>
      </c>
      <c r="H412" s="10" t="s">
        <v>51</v>
      </c>
      <c r="I412" s="10" t="s">
        <v>71</v>
      </c>
      <c r="J412" s="10" t="s">
        <v>32</v>
      </c>
      <c r="K412" s="10" t="s">
        <v>18</v>
      </c>
      <c r="L412" s="10" t="s">
        <v>614</v>
      </c>
    </row>
    <row r="413" spans="1:12" x14ac:dyDescent="0.35">
      <c r="A413" s="9">
        <v>412</v>
      </c>
      <c r="B413" s="19">
        <v>45813.512233796297</v>
      </c>
      <c r="C413" s="20">
        <v>45813</v>
      </c>
      <c r="D413" s="8" t="s">
        <v>615</v>
      </c>
      <c r="E413" s="12">
        <v>10000</v>
      </c>
      <c r="F413" s="3">
        <v>0</v>
      </c>
      <c r="G413" s="3">
        <v>0</v>
      </c>
      <c r="H413" s="8" t="s">
        <v>51</v>
      </c>
      <c r="I413" s="8" t="s">
        <v>52</v>
      </c>
      <c r="J413" s="8" t="s">
        <v>30</v>
      </c>
      <c r="K413" s="8" t="s">
        <v>18</v>
      </c>
      <c r="L413" s="8" t="s">
        <v>616</v>
      </c>
    </row>
    <row r="414" spans="1:12" x14ac:dyDescent="0.35">
      <c r="A414" s="11">
        <v>413</v>
      </c>
      <c r="B414" s="17">
        <v>45813.512303240743</v>
      </c>
      <c r="C414" s="18">
        <v>45813</v>
      </c>
      <c r="D414" s="10" t="s">
        <v>394</v>
      </c>
      <c r="E414" s="5">
        <v>0</v>
      </c>
      <c r="F414" s="15">
        <v>10000</v>
      </c>
      <c r="G414" s="5">
        <v>10000</v>
      </c>
      <c r="H414" s="10" t="s">
        <v>51</v>
      </c>
      <c r="I414" s="10" t="s">
        <v>71</v>
      </c>
      <c r="J414" s="10" t="s">
        <v>32</v>
      </c>
      <c r="K414" s="10" t="s">
        <v>18</v>
      </c>
      <c r="L414" s="10" t="s">
        <v>617</v>
      </c>
    </row>
    <row r="415" spans="1:12" x14ac:dyDescent="0.35">
      <c r="A415" s="9">
        <v>414</v>
      </c>
      <c r="B415" s="19">
        <v>45813.512881944444</v>
      </c>
      <c r="C415" s="20">
        <v>45813</v>
      </c>
      <c r="D415" s="8" t="s">
        <v>618</v>
      </c>
      <c r="E415" s="12">
        <v>500</v>
      </c>
      <c r="F415" s="3">
        <v>0</v>
      </c>
      <c r="G415" s="3">
        <v>0</v>
      </c>
      <c r="H415" s="8" t="s">
        <v>51</v>
      </c>
      <c r="I415" s="8" t="s">
        <v>52</v>
      </c>
      <c r="J415" s="8" t="s">
        <v>37</v>
      </c>
      <c r="K415" s="8" t="s">
        <v>18</v>
      </c>
      <c r="L415" s="8" t="s">
        <v>619</v>
      </c>
    </row>
    <row r="416" spans="1:12" x14ac:dyDescent="0.35">
      <c r="A416" s="11">
        <v>415</v>
      </c>
      <c r="B416" s="17">
        <v>45813.512916666667</v>
      </c>
      <c r="C416" s="18">
        <v>45813</v>
      </c>
      <c r="D416" s="10" t="s">
        <v>394</v>
      </c>
      <c r="E416" s="5">
        <v>0</v>
      </c>
      <c r="F416" s="15">
        <v>500</v>
      </c>
      <c r="G416" s="5">
        <v>500</v>
      </c>
      <c r="H416" s="10" t="s">
        <v>51</v>
      </c>
      <c r="I416" s="10" t="s">
        <v>71</v>
      </c>
      <c r="J416" s="10" t="s">
        <v>32</v>
      </c>
      <c r="K416" s="10" t="s">
        <v>18</v>
      </c>
      <c r="L416" s="10" t="s">
        <v>620</v>
      </c>
    </row>
    <row r="417" spans="1:12" x14ac:dyDescent="0.35">
      <c r="A417" s="9">
        <v>416</v>
      </c>
      <c r="B417" s="19">
        <v>45813.564259259263</v>
      </c>
      <c r="C417" s="20">
        <v>45813</v>
      </c>
      <c r="D417" s="8" t="s">
        <v>394</v>
      </c>
      <c r="E417" s="3">
        <v>0</v>
      </c>
      <c r="F417" s="13">
        <v>10</v>
      </c>
      <c r="G417" s="3">
        <v>10</v>
      </c>
      <c r="H417" s="8" t="s">
        <v>51</v>
      </c>
      <c r="I417" s="8" t="s">
        <v>71</v>
      </c>
      <c r="J417" s="8" t="s">
        <v>32</v>
      </c>
      <c r="K417" s="8" t="s">
        <v>18</v>
      </c>
      <c r="L417" s="8" t="s">
        <v>621</v>
      </c>
    </row>
    <row r="418" spans="1:12" x14ac:dyDescent="0.35">
      <c r="A418" s="11">
        <v>417</v>
      </c>
      <c r="B418" s="17">
        <v>45813.564259259263</v>
      </c>
      <c r="C418" s="18">
        <v>45813</v>
      </c>
      <c r="D418" s="10" t="s">
        <v>98</v>
      </c>
      <c r="E418" s="14">
        <v>10</v>
      </c>
      <c r="F418" s="5">
        <v>0</v>
      </c>
      <c r="G418" s="5">
        <v>0</v>
      </c>
      <c r="H418" s="10" t="s">
        <v>99</v>
      </c>
      <c r="I418" s="10" t="s">
        <v>52</v>
      </c>
      <c r="J418" s="10" t="s">
        <v>36</v>
      </c>
      <c r="K418" s="10" t="s">
        <v>18</v>
      </c>
      <c r="L418" s="10" t="s">
        <v>622</v>
      </c>
    </row>
    <row r="419" spans="1:12" x14ac:dyDescent="0.35">
      <c r="A419" s="9">
        <v>418</v>
      </c>
      <c r="B419" s="19">
        <v>45813.564710648148</v>
      </c>
      <c r="C419" s="20">
        <v>45813</v>
      </c>
      <c r="D419" s="8" t="s">
        <v>394</v>
      </c>
      <c r="E419" s="3">
        <v>0</v>
      </c>
      <c r="F419" s="13">
        <v>200</v>
      </c>
      <c r="G419" s="3">
        <v>200</v>
      </c>
      <c r="H419" s="8" t="s">
        <v>51</v>
      </c>
      <c r="I419" s="8" t="s">
        <v>71</v>
      </c>
      <c r="J419" s="8" t="s">
        <v>32</v>
      </c>
      <c r="K419" s="8" t="s">
        <v>18</v>
      </c>
      <c r="L419" s="8" t="s">
        <v>623</v>
      </c>
    </row>
    <row r="420" spans="1:12" x14ac:dyDescent="0.35">
      <c r="A420" s="11">
        <v>419</v>
      </c>
      <c r="B420" s="17">
        <v>45813.564710648148</v>
      </c>
      <c r="C420" s="18">
        <v>45813</v>
      </c>
      <c r="D420" s="10" t="s">
        <v>624</v>
      </c>
      <c r="E420" s="14">
        <v>200</v>
      </c>
      <c r="F420" s="5">
        <v>0</v>
      </c>
      <c r="G420" s="5">
        <v>0</v>
      </c>
      <c r="H420" s="10" t="s">
        <v>99</v>
      </c>
      <c r="I420" s="10" t="s">
        <v>52</v>
      </c>
      <c r="J420" s="10" t="s">
        <v>30</v>
      </c>
      <c r="K420" s="10" t="s">
        <v>18</v>
      </c>
      <c r="L420" s="10" t="s">
        <v>625</v>
      </c>
    </row>
    <row r="421" spans="1:12" x14ac:dyDescent="0.35">
      <c r="A421" s="9">
        <v>420</v>
      </c>
      <c r="B421" s="19">
        <v>45813.59888888889</v>
      </c>
      <c r="C421" s="20">
        <v>45813</v>
      </c>
      <c r="D421" s="8" t="s">
        <v>626</v>
      </c>
      <c r="E421" s="12">
        <v>2800</v>
      </c>
      <c r="F421" s="3">
        <v>0</v>
      </c>
      <c r="G421" s="3">
        <v>0</v>
      </c>
      <c r="H421" s="8" t="s">
        <v>51</v>
      </c>
      <c r="I421" s="8" t="s">
        <v>52</v>
      </c>
      <c r="J421" s="8" t="s">
        <v>30</v>
      </c>
      <c r="K421" s="8" t="s">
        <v>18</v>
      </c>
      <c r="L421" s="8" t="s">
        <v>627</v>
      </c>
    </row>
    <row r="422" spans="1:12" x14ac:dyDescent="0.35">
      <c r="A422" s="11">
        <v>421</v>
      </c>
      <c r="B422" s="17">
        <v>45813.598946759259</v>
      </c>
      <c r="C422" s="18">
        <v>45813</v>
      </c>
      <c r="D422" s="10" t="s">
        <v>394</v>
      </c>
      <c r="E422" s="5">
        <v>0</v>
      </c>
      <c r="F422" s="15">
        <v>2800</v>
      </c>
      <c r="G422" s="5">
        <v>2800</v>
      </c>
      <c r="H422" s="10" t="s">
        <v>51</v>
      </c>
      <c r="I422" s="10" t="s">
        <v>71</v>
      </c>
      <c r="J422" s="10" t="s">
        <v>32</v>
      </c>
      <c r="K422" s="10" t="s">
        <v>18</v>
      </c>
      <c r="L422" s="10" t="s">
        <v>628</v>
      </c>
    </row>
    <row r="423" spans="1:12" x14ac:dyDescent="0.35">
      <c r="A423" s="9">
        <v>422</v>
      </c>
      <c r="B423" s="19">
        <v>45814.211412037039</v>
      </c>
      <c r="C423" s="20">
        <v>45814</v>
      </c>
      <c r="D423" s="8" t="s">
        <v>394</v>
      </c>
      <c r="E423" s="3">
        <v>0</v>
      </c>
      <c r="F423" s="13">
        <v>500</v>
      </c>
      <c r="G423" s="3">
        <v>500</v>
      </c>
      <c r="H423" s="8" t="s">
        <v>51</v>
      </c>
      <c r="I423" s="8" t="s">
        <v>71</v>
      </c>
      <c r="J423" s="8" t="s">
        <v>32</v>
      </c>
      <c r="K423" s="8" t="s">
        <v>18</v>
      </c>
      <c r="L423" s="8" t="s">
        <v>629</v>
      </c>
    </row>
    <row r="424" spans="1:12" x14ac:dyDescent="0.35">
      <c r="A424" s="11">
        <v>423</v>
      </c>
      <c r="B424" s="17">
        <v>45814.211412037039</v>
      </c>
      <c r="C424" s="18">
        <v>45814</v>
      </c>
      <c r="D424" s="10" t="s">
        <v>342</v>
      </c>
      <c r="E424" s="14">
        <v>500</v>
      </c>
      <c r="F424" s="5">
        <v>0</v>
      </c>
      <c r="G424" s="5">
        <v>0</v>
      </c>
      <c r="H424" s="10" t="s">
        <v>51</v>
      </c>
      <c r="I424" s="10" t="s">
        <v>52</v>
      </c>
      <c r="J424" s="10" t="s">
        <v>33</v>
      </c>
      <c r="K424" s="10" t="s">
        <v>18</v>
      </c>
      <c r="L424" s="10" t="s">
        <v>630</v>
      </c>
    </row>
    <row r="425" spans="1:12" x14ac:dyDescent="0.35">
      <c r="A425" s="9">
        <v>424</v>
      </c>
      <c r="B425" s="19">
        <v>45814.445520833331</v>
      </c>
      <c r="C425" s="20">
        <v>45814</v>
      </c>
      <c r="D425" s="8" t="s">
        <v>631</v>
      </c>
      <c r="E425" s="12">
        <v>6000</v>
      </c>
      <c r="F425" s="3">
        <v>0</v>
      </c>
      <c r="G425" s="3">
        <v>0</v>
      </c>
      <c r="H425" s="8" t="s">
        <v>51</v>
      </c>
      <c r="I425" s="8" t="s">
        <v>52</v>
      </c>
      <c r="J425" s="8" t="s">
        <v>30</v>
      </c>
      <c r="K425" s="8" t="s">
        <v>18</v>
      </c>
      <c r="L425" s="8" t="s">
        <v>632</v>
      </c>
    </row>
    <row r="426" spans="1:12" x14ac:dyDescent="0.35">
      <c r="A426" s="11">
        <v>425</v>
      </c>
      <c r="B426" s="17">
        <v>45814.445555555547</v>
      </c>
      <c r="C426" s="18">
        <v>45814</v>
      </c>
      <c r="D426" s="10" t="s">
        <v>394</v>
      </c>
      <c r="E426" s="5">
        <v>0</v>
      </c>
      <c r="F426" s="15">
        <v>6000</v>
      </c>
      <c r="G426" s="5">
        <v>6000</v>
      </c>
      <c r="H426" s="10" t="s">
        <v>51</v>
      </c>
      <c r="I426" s="10" t="s">
        <v>71</v>
      </c>
      <c r="J426" s="10" t="s">
        <v>32</v>
      </c>
      <c r="K426" s="10" t="s">
        <v>18</v>
      </c>
      <c r="L426" s="10" t="s">
        <v>633</v>
      </c>
    </row>
    <row r="427" spans="1:12" x14ac:dyDescent="0.35">
      <c r="A427" s="9">
        <v>426</v>
      </c>
      <c r="B427" s="19">
        <v>45814.498668981483</v>
      </c>
      <c r="C427" s="20">
        <v>45814</v>
      </c>
      <c r="D427" s="8" t="s">
        <v>634</v>
      </c>
      <c r="E427" s="12">
        <v>10300</v>
      </c>
      <c r="F427" s="3">
        <v>0</v>
      </c>
      <c r="G427" s="3">
        <v>0</v>
      </c>
      <c r="H427" s="8" t="s">
        <v>51</v>
      </c>
      <c r="I427" s="8" t="s">
        <v>52</v>
      </c>
      <c r="J427" s="8" t="s">
        <v>30</v>
      </c>
      <c r="K427" s="8" t="s">
        <v>18</v>
      </c>
      <c r="L427" s="8" t="s">
        <v>635</v>
      </c>
    </row>
    <row r="428" spans="1:12" x14ac:dyDescent="0.35">
      <c r="A428" s="11">
        <v>427</v>
      </c>
      <c r="B428" s="17">
        <v>45814.498715277783</v>
      </c>
      <c r="C428" s="18">
        <v>45814</v>
      </c>
      <c r="D428" s="10" t="s">
        <v>394</v>
      </c>
      <c r="E428" s="5">
        <v>0</v>
      </c>
      <c r="F428" s="15">
        <v>10300</v>
      </c>
      <c r="G428" s="5">
        <v>10300</v>
      </c>
      <c r="H428" s="10" t="s">
        <v>51</v>
      </c>
      <c r="I428" s="10" t="s">
        <v>71</v>
      </c>
      <c r="J428" s="10" t="s">
        <v>32</v>
      </c>
      <c r="K428" s="10" t="s">
        <v>18</v>
      </c>
      <c r="L428" s="10" t="s">
        <v>636</v>
      </c>
    </row>
    <row r="429" spans="1:12" x14ac:dyDescent="0.35">
      <c r="A429" s="9">
        <v>428</v>
      </c>
      <c r="B429" s="19">
        <v>45814.631898148153</v>
      </c>
      <c r="C429" s="20">
        <v>45814</v>
      </c>
      <c r="D429" s="8" t="s">
        <v>339</v>
      </c>
      <c r="E429" s="12">
        <v>500</v>
      </c>
      <c r="F429" s="3">
        <v>0</v>
      </c>
      <c r="G429" s="3">
        <v>0</v>
      </c>
      <c r="H429" s="8" t="s">
        <v>51</v>
      </c>
      <c r="I429" s="8" t="s">
        <v>52</v>
      </c>
      <c r="J429" s="8" t="s">
        <v>36</v>
      </c>
      <c r="K429" s="8" t="s">
        <v>18</v>
      </c>
      <c r="L429" s="8" t="s">
        <v>637</v>
      </c>
    </row>
    <row r="430" spans="1:12" x14ac:dyDescent="0.35">
      <c r="A430" s="11">
        <v>429</v>
      </c>
      <c r="B430" s="17">
        <v>45814.631932870368</v>
      </c>
      <c r="C430" s="18">
        <v>45814</v>
      </c>
      <c r="D430" s="10" t="s">
        <v>394</v>
      </c>
      <c r="E430" s="5">
        <v>0</v>
      </c>
      <c r="F430" s="15">
        <v>500</v>
      </c>
      <c r="G430" s="5">
        <v>500</v>
      </c>
      <c r="H430" s="10" t="s">
        <v>51</v>
      </c>
      <c r="I430" s="10" t="s">
        <v>71</v>
      </c>
      <c r="J430" s="10" t="s">
        <v>32</v>
      </c>
      <c r="K430" s="10" t="s">
        <v>18</v>
      </c>
      <c r="L430" s="10" t="s">
        <v>638</v>
      </c>
    </row>
    <row r="431" spans="1:12" x14ac:dyDescent="0.35">
      <c r="A431" s="9">
        <v>430</v>
      </c>
      <c r="B431" s="19">
        <v>45815.211377314823</v>
      </c>
      <c r="C431" s="20">
        <v>45815</v>
      </c>
      <c r="D431" s="8" t="s">
        <v>394</v>
      </c>
      <c r="E431" s="3">
        <v>0</v>
      </c>
      <c r="F431" s="13">
        <v>500</v>
      </c>
      <c r="G431" s="3">
        <v>500</v>
      </c>
      <c r="H431" s="8" t="s">
        <v>51</v>
      </c>
      <c r="I431" s="8" t="s">
        <v>71</v>
      </c>
      <c r="J431" s="8" t="s">
        <v>32</v>
      </c>
      <c r="K431" s="8" t="s">
        <v>18</v>
      </c>
      <c r="L431" s="8" t="s">
        <v>639</v>
      </c>
    </row>
    <row r="432" spans="1:12" x14ac:dyDescent="0.35">
      <c r="A432" s="11">
        <v>431</v>
      </c>
      <c r="B432" s="17">
        <v>45815.211377314823</v>
      </c>
      <c r="C432" s="18">
        <v>45815</v>
      </c>
      <c r="D432" s="10" t="s">
        <v>342</v>
      </c>
      <c r="E432" s="14">
        <v>500</v>
      </c>
      <c r="F432" s="5">
        <v>0</v>
      </c>
      <c r="G432" s="5">
        <v>0</v>
      </c>
      <c r="H432" s="10" t="s">
        <v>51</v>
      </c>
      <c r="I432" s="10" t="s">
        <v>52</v>
      </c>
      <c r="J432" s="10" t="s">
        <v>33</v>
      </c>
      <c r="K432" s="10" t="s">
        <v>18</v>
      </c>
      <c r="L432" s="10" t="s">
        <v>640</v>
      </c>
    </row>
    <row r="433" spans="1:12" x14ac:dyDescent="0.35">
      <c r="A433" s="9">
        <v>432</v>
      </c>
      <c r="B433" s="19">
        <v>45815.755532407413</v>
      </c>
      <c r="C433" s="20">
        <v>45815</v>
      </c>
      <c r="D433" s="8" t="s">
        <v>631</v>
      </c>
      <c r="E433" s="12">
        <v>4000</v>
      </c>
      <c r="F433" s="3">
        <v>0</v>
      </c>
      <c r="G433" s="3">
        <v>0</v>
      </c>
      <c r="H433" s="8" t="s">
        <v>51</v>
      </c>
      <c r="I433" s="8" t="s">
        <v>52</v>
      </c>
      <c r="J433" s="8" t="s">
        <v>30</v>
      </c>
      <c r="K433" s="8" t="s">
        <v>18</v>
      </c>
      <c r="L433" s="8" t="s">
        <v>641</v>
      </c>
    </row>
    <row r="434" spans="1:12" x14ac:dyDescent="0.35">
      <c r="A434" s="11">
        <v>433</v>
      </c>
      <c r="B434" s="17">
        <v>45815.755601851852</v>
      </c>
      <c r="C434" s="18">
        <v>45815</v>
      </c>
      <c r="D434" s="10" t="s">
        <v>394</v>
      </c>
      <c r="E434" s="5">
        <v>0</v>
      </c>
      <c r="F434" s="15">
        <v>4000</v>
      </c>
      <c r="G434" s="5">
        <v>4000</v>
      </c>
      <c r="H434" s="10" t="s">
        <v>51</v>
      </c>
      <c r="I434" s="10" t="s">
        <v>71</v>
      </c>
      <c r="J434" s="10" t="s">
        <v>32</v>
      </c>
      <c r="K434" s="10" t="s">
        <v>18</v>
      </c>
      <c r="L434" s="10" t="s">
        <v>642</v>
      </c>
    </row>
    <row r="435" spans="1:12" x14ac:dyDescent="0.35">
      <c r="A435" s="9">
        <v>434</v>
      </c>
      <c r="B435" s="19">
        <v>45815.802939814806</v>
      </c>
      <c r="C435" s="20">
        <v>45815</v>
      </c>
      <c r="D435" s="8" t="s">
        <v>643</v>
      </c>
      <c r="E435" s="12">
        <v>1000</v>
      </c>
      <c r="F435" s="3">
        <v>0</v>
      </c>
      <c r="G435" s="3">
        <v>0</v>
      </c>
      <c r="H435" s="8" t="s">
        <v>33</v>
      </c>
      <c r="I435" s="8" t="s">
        <v>52</v>
      </c>
      <c r="J435" s="8" t="s">
        <v>34</v>
      </c>
      <c r="K435" s="8" t="s">
        <v>18</v>
      </c>
      <c r="L435" s="8" t="s">
        <v>644</v>
      </c>
    </row>
    <row r="436" spans="1:12" x14ac:dyDescent="0.35">
      <c r="A436" s="11">
        <v>435</v>
      </c>
      <c r="B436" s="17">
        <v>45815.802939814806</v>
      </c>
      <c r="C436" s="18">
        <v>45815</v>
      </c>
      <c r="D436" s="10" t="s">
        <v>394</v>
      </c>
      <c r="E436" s="5">
        <v>0</v>
      </c>
      <c r="F436" s="15">
        <v>1000</v>
      </c>
      <c r="G436" s="5">
        <v>1000</v>
      </c>
      <c r="H436" s="10" t="s">
        <v>51</v>
      </c>
      <c r="I436" s="10" t="s">
        <v>71</v>
      </c>
      <c r="J436" s="10" t="s">
        <v>32</v>
      </c>
      <c r="K436" s="10" t="s">
        <v>18</v>
      </c>
      <c r="L436" s="10" t="s">
        <v>645</v>
      </c>
    </row>
    <row r="437" spans="1:12" x14ac:dyDescent="0.35">
      <c r="A437" s="9">
        <v>436</v>
      </c>
      <c r="B437" s="19">
        <v>45815.806828703702</v>
      </c>
      <c r="C437" s="20">
        <v>45815</v>
      </c>
      <c r="D437" s="8" t="s">
        <v>646</v>
      </c>
      <c r="E437" s="12">
        <v>1000</v>
      </c>
      <c r="F437" s="3">
        <v>0</v>
      </c>
      <c r="G437" s="3">
        <v>0</v>
      </c>
      <c r="H437" s="8" t="s">
        <v>51</v>
      </c>
      <c r="I437" s="8" t="s">
        <v>52</v>
      </c>
      <c r="J437" s="8" t="s">
        <v>30</v>
      </c>
      <c r="K437" s="8" t="s">
        <v>18</v>
      </c>
      <c r="L437" s="8" t="s">
        <v>647</v>
      </c>
    </row>
    <row r="438" spans="1:12" x14ac:dyDescent="0.35">
      <c r="A438" s="11">
        <v>437</v>
      </c>
      <c r="B438" s="17">
        <v>45815.806875000002</v>
      </c>
      <c r="C438" s="18">
        <v>45815</v>
      </c>
      <c r="D438" s="10" t="s">
        <v>394</v>
      </c>
      <c r="E438" s="5">
        <v>0</v>
      </c>
      <c r="F438" s="15">
        <v>1000</v>
      </c>
      <c r="G438" s="5">
        <v>1000</v>
      </c>
      <c r="H438" s="10" t="s">
        <v>51</v>
      </c>
      <c r="I438" s="10" t="s">
        <v>71</v>
      </c>
      <c r="J438" s="10" t="s">
        <v>32</v>
      </c>
      <c r="K438" s="10" t="s">
        <v>18</v>
      </c>
      <c r="L438" s="10" t="s">
        <v>648</v>
      </c>
    </row>
    <row r="439" spans="1:12" x14ac:dyDescent="0.35">
      <c r="A439" s="9">
        <v>438</v>
      </c>
      <c r="B439" s="19">
        <v>45815.815694444442</v>
      </c>
      <c r="C439" s="20">
        <v>45815</v>
      </c>
      <c r="D439" s="8" t="s">
        <v>649</v>
      </c>
      <c r="E439" s="12">
        <v>500</v>
      </c>
      <c r="F439" s="3">
        <v>0</v>
      </c>
      <c r="G439" s="3">
        <v>0</v>
      </c>
      <c r="H439" s="8" t="s">
        <v>33</v>
      </c>
      <c r="I439" s="8" t="s">
        <v>52</v>
      </c>
      <c r="J439" s="8" t="s">
        <v>34</v>
      </c>
      <c r="K439" s="8" t="s">
        <v>18</v>
      </c>
      <c r="L439" s="8" t="s">
        <v>650</v>
      </c>
    </row>
    <row r="440" spans="1:12" x14ac:dyDescent="0.35">
      <c r="A440" s="11">
        <v>439</v>
      </c>
      <c r="B440" s="17">
        <v>45815.815706018519</v>
      </c>
      <c r="C440" s="18">
        <v>45815</v>
      </c>
      <c r="D440" s="10" t="s">
        <v>394</v>
      </c>
      <c r="E440" s="5">
        <v>0</v>
      </c>
      <c r="F440" s="15">
        <v>500</v>
      </c>
      <c r="G440" s="5">
        <v>500</v>
      </c>
      <c r="H440" s="10" t="s">
        <v>51</v>
      </c>
      <c r="I440" s="10" t="s">
        <v>71</v>
      </c>
      <c r="J440" s="10" t="s">
        <v>32</v>
      </c>
      <c r="K440" s="10" t="s">
        <v>18</v>
      </c>
      <c r="L440" s="10" t="s">
        <v>651</v>
      </c>
    </row>
    <row r="441" spans="1:12" x14ac:dyDescent="0.35">
      <c r="A441" s="9">
        <v>440</v>
      </c>
      <c r="B441" s="19">
        <v>45815.818148148152</v>
      </c>
      <c r="C441" s="20">
        <v>45815</v>
      </c>
      <c r="D441" s="8" t="s">
        <v>652</v>
      </c>
      <c r="E441" s="12">
        <v>2500</v>
      </c>
      <c r="F441" s="3">
        <v>0</v>
      </c>
      <c r="G441" s="3">
        <v>0</v>
      </c>
      <c r="H441" s="8" t="s">
        <v>33</v>
      </c>
      <c r="I441" s="8" t="s">
        <v>52</v>
      </c>
      <c r="J441" s="8" t="s">
        <v>34</v>
      </c>
      <c r="K441" s="8" t="s">
        <v>18</v>
      </c>
      <c r="L441" s="8" t="s">
        <v>653</v>
      </c>
    </row>
    <row r="442" spans="1:12" x14ac:dyDescent="0.35">
      <c r="A442" s="11">
        <v>441</v>
      </c>
      <c r="B442" s="17">
        <v>45815.818148148152</v>
      </c>
      <c r="C442" s="18">
        <v>45815</v>
      </c>
      <c r="D442" s="10" t="s">
        <v>394</v>
      </c>
      <c r="E442" s="5">
        <v>0</v>
      </c>
      <c r="F442" s="15">
        <v>2500</v>
      </c>
      <c r="G442" s="5">
        <v>2500</v>
      </c>
      <c r="H442" s="10" t="s">
        <v>51</v>
      </c>
      <c r="I442" s="10" t="s">
        <v>71</v>
      </c>
      <c r="J442" s="10" t="s">
        <v>32</v>
      </c>
      <c r="K442" s="10" t="s">
        <v>18</v>
      </c>
      <c r="L442" s="10" t="s">
        <v>654</v>
      </c>
    </row>
    <row r="443" spans="1:12" x14ac:dyDescent="0.35">
      <c r="A443" s="9">
        <v>442</v>
      </c>
      <c r="B443" s="19">
        <v>45816.211226851847</v>
      </c>
      <c r="C443" s="20">
        <v>45816</v>
      </c>
      <c r="D443" s="8" t="s">
        <v>394</v>
      </c>
      <c r="E443" s="3">
        <v>0</v>
      </c>
      <c r="F443" s="13">
        <v>500</v>
      </c>
      <c r="G443" s="3">
        <v>500</v>
      </c>
      <c r="H443" s="8" t="s">
        <v>51</v>
      </c>
      <c r="I443" s="8" t="s">
        <v>71</v>
      </c>
      <c r="J443" s="8" t="s">
        <v>32</v>
      </c>
      <c r="K443" s="8" t="s">
        <v>18</v>
      </c>
      <c r="L443" s="8" t="s">
        <v>655</v>
      </c>
    </row>
    <row r="444" spans="1:12" x14ac:dyDescent="0.35">
      <c r="A444" s="11">
        <v>443</v>
      </c>
      <c r="B444" s="17">
        <v>45816.211226851847</v>
      </c>
      <c r="C444" s="18">
        <v>45816</v>
      </c>
      <c r="D444" s="10" t="s">
        <v>342</v>
      </c>
      <c r="E444" s="14">
        <v>500</v>
      </c>
      <c r="F444" s="5">
        <v>0</v>
      </c>
      <c r="G444" s="5">
        <v>0</v>
      </c>
      <c r="H444" s="10" t="s">
        <v>51</v>
      </c>
      <c r="I444" s="10" t="s">
        <v>52</v>
      </c>
      <c r="J444" s="10" t="s">
        <v>33</v>
      </c>
      <c r="K444" s="10" t="s">
        <v>18</v>
      </c>
      <c r="L444" s="10" t="s">
        <v>656</v>
      </c>
    </row>
    <row r="445" spans="1:12" x14ac:dyDescent="0.35">
      <c r="A445" s="9">
        <v>444</v>
      </c>
      <c r="B445" s="19">
        <v>45816.541377314818</v>
      </c>
      <c r="C445" s="20">
        <v>45816</v>
      </c>
      <c r="D445" s="8" t="s">
        <v>657</v>
      </c>
      <c r="E445" s="12">
        <v>1350</v>
      </c>
      <c r="F445" s="3">
        <v>0</v>
      </c>
      <c r="G445" s="3">
        <v>0</v>
      </c>
      <c r="H445" s="8" t="s">
        <v>33</v>
      </c>
      <c r="I445" s="8" t="s">
        <v>52</v>
      </c>
      <c r="J445" s="8" t="s">
        <v>34</v>
      </c>
      <c r="K445" s="8" t="s">
        <v>18</v>
      </c>
      <c r="L445" s="8" t="s">
        <v>658</v>
      </c>
    </row>
    <row r="446" spans="1:12" x14ac:dyDescent="0.35">
      <c r="A446" s="11">
        <v>445</v>
      </c>
      <c r="B446" s="17">
        <v>45816.541377314818</v>
      </c>
      <c r="C446" s="18">
        <v>45816</v>
      </c>
      <c r="D446" s="10" t="s">
        <v>394</v>
      </c>
      <c r="E446" s="5">
        <v>0</v>
      </c>
      <c r="F446" s="15">
        <v>1350</v>
      </c>
      <c r="G446" s="5">
        <v>1350</v>
      </c>
      <c r="H446" s="10" t="s">
        <v>51</v>
      </c>
      <c r="I446" s="10" t="s">
        <v>71</v>
      </c>
      <c r="J446" s="10" t="s">
        <v>32</v>
      </c>
      <c r="K446" s="10" t="s">
        <v>18</v>
      </c>
      <c r="L446" s="10" t="s">
        <v>659</v>
      </c>
    </row>
    <row r="447" spans="1:12" x14ac:dyDescent="0.35">
      <c r="A447" s="9">
        <v>446</v>
      </c>
      <c r="B447" s="19">
        <v>45817.211064814823</v>
      </c>
      <c r="C447" s="20">
        <v>45817</v>
      </c>
      <c r="D447" s="8" t="s">
        <v>394</v>
      </c>
      <c r="E447" s="3">
        <v>0</v>
      </c>
      <c r="F447" s="13">
        <v>500</v>
      </c>
      <c r="G447" s="3">
        <v>500</v>
      </c>
      <c r="H447" s="8" t="s">
        <v>51</v>
      </c>
      <c r="I447" s="8" t="s">
        <v>71</v>
      </c>
      <c r="J447" s="8" t="s">
        <v>32</v>
      </c>
      <c r="K447" s="8" t="s">
        <v>18</v>
      </c>
      <c r="L447" s="8" t="s">
        <v>660</v>
      </c>
    </row>
    <row r="448" spans="1:12" x14ac:dyDescent="0.35">
      <c r="A448" s="11">
        <v>447</v>
      </c>
      <c r="B448" s="17">
        <v>45817.211064814823</v>
      </c>
      <c r="C448" s="18">
        <v>45817</v>
      </c>
      <c r="D448" s="10" t="s">
        <v>342</v>
      </c>
      <c r="E448" s="14">
        <v>500</v>
      </c>
      <c r="F448" s="5">
        <v>0</v>
      </c>
      <c r="G448" s="5">
        <v>0</v>
      </c>
      <c r="H448" s="10" t="s">
        <v>51</v>
      </c>
      <c r="I448" s="10" t="s">
        <v>52</v>
      </c>
      <c r="J448" s="10" t="s">
        <v>33</v>
      </c>
      <c r="K448" s="10" t="s">
        <v>18</v>
      </c>
      <c r="L448" s="10" t="s">
        <v>661</v>
      </c>
    </row>
    <row r="449" spans="1:12" x14ac:dyDescent="0.35">
      <c r="A449" s="9">
        <v>448</v>
      </c>
      <c r="B449" s="19">
        <v>45817.368576388893</v>
      </c>
      <c r="C449" s="20">
        <v>45817</v>
      </c>
      <c r="D449" s="8" t="s">
        <v>662</v>
      </c>
      <c r="E449" s="3">
        <v>0</v>
      </c>
      <c r="F449" s="13">
        <v>5000</v>
      </c>
      <c r="G449" s="3">
        <v>5000</v>
      </c>
      <c r="H449" s="8" t="s">
        <v>51</v>
      </c>
      <c r="I449" s="8" t="s">
        <v>71</v>
      </c>
      <c r="J449" s="8" t="s">
        <v>30</v>
      </c>
      <c r="K449" s="8" t="s">
        <v>18</v>
      </c>
      <c r="L449" s="8" t="s">
        <v>663</v>
      </c>
    </row>
    <row r="450" spans="1:12" x14ac:dyDescent="0.35">
      <c r="A450" s="11">
        <v>449</v>
      </c>
      <c r="B450" s="17">
        <v>45817.405636574083</v>
      </c>
      <c r="C450" s="18">
        <v>45817</v>
      </c>
      <c r="D450" s="10" t="s">
        <v>664</v>
      </c>
      <c r="E450" s="14">
        <v>2100</v>
      </c>
      <c r="F450" s="5">
        <v>0</v>
      </c>
      <c r="G450" s="5">
        <v>2900</v>
      </c>
      <c r="H450" s="10" t="s">
        <v>33</v>
      </c>
      <c r="I450" s="10" t="s">
        <v>52</v>
      </c>
      <c r="J450" s="10" t="s">
        <v>34</v>
      </c>
      <c r="K450" s="10" t="s">
        <v>18</v>
      </c>
      <c r="L450" s="10" t="s">
        <v>665</v>
      </c>
    </row>
    <row r="451" spans="1:12" x14ac:dyDescent="0.35">
      <c r="A451" s="9">
        <v>450</v>
      </c>
      <c r="B451" s="19">
        <v>45817.542928240742</v>
      </c>
      <c r="C451" s="20">
        <v>45817</v>
      </c>
      <c r="D451" s="8" t="s">
        <v>98</v>
      </c>
      <c r="E451" s="12">
        <v>10</v>
      </c>
      <c r="F451" s="3">
        <v>0</v>
      </c>
      <c r="G451" s="3">
        <v>2890</v>
      </c>
      <c r="H451" s="8" t="s">
        <v>99</v>
      </c>
      <c r="I451" s="8" t="s">
        <v>52</v>
      </c>
      <c r="J451" s="8" t="s">
        <v>36</v>
      </c>
      <c r="K451" s="8" t="s">
        <v>18</v>
      </c>
      <c r="L451" s="8" t="s">
        <v>666</v>
      </c>
    </row>
    <row r="452" spans="1:12" x14ac:dyDescent="0.35">
      <c r="A452" s="11">
        <v>451</v>
      </c>
      <c r="B452" s="17">
        <v>45817.543217592603</v>
      </c>
      <c r="C452" s="18">
        <v>45817</v>
      </c>
      <c r="D452" s="10" t="s">
        <v>210</v>
      </c>
      <c r="E452" s="14">
        <v>1000</v>
      </c>
      <c r="F452" s="5">
        <v>0</v>
      </c>
      <c r="G452" s="5">
        <v>1890</v>
      </c>
      <c r="H452" s="10" t="s">
        <v>99</v>
      </c>
      <c r="I452" s="10" t="s">
        <v>52</v>
      </c>
      <c r="J452" s="10" t="s">
        <v>37</v>
      </c>
      <c r="K452" s="10" t="s">
        <v>18</v>
      </c>
      <c r="L452" s="10" t="s">
        <v>667</v>
      </c>
    </row>
    <row r="453" spans="1:12" x14ac:dyDescent="0.35">
      <c r="A453" s="9">
        <v>452</v>
      </c>
      <c r="B453" s="19">
        <v>45817.928854166668</v>
      </c>
      <c r="C453" s="20">
        <v>45817</v>
      </c>
      <c r="D453" s="8" t="s">
        <v>426</v>
      </c>
      <c r="E453" s="12">
        <v>1890</v>
      </c>
      <c r="F453" s="3">
        <v>0</v>
      </c>
      <c r="G453" s="3">
        <v>0</v>
      </c>
      <c r="H453" s="8" t="s">
        <v>51</v>
      </c>
      <c r="I453" s="8" t="s">
        <v>52</v>
      </c>
      <c r="J453" s="8" t="s">
        <v>32</v>
      </c>
      <c r="K453" s="8" t="s">
        <v>18</v>
      </c>
      <c r="L453" s="8" t="s">
        <v>668</v>
      </c>
    </row>
    <row r="454" spans="1:12" x14ac:dyDescent="0.35">
      <c r="A454" s="11">
        <v>453</v>
      </c>
      <c r="B454" s="17">
        <v>45818.211006944453</v>
      </c>
      <c r="C454" s="18">
        <v>45818</v>
      </c>
      <c r="D454" s="10" t="s">
        <v>342</v>
      </c>
      <c r="E454" s="14">
        <v>500</v>
      </c>
      <c r="F454" s="5">
        <v>0</v>
      </c>
      <c r="G454" s="5">
        <v>0</v>
      </c>
      <c r="H454" s="10" t="s">
        <v>51</v>
      </c>
      <c r="I454" s="10" t="s">
        <v>52</v>
      </c>
      <c r="J454" s="10" t="s">
        <v>33</v>
      </c>
      <c r="K454" s="10" t="s">
        <v>18</v>
      </c>
      <c r="L454" s="10" t="s">
        <v>669</v>
      </c>
    </row>
    <row r="455" spans="1:12" x14ac:dyDescent="0.35">
      <c r="A455" s="9">
        <v>454</v>
      </c>
      <c r="B455" s="19">
        <v>45818.211018518523</v>
      </c>
      <c r="C455" s="20">
        <v>45818</v>
      </c>
      <c r="D455" s="8" t="s">
        <v>394</v>
      </c>
      <c r="E455" s="3">
        <v>0</v>
      </c>
      <c r="F455" s="13">
        <v>500</v>
      </c>
      <c r="G455" s="3">
        <v>500</v>
      </c>
      <c r="H455" s="8" t="s">
        <v>51</v>
      </c>
      <c r="I455" s="8" t="s">
        <v>71</v>
      </c>
      <c r="J455" s="8" t="s">
        <v>32</v>
      </c>
      <c r="K455" s="8" t="s">
        <v>18</v>
      </c>
      <c r="L455" s="8" t="s">
        <v>670</v>
      </c>
    </row>
    <row r="456" spans="1:12" x14ac:dyDescent="0.35">
      <c r="A456" s="11">
        <v>455</v>
      </c>
      <c r="B456" s="17">
        <v>45818.456493055557</v>
      </c>
      <c r="C456" s="18">
        <v>45818</v>
      </c>
      <c r="D456" s="10" t="s">
        <v>671</v>
      </c>
      <c r="E456" s="14">
        <v>500</v>
      </c>
      <c r="F456" s="5">
        <v>0</v>
      </c>
      <c r="G456" s="5">
        <v>0</v>
      </c>
      <c r="H456" s="10" t="s">
        <v>33</v>
      </c>
      <c r="I456" s="10" t="s">
        <v>52</v>
      </c>
      <c r="J456" s="10" t="s">
        <v>34</v>
      </c>
      <c r="K456" s="10" t="s">
        <v>18</v>
      </c>
      <c r="L456" s="10" t="s">
        <v>672</v>
      </c>
    </row>
    <row r="457" spans="1:12" x14ac:dyDescent="0.35">
      <c r="A457" s="9">
        <v>456</v>
      </c>
      <c r="B457" s="19">
        <v>45818.456493055557</v>
      </c>
      <c r="C457" s="20">
        <v>45818</v>
      </c>
      <c r="D457" s="8" t="s">
        <v>394</v>
      </c>
      <c r="E457" s="3">
        <v>0</v>
      </c>
      <c r="F457" s="13">
        <v>500</v>
      </c>
      <c r="G457" s="3">
        <v>500</v>
      </c>
      <c r="H457" s="8" t="s">
        <v>51</v>
      </c>
      <c r="I457" s="8" t="s">
        <v>71</v>
      </c>
      <c r="J457" s="8" t="s">
        <v>32</v>
      </c>
      <c r="K457" s="8" t="s">
        <v>18</v>
      </c>
      <c r="L457" s="8" t="s">
        <v>673</v>
      </c>
    </row>
    <row r="458" spans="1:12" x14ac:dyDescent="0.35">
      <c r="A458" s="11">
        <v>457</v>
      </c>
      <c r="B458" s="17">
        <v>45818.598182870373</v>
      </c>
      <c r="C458" s="18">
        <v>45818</v>
      </c>
      <c r="D458" s="10" t="s">
        <v>674</v>
      </c>
      <c r="E458" s="14">
        <v>500</v>
      </c>
      <c r="F458" s="5">
        <v>0</v>
      </c>
      <c r="G458" s="5">
        <v>0</v>
      </c>
      <c r="H458" s="10" t="s">
        <v>33</v>
      </c>
      <c r="I458" s="10" t="s">
        <v>52</v>
      </c>
      <c r="J458" s="10" t="s">
        <v>34</v>
      </c>
      <c r="K458" s="10" t="s">
        <v>18</v>
      </c>
      <c r="L458" s="10" t="s">
        <v>675</v>
      </c>
    </row>
    <row r="459" spans="1:12" x14ac:dyDescent="0.35">
      <c r="A459" s="9">
        <v>458</v>
      </c>
      <c r="B459" s="19">
        <v>45818.598182870373</v>
      </c>
      <c r="C459" s="20">
        <v>45818</v>
      </c>
      <c r="D459" s="8" t="s">
        <v>394</v>
      </c>
      <c r="E459" s="3">
        <v>0</v>
      </c>
      <c r="F459" s="13">
        <v>500</v>
      </c>
      <c r="G459" s="3">
        <v>500</v>
      </c>
      <c r="H459" s="8" t="s">
        <v>51</v>
      </c>
      <c r="I459" s="8" t="s">
        <v>71</v>
      </c>
      <c r="J459" s="8" t="s">
        <v>32</v>
      </c>
      <c r="K459" s="8" t="s">
        <v>18</v>
      </c>
      <c r="L459" s="8" t="s">
        <v>676</v>
      </c>
    </row>
    <row r="460" spans="1:12" x14ac:dyDescent="0.35">
      <c r="A460" s="11">
        <v>459</v>
      </c>
      <c r="B460" s="17">
        <v>45818.666388888887</v>
      </c>
      <c r="C460" s="18">
        <v>45818</v>
      </c>
      <c r="D460" s="10" t="s">
        <v>677</v>
      </c>
      <c r="E460" s="5">
        <v>0</v>
      </c>
      <c r="F460" s="15">
        <v>7000</v>
      </c>
      <c r="G460" s="5">
        <v>7000</v>
      </c>
      <c r="H460" s="10" t="s">
        <v>51</v>
      </c>
      <c r="I460" s="10" t="s">
        <v>71</v>
      </c>
      <c r="J460" s="10" t="s">
        <v>31</v>
      </c>
      <c r="K460" s="10" t="s">
        <v>18</v>
      </c>
      <c r="L460" s="10" t="s">
        <v>678</v>
      </c>
    </row>
    <row r="461" spans="1:12" x14ac:dyDescent="0.35">
      <c r="A461" s="9">
        <v>460</v>
      </c>
      <c r="B461" s="19">
        <v>45818.756365740737</v>
      </c>
      <c r="C461" s="20">
        <v>45818</v>
      </c>
      <c r="D461" s="8" t="s">
        <v>679</v>
      </c>
      <c r="E461" s="12">
        <v>2100</v>
      </c>
      <c r="F461" s="3">
        <v>0</v>
      </c>
      <c r="G461" s="3">
        <v>4900</v>
      </c>
      <c r="H461" s="8" t="s">
        <v>33</v>
      </c>
      <c r="I461" s="8" t="s">
        <v>52</v>
      </c>
      <c r="J461" s="8" t="s">
        <v>34</v>
      </c>
      <c r="K461" s="8" t="s">
        <v>18</v>
      </c>
      <c r="L461" s="8" t="s">
        <v>680</v>
      </c>
    </row>
    <row r="462" spans="1:12" x14ac:dyDescent="0.35">
      <c r="A462" s="11">
        <v>461</v>
      </c>
      <c r="B462" s="17">
        <v>45818.929560185177</v>
      </c>
      <c r="C462" s="18">
        <v>45818</v>
      </c>
      <c r="D462" s="10" t="s">
        <v>426</v>
      </c>
      <c r="E462" s="14">
        <v>4900</v>
      </c>
      <c r="F462" s="5">
        <v>0</v>
      </c>
      <c r="G462" s="5">
        <v>0</v>
      </c>
      <c r="H462" s="10" t="s">
        <v>51</v>
      </c>
      <c r="I462" s="10" t="s">
        <v>52</v>
      </c>
      <c r="J462" s="10" t="s">
        <v>32</v>
      </c>
      <c r="K462" s="10" t="s">
        <v>18</v>
      </c>
      <c r="L462" s="10" t="s">
        <v>681</v>
      </c>
    </row>
    <row r="463" spans="1:12" x14ac:dyDescent="0.35">
      <c r="A463" s="9">
        <v>462</v>
      </c>
      <c r="B463" s="19">
        <v>45819.211018518523</v>
      </c>
      <c r="C463" s="20">
        <v>45819</v>
      </c>
      <c r="D463" s="8" t="s">
        <v>394</v>
      </c>
      <c r="E463" s="3">
        <v>0</v>
      </c>
      <c r="F463" s="13">
        <v>500</v>
      </c>
      <c r="G463" s="3">
        <v>500</v>
      </c>
      <c r="H463" s="8" t="s">
        <v>51</v>
      </c>
      <c r="I463" s="8" t="s">
        <v>71</v>
      </c>
      <c r="J463" s="8" t="s">
        <v>32</v>
      </c>
      <c r="K463" s="8" t="s">
        <v>18</v>
      </c>
      <c r="L463" s="8" t="s">
        <v>682</v>
      </c>
    </row>
    <row r="464" spans="1:12" x14ac:dyDescent="0.35">
      <c r="A464" s="11">
        <v>463</v>
      </c>
      <c r="B464" s="17">
        <v>45819.211018518523</v>
      </c>
      <c r="C464" s="18">
        <v>45819</v>
      </c>
      <c r="D464" s="10" t="s">
        <v>342</v>
      </c>
      <c r="E464" s="14">
        <v>500</v>
      </c>
      <c r="F464" s="5">
        <v>0</v>
      </c>
      <c r="G464" s="5">
        <v>0</v>
      </c>
      <c r="H464" s="10" t="s">
        <v>51</v>
      </c>
      <c r="I464" s="10" t="s">
        <v>52</v>
      </c>
      <c r="J464" s="10" t="s">
        <v>33</v>
      </c>
      <c r="K464" s="10" t="s">
        <v>18</v>
      </c>
      <c r="L464" s="10" t="s">
        <v>683</v>
      </c>
    </row>
    <row r="465" spans="1:12" x14ac:dyDescent="0.35">
      <c r="A465" s="9">
        <v>464</v>
      </c>
      <c r="B465" s="19">
        <v>45819.307974537027</v>
      </c>
      <c r="C465" s="20">
        <v>45819</v>
      </c>
      <c r="D465" s="8" t="s">
        <v>394</v>
      </c>
      <c r="E465" s="3">
        <v>0</v>
      </c>
      <c r="F465" s="13">
        <v>10</v>
      </c>
      <c r="G465" s="3">
        <v>10</v>
      </c>
      <c r="H465" s="8" t="s">
        <v>51</v>
      </c>
      <c r="I465" s="8" t="s">
        <v>71</v>
      </c>
      <c r="J465" s="8" t="s">
        <v>32</v>
      </c>
      <c r="K465" s="8" t="s">
        <v>18</v>
      </c>
      <c r="L465" s="8" t="s">
        <v>684</v>
      </c>
    </row>
    <row r="466" spans="1:12" x14ac:dyDescent="0.35">
      <c r="A466" s="11">
        <v>465</v>
      </c>
      <c r="B466" s="17">
        <v>45819.307974537027</v>
      </c>
      <c r="C466" s="18">
        <v>45819</v>
      </c>
      <c r="D466" s="10" t="s">
        <v>98</v>
      </c>
      <c r="E466" s="14">
        <v>10</v>
      </c>
      <c r="F466" s="5">
        <v>0</v>
      </c>
      <c r="G466" s="5">
        <v>0</v>
      </c>
      <c r="H466" s="10" t="s">
        <v>99</v>
      </c>
      <c r="I466" s="10" t="s">
        <v>52</v>
      </c>
      <c r="J466" s="10" t="s">
        <v>36</v>
      </c>
      <c r="K466" s="10" t="s">
        <v>18</v>
      </c>
      <c r="L466" s="10" t="s">
        <v>685</v>
      </c>
    </row>
    <row r="467" spans="1:12" x14ac:dyDescent="0.35">
      <c r="A467" s="9">
        <v>466</v>
      </c>
      <c r="B467" s="19">
        <v>45819.308252314811</v>
      </c>
      <c r="C467" s="20">
        <v>45819</v>
      </c>
      <c r="D467" s="8" t="s">
        <v>210</v>
      </c>
      <c r="E467" s="12">
        <v>1000</v>
      </c>
      <c r="F467" s="3">
        <v>0</v>
      </c>
      <c r="G467" s="3">
        <v>0</v>
      </c>
      <c r="H467" s="8" t="s">
        <v>99</v>
      </c>
      <c r="I467" s="8" t="s">
        <v>52</v>
      </c>
      <c r="J467" s="8" t="s">
        <v>37</v>
      </c>
      <c r="K467" s="8" t="s">
        <v>18</v>
      </c>
      <c r="L467" s="8" t="s">
        <v>686</v>
      </c>
    </row>
    <row r="468" spans="1:12" x14ac:dyDescent="0.35">
      <c r="A468" s="11">
        <v>467</v>
      </c>
      <c r="B468" s="17">
        <v>45819.308252314811</v>
      </c>
      <c r="C468" s="18">
        <v>45819</v>
      </c>
      <c r="D468" s="10" t="s">
        <v>394</v>
      </c>
      <c r="E468" s="5">
        <v>0</v>
      </c>
      <c r="F468" s="15">
        <v>1000</v>
      </c>
      <c r="G468" s="5">
        <v>1000</v>
      </c>
      <c r="H468" s="10" t="s">
        <v>51</v>
      </c>
      <c r="I468" s="10" t="s">
        <v>71</v>
      </c>
      <c r="J468" s="10" t="s">
        <v>32</v>
      </c>
      <c r="K468" s="10" t="s">
        <v>18</v>
      </c>
      <c r="L468" s="10" t="s">
        <v>687</v>
      </c>
    </row>
    <row r="469" spans="1:12" x14ac:dyDescent="0.35">
      <c r="A469" s="9">
        <v>468</v>
      </c>
      <c r="B469" s="19">
        <v>45819.43990740741</v>
      </c>
      <c r="C469" s="20">
        <v>45819</v>
      </c>
      <c r="D469" s="8" t="s">
        <v>688</v>
      </c>
      <c r="E469" s="12">
        <v>1000</v>
      </c>
      <c r="F469" s="3">
        <v>0</v>
      </c>
      <c r="G469" s="3">
        <v>0</v>
      </c>
      <c r="H469" s="8" t="s">
        <v>33</v>
      </c>
      <c r="I469" s="8" t="s">
        <v>52</v>
      </c>
      <c r="J469" s="8" t="s">
        <v>34</v>
      </c>
      <c r="K469" s="8" t="s">
        <v>18</v>
      </c>
      <c r="L469" s="8" t="s">
        <v>689</v>
      </c>
    </row>
    <row r="470" spans="1:12" x14ac:dyDescent="0.35">
      <c r="A470" s="11">
        <v>469</v>
      </c>
      <c r="B470" s="17">
        <v>45819.43990740741</v>
      </c>
      <c r="C470" s="18">
        <v>45819</v>
      </c>
      <c r="D470" s="10" t="s">
        <v>394</v>
      </c>
      <c r="E470" s="5">
        <v>0</v>
      </c>
      <c r="F470" s="15">
        <v>1000</v>
      </c>
      <c r="G470" s="5">
        <v>1000</v>
      </c>
      <c r="H470" s="10" t="s">
        <v>51</v>
      </c>
      <c r="I470" s="10" t="s">
        <v>71</v>
      </c>
      <c r="J470" s="10" t="s">
        <v>32</v>
      </c>
      <c r="K470" s="10" t="s">
        <v>18</v>
      </c>
      <c r="L470" s="10" t="s">
        <v>690</v>
      </c>
    </row>
    <row r="471" spans="1:12" x14ac:dyDescent="0.35">
      <c r="A471" s="9">
        <v>470</v>
      </c>
      <c r="B471" s="19">
        <v>45819.6171875</v>
      </c>
      <c r="C471" s="20">
        <v>45819</v>
      </c>
      <c r="D471" s="8" t="s">
        <v>188</v>
      </c>
      <c r="E471" s="12">
        <v>500</v>
      </c>
      <c r="F471" s="3">
        <v>0</v>
      </c>
      <c r="G471" s="3">
        <v>0</v>
      </c>
      <c r="H471" s="8" t="s">
        <v>51</v>
      </c>
      <c r="I471" s="8" t="s">
        <v>52</v>
      </c>
      <c r="J471" s="8" t="s">
        <v>37</v>
      </c>
      <c r="K471" s="8" t="s">
        <v>18</v>
      </c>
      <c r="L471" s="8" t="s">
        <v>691</v>
      </c>
    </row>
    <row r="472" spans="1:12" x14ac:dyDescent="0.35">
      <c r="A472" s="11">
        <v>471</v>
      </c>
      <c r="B472" s="17">
        <v>45819.617245370369</v>
      </c>
      <c r="C472" s="18">
        <v>45819</v>
      </c>
      <c r="D472" s="10" t="s">
        <v>394</v>
      </c>
      <c r="E472" s="5">
        <v>0</v>
      </c>
      <c r="F472" s="15">
        <v>500</v>
      </c>
      <c r="G472" s="5">
        <v>500</v>
      </c>
      <c r="H472" s="10" t="s">
        <v>51</v>
      </c>
      <c r="I472" s="10" t="s">
        <v>71</v>
      </c>
      <c r="J472" s="10" t="s">
        <v>32</v>
      </c>
      <c r="K472" s="10" t="s">
        <v>18</v>
      </c>
      <c r="L472" s="10" t="s">
        <v>692</v>
      </c>
    </row>
    <row r="473" spans="1:12" x14ac:dyDescent="0.35">
      <c r="A473" s="9">
        <v>472</v>
      </c>
      <c r="B473" s="19">
        <v>45819.620856481481</v>
      </c>
      <c r="C473" s="20">
        <v>45819</v>
      </c>
      <c r="D473" s="8" t="s">
        <v>693</v>
      </c>
      <c r="E473" s="12">
        <v>750</v>
      </c>
      <c r="F473" s="3">
        <v>0</v>
      </c>
      <c r="G473" s="3">
        <v>0</v>
      </c>
      <c r="H473" s="8" t="s">
        <v>33</v>
      </c>
      <c r="I473" s="8" t="s">
        <v>52</v>
      </c>
      <c r="J473" s="8" t="s">
        <v>34</v>
      </c>
      <c r="K473" s="8" t="s">
        <v>18</v>
      </c>
      <c r="L473" s="8" t="s">
        <v>694</v>
      </c>
    </row>
    <row r="474" spans="1:12" x14ac:dyDescent="0.35">
      <c r="A474" s="11">
        <v>473</v>
      </c>
      <c r="B474" s="17">
        <v>45819.620868055557</v>
      </c>
      <c r="C474" s="18">
        <v>45819</v>
      </c>
      <c r="D474" s="10" t="s">
        <v>394</v>
      </c>
      <c r="E474" s="5">
        <v>0</v>
      </c>
      <c r="F474" s="15">
        <v>750</v>
      </c>
      <c r="G474" s="5">
        <v>750</v>
      </c>
      <c r="H474" s="10" t="s">
        <v>51</v>
      </c>
      <c r="I474" s="10" t="s">
        <v>71</v>
      </c>
      <c r="J474" s="10" t="s">
        <v>32</v>
      </c>
      <c r="K474" s="10" t="s">
        <v>18</v>
      </c>
      <c r="L474" s="10" t="s">
        <v>695</v>
      </c>
    </row>
    <row r="475" spans="1:12" x14ac:dyDescent="0.35">
      <c r="A475" s="9">
        <v>474</v>
      </c>
      <c r="B475" s="19">
        <v>45819.653182870366</v>
      </c>
      <c r="C475" s="20">
        <v>45819</v>
      </c>
      <c r="D475" s="8" t="s">
        <v>696</v>
      </c>
      <c r="E475" s="12">
        <v>3540</v>
      </c>
      <c r="F475" s="3">
        <v>0</v>
      </c>
      <c r="G475" s="3">
        <v>0</v>
      </c>
      <c r="H475" s="8" t="s">
        <v>33</v>
      </c>
      <c r="I475" s="8" t="s">
        <v>52</v>
      </c>
      <c r="J475" s="8" t="s">
        <v>34</v>
      </c>
      <c r="K475" s="8" t="s">
        <v>18</v>
      </c>
      <c r="L475" s="8" t="s">
        <v>697</v>
      </c>
    </row>
    <row r="476" spans="1:12" x14ac:dyDescent="0.35">
      <c r="A476" s="11">
        <v>475</v>
      </c>
      <c r="B476" s="17">
        <v>45819.653194444443</v>
      </c>
      <c r="C476" s="18">
        <v>45819</v>
      </c>
      <c r="D476" s="10" t="s">
        <v>394</v>
      </c>
      <c r="E476" s="5">
        <v>0</v>
      </c>
      <c r="F476" s="15">
        <v>3540</v>
      </c>
      <c r="G476" s="5">
        <v>3540</v>
      </c>
      <c r="H476" s="10" t="s">
        <v>51</v>
      </c>
      <c r="I476" s="10" t="s">
        <v>71</v>
      </c>
      <c r="J476" s="10" t="s">
        <v>32</v>
      </c>
      <c r="K476" s="10" t="s">
        <v>18</v>
      </c>
      <c r="L476" s="10" t="s">
        <v>698</v>
      </c>
    </row>
    <row r="477" spans="1:12" x14ac:dyDescent="0.35">
      <c r="A477" s="9">
        <v>476</v>
      </c>
      <c r="B477" s="19">
        <v>45819.680520833332</v>
      </c>
      <c r="C477" s="20">
        <v>45819</v>
      </c>
      <c r="D477" s="8" t="s">
        <v>699</v>
      </c>
      <c r="E477" s="3">
        <v>0</v>
      </c>
      <c r="F477" s="13">
        <v>80000</v>
      </c>
      <c r="G477" s="3">
        <v>80000</v>
      </c>
      <c r="H477" s="8" t="s">
        <v>51</v>
      </c>
      <c r="I477" s="8" t="s">
        <v>71</v>
      </c>
      <c r="J477" s="8" t="s">
        <v>31</v>
      </c>
      <c r="K477" s="8" t="s">
        <v>18</v>
      </c>
      <c r="L477" s="8" t="s">
        <v>700</v>
      </c>
    </row>
    <row r="478" spans="1:12" x14ac:dyDescent="0.35">
      <c r="A478" s="11">
        <v>477</v>
      </c>
      <c r="B478" s="17">
        <v>45819.680543981478</v>
      </c>
      <c r="C478" s="18">
        <v>45819</v>
      </c>
      <c r="D478" s="10" t="s">
        <v>79</v>
      </c>
      <c r="E478" s="14">
        <v>50</v>
      </c>
      <c r="F478" s="5">
        <v>0</v>
      </c>
      <c r="G478" s="5">
        <v>79950</v>
      </c>
      <c r="H478" s="10" t="s">
        <v>51</v>
      </c>
      <c r="I478" s="10" t="s">
        <v>52</v>
      </c>
      <c r="J478" s="10" t="s">
        <v>36</v>
      </c>
      <c r="K478" s="10" t="s">
        <v>18</v>
      </c>
      <c r="L478" s="10" t="s">
        <v>701</v>
      </c>
    </row>
    <row r="479" spans="1:12" x14ac:dyDescent="0.35">
      <c r="A479" s="9">
        <v>478</v>
      </c>
      <c r="B479" s="19">
        <v>45819.683923611112</v>
      </c>
      <c r="C479" s="20">
        <v>45819</v>
      </c>
      <c r="D479" s="8" t="s">
        <v>702</v>
      </c>
      <c r="E479" s="12">
        <v>79000</v>
      </c>
      <c r="F479" s="3">
        <v>0</v>
      </c>
      <c r="G479" s="3">
        <v>950</v>
      </c>
      <c r="H479" s="8" t="s">
        <v>51</v>
      </c>
      <c r="I479" s="8" t="s">
        <v>52</v>
      </c>
      <c r="J479" s="8" t="s">
        <v>30</v>
      </c>
      <c r="K479" s="8" t="s">
        <v>18</v>
      </c>
      <c r="L479" s="8" t="s">
        <v>703</v>
      </c>
    </row>
    <row r="480" spans="1:12" x14ac:dyDescent="0.35">
      <c r="A480" s="11">
        <v>479</v>
      </c>
      <c r="B480" s="17">
        <v>45819.74590277778</v>
      </c>
      <c r="C480" s="18">
        <v>45819</v>
      </c>
      <c r="D480" s="10" t="s">
        <v>551</v>
      </c>
      <c r="E480" s="5">
        <v>0</v>
      </c>
      <c r="F480" s="15">
        <v>17000</v>
      </c>
      <c r="G480" s="5">
        <v>17950</v>
      </c>
      <c r="H480" s="10" t="s">
        <v>51</v>
      </c>
      <c r="I480" s="10" t="s">
        <v>71</v>
      </c>
      <c r="J480" s="10" t="s">
        <v>31</v>
      </c>
      <c r="K480" s="10" t="s">
        <v>18</v>
      </c>
      <c r="L480" s="10" t="s">
        <v>704</v>
      </c>
    </row>
    <row r="481" spans="1:12" x14ac:dyDescent="0.35">
      <c r="A481" s="9">
        <v>480</v>
      </c>
      <c r="B481" s="19">
        <v>45819.74591435185</v>
      </c>
      <c r="C481" s="20">
        <v>45819</v>
      </c>
      <c r="D481" s="8" t="s">
        <v>79</v>
      </c>
      <c r="E481" s="12">
        <v>50</v>
      </c>
      <c r="F481" s="3">
        <v>0</v>
      </c>
      <c r="G481" s="3">
        <v>17900</v>
      </c>
      <c r="H481" s="8" t="s">
        <v>51</v>
      </c>
      <c r="I481" s="8" t="s">
        <v>52</v>
      </c>
      <c r="J481" s="8" t="s">
        <v>36</v>
      </c>
      <c r="K481" s="8" t="s">
        <v>18</v>
      </c>
      <c r="L481" s="8" t="s">
        <v>705</v>
      </c>
    </row>
    <row r="482" spans="1:12" x14ac:dyDescent="0.35">
      <c r="A482" s="11">
        <v>481</v>
      </c>
      <c r="B482" s="17">
        <v>45819.752534722233</v>
      </c>
      <c r="C482" s="18">
        <v>45819</v>
      </c>
      <c r="D482" s="10" t="s">
        <v>706</v>
      </c>
      <c r="E482" s="14">
        <v>2900</v>
      </c>
      <c r="F482" s="5">
        <v>0</v>
      </c>
      <c r="G482" s="5">
        <v>15000</v>
      </c>
      <c r="H482" s="10" t="s">
        <v>51</v>
      </c>
      <c r="I482" s="10" t="s">
        <v>52</v>
      </c>
      <c r="J482" s="10" t="s">
        <v>30</v>
      </c>
      <c r="K482" s="10" t="s">
        <v>18</v>
      </c>
      <c r="L482" s="10" t="s">
        <v>707</v>
      </c>
    </row>
    <row r="483" spans="1:12" x14ac:dyDescent="0.35">
      <c r="A483" s="9">
        <v>482</v>
      </c>
      <c r="B483" s="19">
        <v>45819.766539351847</v>
      </c>
      <c r="C483" s="20">
        <v>45819</v>
      </c>
      <c r="D483" s="8" t="s">
        <v>708</v>
      </c>
      <c r="E483" s="12">
        <v>5000</v>
      </c>
      <c r="F483" s="3">
        <v>0</v>
      </c>
      <c r="G483" s="3">
        <v>10000</v>
      </c>
      <c r="H483" s="8" t="s">
        <v>33</v>
      </c>
      <c r="I483" s="8" t="s">
        <v>52</v>
      </c>
      <c r="J483" s="8" t="s">
        <v>34</v>
      </c>
      <c r="K483" s="8" t="s">
        <v>18</v>
      </c>
      <c r="L483" s="8" t="s">
        <v>709</v>
      </c>
    </row>
    <row r="484" spans="1:12" x14ac:dyDescent="0.35">
      <c r="A484" s="11">
        <v>483</v>
      </c>
      <c r="B484" s="17">
        <v>45819.929212962961</v>
      </c>
      <c r="C484" s="18">
        <v>45819</v>
      </c>
      <c r="D484" s="10" t="s">
        <v>426</v>
      </c>
      <c r="E484" s="14">
        <v>10000</v>
      </c>
      <c r="F484" s="5">
        <v>0</v>
      </c>
      <c r="G484" s="5">
        <v>0</v>
      </c>
      <c r="H484" s="10" t="s">
        <v>51</v>
      </c>
      <c r="I484" s="10" t="s">
        <v>52</v>
      </c>
      <c r="J484" s="10" t="s">
        <v>32</v>
      </c>
      <c r="K484" s="10" t="s">
        <v>18</v>
      </c>
      <c r="L484" s="10" t="s">
        <v>710</v>
      </c>
    </row>
    <row r="485" spans="1:12" x14ac:dyDescent="0.35">
      <c r="A485" s="9">
        <v>484</v>
      </c>
      <c r="B485" s="19">
        <v>45820.2109375</v>
      </c>
      <c r="C485" s="20">
        <v>45820</v>
      </c>
      <c r="D485" s="8" t="s">
        <v>394</v>
      </c>
      <c r="E485" s="3">
        <v>0</v>
      </c>
      <c r="F485" s="13">
        <v>500</v>
      </c>
      <c r="G485" s="3">
        <v>500</v>
      </c>
      <c r="H485" s="8" t="s">
        <v>51</v>
      </c>
      <c r="I485" s="8" t="s">
        <v>71</v>
      </c>
      <c r="J485" s="8" t="s">
        <v>32</v>
      </c>
      <c r="K485" s="8" t="s">
        <v>18</v>
      </c>
      <c r="L485" s="8" t="s">
        <v>711</v>
      </c>
    </row>
    <row r="486" spans="1:12" x14ac:dyDescent="0.35">
      <c r="A486" s="11">
        <v>485</v>
      </c>
      <c r="B486" s="17">
        <v>45820.2109375</v>
      </c>
      <c r="C486" s="18">
        <v>45820</v>
      </c>
      <c r="D486" s="10" t="s">
        <v>342</v>
      </c>
      <c r="E486" s="14">
        <v>500</v>
      </c>
      <c r="F486" s="5">
        <v>0</v>
      </c>
      <c r="G486" s="5">
        <v>0</v>
      </c>
      <c r="H486" s="10" t="s">
        <v>51</v>
      </c>
      <c r="I486" s="10" t="s">
        <v>52</v>
      </c>
      <c r="J486" s="10" t="s">
        <v>33</v>
      </c>
      <c r="K486" s="10" t="s">
        <v>18</v>
      </c>
      <c r="L486" s="10" t="s">
        <v>712</v>
      </c>
    </row>
    <row r="487" spans="1:12" x14ac:dyDescent="0.35">
      <c r="A487" s="9">
        <v>486</v>
      </c>
      <c r="B487" s="19">
        <v>45821.210844907408</v>
      </c>
      <c r="C487" s="20">
        <v>45821</v>
      </c>
      <c r="D487" s="8" t="s">
        <v>394</v>
      </c>
      <c r="E487" s="3">
        <v>0</v>
      </c>
      <c r="F487" s="13">
        <v>500</v>
      </c>
      <c r="G487" s="3">
        <v>500</v>
      </c>
      <c r="H487" s="8" t="s">
        <v>51</v>
      </c>
      <c r="I487" s="8" t="s">
        <v>71</v>
      </c>
      <c r="J487" s="8" t="s">
        <v>32</v>
      </c>
      <c r="K487" s="8" t="s">
        <v>18</v>
      </c>
      <c r="L487" s="8" t="s">
        <v>713</v>
      </c>
    </row>
    <row r="488" spans="1:12" x14ac:dyDescent="0.35">
      <c r="A488" s="11">
        <v>487</v>
      </c>
      <c r="B488" s="17">
        <v>45821.210844907408</v>
      </c>
      <c r="C488" s="18">
        <v>45821</v>
      </c>
      <c r="D488" s="10" t="s">
        <v>342</v>
      </c>
      <c r="E488" s="14">
        <v>500</v>
      </c>
      <c r="F488" s="5">
        <v>0</v>
      </c>
      <c r="G488" s="5">
        <v>0</v>
      </c>
      <c r="H488" s="10" t="s">
        <v>51</v>
      </c>
      <c r="I488" s="10" t="s">
        <v>52</v>
      </c>
      <c r="J488" s="10" t="s">
        <v>33</v>
      </c>
      <c r="K488" s="10" t="s">
        <v>18</v>
      </c>
      <c r="L488" s="10" t="s">
        <v>714</v>
      </c>
    </row>
    <row r="489" spans="1:12" x14ac:dyDescent="0.35">
      <c r="A489" s="9">
        <v>488</v>
      </c>
      <c r="B489" s="19">
        <v>45822.210833333331</v>
      </c>
      <c r="C489" s="20">
        <v>45822</v>
      </c>
      <c r="D489" s="8" t="s">
        <v>342</v>
      </c>
      <c r="E489" s="12">
        <v>500</v>
      </c>
      <c r="F489" s="3">
        <v>0</v>
      </c>
      <c r="G489" s="3">
        <v>0</v>
      </c>
      <c r="H489" s="8" t="s">
        <v>51</v>
      </c>
      <c r="I489" s="8" t="s">
        <v>52</v>
      </c>
      <c r="J489" s="8" t="s">
        <v>33</v>
      </c>
      <c r="K489" s="8" t="s">
        <v>18</v>
      </c>
      <c r="L489" s="8" t="s">
        <v>715</v>
      </c>
    </row>
    <row r="490" spans="1:12" x14ac:dyDescent="0.35">
      <c r="A490" s="11">
        <v>489</v>
      </c>
      <c r="B490" s="17">
        <v>45822.210844907408</v>
      </c>
      <c r="C490" s="18">
        <v>45822</v>
      </c>
      <c r="D490" s="10" t="s">
        <v>394</v>
      </c>
      <c r="E490" s="5">
        <v>0</v>
      </c>
      <c r="F490" s="15">
        <v>500</v>
      </c>
      <c r="G490" s="5">
        <v>500</v>
      </c>
      <c r="H490" s="10" t="s">
        <v>51</v>
      </c>
      <c r="I490" s="10" t="s">
        <v>71</v>
      </c>
      <c r="J490" s="10" t="s">
        <v>32</v>
      </c>
      <c r="K490" s="10" t="s">
        <v>18</v>
      </c>
      <c r="L490" s="10" t="s">
        <v>716</v>
      </c>
    </row>
    <row r="491" spans="1:12" x14ac:dyDescent="0.35">
      <c r="A491" s="9">
        <v>490</v>
      </c>
      <c r="B491" s="19">
        <v>45822.392939814818</v>
      </c>
      <c r="C491" s="20">
        <v>45822</v>
      </c>
      <c r="D491" s="8" t="s">
        <v>717</v>
      </c>
      <c r="E491" s="3">
        <v>0</v>
      </c>
      <c r="F491" s="13">
        <v>20000</v>
      </c>
      <c r="G491" s="3">
        <v>20000</v>
      </c>
      <c r="H491" s="8" t="s">
        <v>51</v>
      </c>
      <c r="I491" s="8" t="s">
        <v>71</v>
      </c>
      <c r="J491" s="8" t="s">
        <v>31</v>
      </c>
      <c r="K491" s="8" t="s">
        <v>18</v>
      </c>
      <c r="L491" s="8" t="s">
        <v>718</v>
      </c>
    </row>
    <row r="492" spans="1:12" x14ac:dyDescent="0.35">
      <c r="A492" s="11">
        <v>491</v>
      </c>
      <c r="B492" s="17">
        <v>45822.392962962957</v>
      </c>
      <c r="C492" s="18">
        <v>45822</v>
      </c>
      <c r="D492" s="10" t="s">
        <v>79</v>
      </c>
      <c r="E492" s="14">
        <v>50</v>
      </c>
      <c r="F492" s="5">
        <v>0</v>
      </c>
      <c r="G492" s="5">
        <v>19950</v>
      </c>
      <c r="H492" s="10" t="s">
        <v>51</v>
      </c>
      <c r="I492" s="10" t="s">
        <v>52</v>
      </c>
      <c r="J492" s="10" t="s">
        <v>36</v>
      </c>
      <c r="K492" s="10" t="s">
        <v>18</v>
      </c>
      <c r="L492" s="10" t="s">
        <v>719</v>
      </c>
    </row>
    <row r="493" spans="1:12" x14ac:dyDescent="0.35">
      <c r="A493" s="9">
        <v>492</v>
      </c>
      <c r="B493" s="19">
        <v>45822.396956018521</v>
      </c>
      <c r="C493" s="20">
        <v>45822</v>
      </c>
      <c r="D493" s="8" t="s">
        <v>720</v>
      </c>
      <c r="E493" s="12">
        <v>4000</v>
      </c>
      <c r="F493" s="3">
        <v>0</v>
      </c>
      <c r="G493" s="3">
        <v>15950</v>
      </c>
      <c r="H493" s="8" t="s">
        <v>33</v>
      </c>
      <c r="I493" s="8" t="s">
        <v>52</v>
      </c>
      <c r="J493" s="8" t="s">
        <v>34</v>
      </c>
      <c r="K493" s="8" t="s">
        <v>18</v>
      </c>
      <c r="L493" s="8" t="s">
        <v>721</v>
      </c>
    </row>
    <row r="494" spans="1:12" x14ac:dyDescent="0.35">
      <c r="A494" s="11">
        <v>493</v>
      </c>
      <c r="B494" s="17">
        <v>45822.400787037041</v>
      </c>
      <c r="C494" s="18">
        <v>45822</v>
      </c>
      <c r="D494" s="10" t="s">
        <v>722</v>
      </c>
      <c r="E494" s="14">
        <v>2500</v>
      </c>
      <c r="F494" s="5">
        <v>0</v>
      </c>
      <c r="G494" s="5">
        <v>13450</v>
      </c>
      <c r="H494" s="10" t="s">
        <v>33</v>
      </c>
      <c r="I494" s="10" t="s">
        <v>52</v>
      </c>
      <c r="J494" s="10" t="s">
        <v>34</v>
      </c>
      <c r="K494" s="10" t="s">
        <v>18</v>
      </c>
      <c r="L494" s="10" t="s">
        <v>723</v>
      </c>
    </row>
    <row r="495" spans="1:12" x14ac:dyDescent="0.35">
      <c r="A495" s="9">
        <v>494</v>
      </c>
      <c r="B495" s="19">
        <v>45822.405057870368</v>
      </c>
      <c r="C495" s="20">
        <v>45822</v>
      </c>
      <c r="D495" s="8" t="s">
        <v>724</v>
      </c>
      <c r="E495" s="12">
        <v>2750</v>
      </c>
      <c r="F495" s="3">
        <v>0</v>
      </c>
      <c r="G495" s="3">
        <v>10700</v>
      </c>
      <c r="H495" s="8" t="s">
        <v>33</v>
      </c>
      <c r="I495" s="8" t="s">
        <v>52</v>
      </c>
      <c r="J495" s="8" t="s">
        <v>34</v>
      </c>
      <c r="K495" s="8" t="s">
        <v>18</v>
      </c>
      <c r="L495" s="8" t="s">
        <v>725</v>
      </c>
    </row>
    <row r="496" spans="1:12" x14ac:dyDescent="0.35">
      <c r="A496" s="11">
        <v>495</v>
      </c>
      <c r="B496" s="17">
        <v>45822.415138888893</v>
      </c>
      <c r="C496" s="18">
        <v>45822</v>
      </c>
      <c r="D496" s="10" t="s">
        <v>726</v>
      </c>
      <c r="E496" s="14">
        <v>1000</v>
      </c>
      <c r="F496" s="5">
        <v>0</v>
      </c>
      <c r="G496" s="5">
        <v>9700</v>
      </c>
      <c r="H496" s="10" t="s">
        <v>51</v>
      </c>
      <c r="I496" s="10" t="s">
        <v>52</v>
      </c>
      <c r="J496" s="10" t="s">
        <v>30</v>
      </c>
      <c r="K496" s="10" t="s">
        <v>18</v>
      </c>
      <c r="L496" s="10" t="s">
        <v>727</v>
      </c>
    </row>
    <row r="497" spans="1:12" x14ac:dyDescent="0.35">
      <c r="A497" s="9">
        <v>496</v>
      </c>
      <c r="B497" s="19">
        <v>45822.418865740743</v>
      </c>
      <c r="C497" s="20">
        <v>45822</v>
      </c>
      <c r="D497" s="8" t="s">
        <v>728</v>
      </c>
      <c r="E497" s="12">
        <v>2000</v>
      </c>
      <c r="F497" s="3">
        <v>0</v>
      </c>
      <c r="G497" s="3">
        <v>7700</v>
      </c>
      <c r="H497" s="8" t="s">
        <v>33</v>
      </c>
      <c r="I497" s="8" t="s">
        <v>52</v>
      </c>
      <c r="J497" s="8" t="s">
        <v>34</v>
      </c>
      <c r="K497" s="8" t="s">
        <v>18</v>
      </c>
      <c r="L497" s="8" t="s">
        <v>729</v>
      </c>
    </row>
    <row r="498" spans="1:12" x14ac:dyDescent="0.35">
      <c r="A498" s="11">
        <v>497</v>
      </c>
      <c r="B498" s="17">
        <v>45822.42863425926</v>
      </c>
      <c r="C498" s="18">
        <v>45822</v>
      </c>
      <c r="D498" s="10" t="s">
        <v>730</v>
      </c>
      <c r="E498" s="14">
        <v>9600</v>
      </c>
      <c r="F498" s="5">
        <v>0</v>
      </c>
      <c r="G498" s="5">
        <v>0</v>
      </c>
      <c r="H498" s="10" t="s">
        <v>33</v>
      </c>
      <c r="I498" s="10" t="s">
        <v>52</v>
      </c>
      <c r="J498" s="10" t="s">
        <v>34</v>
      </c>
      <c r="K498" s="10" t="s">
        <v>18</v>
      </c>
      <c r="L498" s="10" t="s">
        <v>731</v>
      </c>
    </row>
    <row r="499" spans="1:12" x14ac:dyDescent="0.35">
      <c r="A499" s="9">
        <v>498</v>
      </c>
      <c r="B499" s="19">
        <v>45822.42864583333</v>
      </c>
      <c r="C499" s="20">
        <v>45822</v>
      </c>
      <c r="D499" s="8" t="s">
        <v>394</v>
      </c>
      <c r="E499" s="3">
        <v>0</v>
      </c>
      <c r="F499" s="13">
        <v>1900</v>
      </c>
      <c r="G499" s="3">
        <v>9600</v>
      </c>
      <c r="H499" s="8" t="s">
        <v>51</v>
      </c>
      <c r="I499" s="8" t="s">
        <v>71</v>
      </c>
      <c r="J499" s="8" t="s">
        <v>32</v>
      </c>
      <c r="K499" s="8" t="s">
        <v>18</v>
      </c>
      <c r="L499" s="8" t="s">
        <v>732</v>
      </c>
    </row>
    <row r="500" spans="1:12" x14ac:dyDescent="0.35">
      <c r="A500" s="11">
        <v>499</v>
      </c>
      <c r="B500" s="17">
        <v>45822.452939814822</v>
      </c>
      <c r="C500" s="18">
        <v>45822</v>
      </c>
      <c r="D500" s="10" t="s">
        <v>733</v>
      </c>
      <c r="E500" s="14">
        <v>2100</v>
      </c>
      <c r="F500" s="5">
        <v>0</v>
      </c>
      <c r="G500" s="5">
        <v>0</v>
      </c>
      <c r="H500" s="10" t="s">
        <v>33</v>
      </c>
      <c r="I500" s="10" t="s">
        <v>52</v>
      </c>
      <c r="J500" s="10" t="s">
        <v>34</v>
      </c>
      <c r="K500" s="10" t="s">
        <v>18</v>
      </c>
      <c r="L500" s="10" t="s">
        <v>734</v>
      </c>
    </row>
    <row r="501" spans="1:12" x14ac:dyDescent="0.35">
      <c r="A501" s="9">
        <v>500</v>
      </c>
      <c r="B501" s="19">
        <v>45822.452951388892</v>
      </c>
      <c r="C501" s="20">
        <v>45822</v>
      </c>
      <c r="D501" s="8" t="s">
        <v>394</v>
      </c>
      <c r="E501" s="3">
        <v>0</v>
      </c>
      <c r="F501" s="13">
        <v>2100</v>
      </c>
      <c r="G501" s="3">
        <v>2100</v>
      </c>
      <c r="H501" s="8" t="s">
        <v>51</v>
      </c>
      <c r="I501" s="8" t="s">
        <v>71</v>
      </c>
      <c r="J501" s="8" t="s">
        <v>32</v>
      </c>
      <c r="K501" s="8" t="s">
        <v>18</v>
      </c>
      <c r="L501" s="8" t="s">
        <v>735</v>
      </c>
    </row>
    <row r="502" spans="1:12" x14ac:dyDescent="0.35">
      <c r="A502" s="11">
        <v>501</v>
      </c>
      <c r="B502" s="17">
        <v>45822.498402777783</v>
      </c>
      <c r="C502" s="18">
        <v>45822</v>
      </c>
      <c r="D502" s="10" t="s">
        <v>736</v>
      </c>
      <c r="E502" s="14">
        <v>3000</v>
      </c>
      <c r="F502" s="5">
        <v>0</v>
      </c>
      <c r="G502" s="5">
        <v>0</v>
      </c>
      <c r="H502" s="10" t="s">
        <v>33</v>
      </c>
      <c r="I502" s="10" t="s">
        <v>52</v>
      </c>
      <c r="J502" s="10" t="s">
        <v>34</v>
      </c>
      <c r="K502" s="10" t="s">
        <v>18</v>
      </c>
      <c r="L502" s="10" t="s">
        <v>737</v>
      </c>
    </row>
    <row r="503" spans="1:12" x14ac:dyDescent="0.35">
      <c r="A503" s="9">
        <v>502</v>
      </c>
      <c r="B503" s="19">
        <v>45822.498402777783</v>
      </c>
      <c r="C503" s="20">
        <v>45822</v>
      </c>
      <c r="D503" s="8" t="s">
        <v>394</v>
      </c>
      <c r="E503" s="3">
        <v>0</v>
      </c>
      <c r="F503" s="13">
        <v>3000</v>
      </c>
      <c r="G503" s="3">
        <v>3000</v>
      </c>
      <c r="H503" s="8" t="s">
        <v>51</v>
      </c>
      <c r="I503" s="8" t="s">
        <v>71</v>
      </c>
      <c r="J503" s="8" t="s">
        <v>32</v>
      </c>
      <c r="K503" s="8" t="s">
        <v>18</v>
      </c>
      <c r="L503" s="8" t="s">
        <v>738</v>
      </c>
    </row>
    <row r="504" spans="1:12" x14ac:dyDescent="0.35">
      <c r="A504" s="11">
        <v>503</v>
      </c>
      <c r="B504" s="17">
        <v>45822.507291666669</v>
      </c>
      <c r="C504" s="18">
        <v>45822</v>
      </c>
      <c r="D504" s="10" t="s">
        <v>739</v>
      </c>
      <c r="E504" s="14">
        <v>2000</v>
      </c>
      <c r="F504" s="5">
        <v>0</v>
      </c>
      <c r="G504" s="5">
        <v>0</v>
      </c>
      <c r="H504" s="10" t="s">
        <v>51</v>
      </c>
      <c r="I504" s="10" t="s">
        <v>52</v>
      </c>
      <c r="J504" s="10" t="s">
        <v>30</v>
      </c>
      <c r="K504" s="10" t="s">
        <v>18</v>
      </c>
      <c r="L504" s="10" t="s">
        <v>740</v>
      </c>
    </row>
    <row r="505" spans="1:12" x14ac:dyDescent="0.35">
      <c r="A505" s="9">
        <v>504</v>
      </c>
      <c r="B505" s="19">
        <v>45822.507349537038</v>
      </c>
      <c r="C505" s="20">
        <v>45822</v>
      </c>
      <c r="D505" s="8" t="s">
        <v>394</v>
      </c>
      <c r="E505" s="3">
        <v>0</v>
      </c>
      <c r="F505" s="13">
        <v>2000</v>
      </c>
      <c r="G505" s="3">
        <v>2000</v>
      </c>
      <c r="H505" s="8" t="s">
        <v>51</v>
      </c>
      <c r="I505" s="8" t="s">
        <v>71</v>
      </c>
      <c r="J505" s="8" t="s">
        <v>32</v>
      </c>
      <c r="K505" s="8" t="s">
        <v>18</v>
      </c>
      <c r="L505" s="8" t="s">
        <v>741</v>
      </c>
    </row>
    <row r="506" spans="1:12" x14ac:dyDescent="0.35">
      <c r="A506" s="11">
        <v>505</v>
      </c>
      <c r="B506" s="17">
        <v>45822.536111111112</v>
      </c>
      <c r="C506" s="18">
        <v>45822</v>
      </c>
      <c r="D506" s="10" t="s">
        <v>742</v>
      </c>
      <c r="E506" s="14">
        <v>2100</v>
      </c>
      <c r="F506" s="5">
        <v>0</v>
      </c>
      <c r="G506" s="5">
        <v>0</v>
      </c>
      <c r="H506" s="10" t="s">
        <v>33</v>
      </c>
      <c r="I506" s="10" t="s">
        <v>52</v>
      </c>
      <c r="J506" s="10" t="s">
        <v>34</v>
      </c>
      <c r="K506" s="10" t="s">
        <v>18</v>
      </c>
      <c r="L506" s="10" t="s">
        <v>743</v>
      </c>
    </row>
    <row r="507" spans="1:12" x14ac:dyDescent="0.35">
      <c r="A507" s="9">
        <v>506</v>
      </c>
      <c r="B507" s="19">
        <v>45822.536122685182</v>
      </c>
      <c r="C507" s="20">
        <v>45822</v>
      </c>
      <c r="D507" s="8" t="s">
        <v>394</v>
      </c>
      <c r="E507" s="3">
        <v>0</v>
      </c>
      <c r="F507" s="13">
        <v>2100</v>
      </c>
      <c r="G507" s="3">
        <v>2100</v>
      </c>
      <c r="H507" s="8" t="s">
        <v>51</v>
      </c>
      <c r="I507" s="8" t="s">
        <v>71</v>
      </c>
      <c r="J507" s="8" t="s">
        <v>32</v>
      </c>
      <c r="K507" s="8" t="s">
        <v>18</v>
      </c>
      <c r="L507" s="8" t="s">
        <v>744</v>
      </c>
    </row>
    <row r="508" spans="1:12" x14ac:dyDescent="0.35">
      <c r="A508" s="11">
        <v>507</v>
      </c>
      <c r="B508" s="17">
        <v>45823.210821759261</v>
      </c>
      <c r="C508" s="18">
        <v>45823</v>
      </c>
      <c r="D508" s="10" t="s">
        <v>394</v>
      </c>
      <c r="E508" s="5">
        <v>0</v>
      </c>
      <c r="F508" s="15">
        <v>500</v>
      </c>
      <c r="G508" s="5">
        <v>500</v>
      </c>
      <c r="H508" s="10" t="s">
        <v>51</v>
      </c>
      <c r="I508" s="10" t="s">
        <v>71</v>
      </c>
      <c r="J508" s="10" t="s">
        <v>32</v>
      </c>
      <c r="K508" s="10" t="s">
        <v>18</v>
      </c>
      <c r="L508" s="10" t="s">
        <v>745</v>
      </c>
    </row>
    <row r="509" spans="1:12" x14ac:dyDescent="0.35">
      <c r="A509" s="9">
        <v>508</v>
      </c>
      <c r="B509" s="19">
        <v>45823.210821759261</v>
      </c>
      <c r="C509" s="20">
        <v>45823</v>
      </c>
      <c r="D509" s="8" t="s">
        <v>342</v>
      </c>
      <c r="E509" s="12">
        <v>500</v>
      </c>
      <c r="F509" s="3">
        <v>0</v>
      </c>
      <c r="G509" s="3">
        <v>0</v>
      </c>
      <c r="H509" s="8" t="s">
        <v>51</v>
      </c>
      <c r="I509" s="8" t="s">
        <v>52</v>
      </c>
      <c r="J509" s="8" t="s">
        <v>33</v>
      </c>
      <c r="K509" s="8" t="s">
        <v>18</v>
      </c>
      <c r="L509" s="8" t="s">
        <v>746</v>
      </c>
    </row>
    <row r="510" spans="1:12" x14ac:dyDescent="0.35">
      <c r="A510" s="11">
        <v>509</v>
      </c>
      <c r="B510" s="17">
        <v>45824.210729166669</v>
      </c>
      <c r="C510" s="18">
        <v>45824</v>
      </c>
      <c r="D510" s="10" t="s">
        <v>394</v>
      </c>
      <c r="E510" s="5">
        <v>0</v>
      </c>
      <c r="F510" s="15">
        <v>500</v>
      </c>
      <c r="G510" s="5">
        <v>500</v>
      </c>
      <c r="H510" s="10" t="s">
        <v>51</v>
      </c>
      <c r="I510" s="10" t="s">
        <v>71</v>
      </c>
      <c r="J510" s="10" t="s">
        <v>32</v>
      </c>
      <c r="K510" s="10" t="s">
        <v>18</v>
      </c>
      <c r="L510" s="10" t="s">
        <v>747</v>
      </c>
    </row>
    <row r="511" spans="1:12" x14ac:dyDescent="0.35">
      <c r="A511" s="9">
        <v>510</v>
      </c>
      <c r="B511" s="19">
        <v>45824.210729166669</v>
      </c>
      <c r="C511" s="20">
        <v>45824</v>
      </c>
      <c r="D511" s="8" t="s">
        <v>342</v>
      </c>
      <c r="E511" s="12">
        <v>500</v>
      </c>
      <c r="F511" s="3">
        <v>0</v>
      </c>
      <c r="G511" s="3">
        <v>0</v>
      </c>
      <c r="H511" s="8" t="s">
        <v>51</v>
      </c>
      <c r="I511" s="8" t="s">
        <v>52</v>
      </c>
      <c r="J511" s="8" t="s">
        <v>33</v>
      </c>
      <c r="K511" s="8" t="s">
        <v>18</v>
      </c>
      <c r="L511" s="8" t="s">
        <v>748</v>
      </c>
    </row>
    <row r="512" spans="1:12" x14ac:dyDescent="0.35">
      <c r="A512" s="11">
        <v>511</v>
      </c>
      <c r="B512" s="17">
        <v>45824.364328703698</v>
      </c>
      <c r="C512" s="18">
        <v>45824</v>
      </c>
      <c r="D512" s="10" t="s">
        <v>339</v>
      </c>
      <c r="E512" s="14">
        <v>357.5</v>
      </c>
      <c r="F512" s="5">
        <v>0</v>
      </c>
      <c r="G512" s="5">
        <v>0</v>
      </c>
      <c r="H512" s="10" t="s">
        <v>51</v>
      </c>
      <c r="I512" s="10" t="s">
        <v>52</v>
      </c>
      <c r="J512" s="10" t="s">
        <v>36</v>
      </c>
      <c r="K512" s="10" t="s">
        <v>18</v>
      </c>
      <c r="L512" s="10" t="s">
        <v>749</v>
      </c>
    </row>
    <row r="513" spans="1:12" x14ac:dyDescent="0.35">
      <c r="A513" s="9">
        <v>512</v>
      </c>
      <c r="B513" s="19">
        <v>45824.364479166667</v>
      </c>
      <c r="C513" s="20">
        <v>45824</v>
      </c>
      <c r="D513" s="8" t="s">
        <v>394</v>
      </c>
      <c r="E513" s="3">
        <v>0</v>
      </c>
      <c r="F513" s="13">
        <v>357.5</v>
      </c>
      <c r="G513" s="3">
        <v>357.5</v>
      </c>
      <c r="H513" s="8" t="s">
        <v>51</v>
      </c>
      <c r="I513" s="8" t="s">
        <v>71</v>
      </c>
      <c r="J513" s="8" t="s">
        <v>32</v>
      </c>
      <c r="K513" s="8" t="s">
        <v>18</v>
      </c>
      <c r="L513" s="8" t="s">
        <v>750</v>
      </c>
    </row>
    <row r="514" spans="1:12" x14ac:dyDescent="0.35">
      <c r="A514" s="11">
        <v>513</v>
      </c>
      <c r="B514" s="17">
        <v>45824.538090277783</v>
      </c>
      <c r="C514" s="18">
        <v>45824</v>
      </c>
      <c r="D514" s="10" t="s">
        <v>551</v>
      </c>
      <c r="E514" s="5">
        <v>0</v>
      </c>
      <c r="F514" s="15">
        <v>1000</v>
      </c>
      <c r="G514" s="5">
        <v>1000</v>
      </c>
      <c r="H514" s="10" t="s">
        <v>51</v>
      </c>
      <c r="I514" s="10" t="s">
        <v>71</v>
      </c>
      <c r="J514" s="10" t="s">
        <v>31</v>
      </c>
      <c r="K514" s="10" t="s">
        <v>18</v>
      </c>
      <c r="L514" s="10" t="s">
        <v>751</v>
      </c>
    </row>
    <row r="515" spans="1:12" x14ac:dyDescent="0.35">
      <c r="A515" s="9">
        <v>514</v>
      </c>
      <c r="B515" s="19">
        <v>45824.546215277784</v>
      </c>
      <c r="C515" s="20">
        <v>45824</v>
      </c>
      <c r="D515" s="8" t="s">
        <v>752</v>
      </c>
      <c r="E515" s="12">
        <v>1750</v>
      </c>
      <c r="F515" s="3">
        <v>0</v>
      </c>
      <c r="G515" s="3">
        <v>0</v>
      </c>
      <c r="H515" s="8" t="s">
        <v>33</v>
      </c>
      <c r="I515" s="8" t="s">
        <v>52</v>
      </c>
      <c r="J515" s="8" t="s">
        <v>34</v>
      </c>
      <c r="K515" s="8" t="s">
        <v>18</v>
      </c>
      <c r="L515" s="8" t="s">
        <v>753</v>
      </c>
    </row>
    <row r="516" spans="1:12" x14ac:dyDescent="0.35">
      <c r="A516" s="11">
        <v>515</v>
      </c>
      <c r="B516" s="17">
        <v>45824.546215277784</v>
      </c>
      <c r="C516" s="18">
        <v>45824</v>
      </c>
      <c r="D516" s="10" t="s">
        <v>394</v>
      </c>
      <c r="E516" s="5">
        <v>0</v>
      </c>
      <c r="F516" s="15">
        <v>750</v>
      </c>
      <c r="G516" s="5">
        <v>1750</v>
      </c>
      <c r="H516" s="10" t="s">
        <v>51</v>
      </c>
      <c r="I516" s="10" t="s">
        <v>71</v>
      </c>
      <c r="J516" s="10" t="s">
        <v>32</v>
      </c>
      <c r="K516" s="10" t="s">
        <v>18</v>
      </c>
      <c r="L516" s="10" t="s">
        <v>754</v>
      </c>
    </row>
    <row r="517" spans="1:12" x14ac:dyDescent="0.35">
      <c r="A517" s="9">
        <v>516</v>
      </c>
      <c r="B517" s="19">
        <v>45824.65084490741</v>
      </c>
      <c r="C517" s="20">
        <v>45824</v>
      </c>
      <c r="D517" s="8" t="s">
        <v>755</v>
      </c>
      <c r="E517" s="3">
        <v>0</v>
      </c>
      <c r="F517" s="13">
        <v>31000</v>
      </c>
      <c r="G517" s="3">
        <v>31000</v>
      </c>
      <c r="H517" s="8" t="s">
        <v>51</v>
      </c>
      <c r="I517" s="8" t="s">
        <v>71</v>
      </c>
      <c r="J517" s="8" t="s">
        <v>31</v>
      </c>
      <c r="K517" s="8" t="s">
        <v>18</v>
      </c>
      <c r="L517" s="8" t="s">
        <v>756</v>
      </c>
    </row>
    <row r="518" spans="1:12" x14ac:dyDescent="0.35">
      <c r="A518" s="11">
        <v>517</v>
      </c>
      <c r="B518" s="17">
        <v>45824.650868055563</v>
      </c>
      <c r="C518" s="18">
        <v>45824</v>
      </c>
      <c r="D518" s="10" t="s">
        <v>79</v>
      </c>
      <c r="E518" s="14">
        <v>50</v>
      </c>
      <c r="F518" s="5">
        <v>0</v>
      </c>
      <c r="G518" s="5">
        <v>30950</v>
      </c>
      <c r="H518" s="10" t="s">
        <v>51</v>
      </c>
      <c r="I518" s="10" t="s">
        <v>52</v>
      </c>
      <c r="J518" s="10" t="s">
        <v>36</v>
      </c>
      <c r="K518" s="10" t="s">
        <v>18</v>
      </c>
      <c r="L518" s="10" t="s">
        <v>757</v>
      </c>
    </row>
    <row r="519" spans="1:12" x14ac:dyDescent="0.35">
      <c r="A519" s="9">
        <v>518</v>
      </c>
      <c r="B519" s="19">
        <v>45824.671307870369</v>
      </c>
      <c r="C519" s="20">
        <v>45824</v>
      </c>
      <c r="D519" s="8" t="s">
        <v>758</v>
      </c>
      <c r="E519" s="12">
        <v>20000</v>
      </c>
      <c r="F519" s="3">
        <v>0</v>
      </c>
      <c r="G519" s="3">
        <v>10950</v>
      </c>
      <c r="H519" s="8" t="s">
        <v>51</v>
      </c>
      <c r="I519" s="8" t="s">
        <v>52</v>
      </c>
      <c r="J519" s="8" t="s">
        <v>30</v>
      </c>
      <c r="K519" s="8" t="s">
        <v>18</v>
      </c>
      <c r="L519" s="8" t="s">
        <v>759</v>
      </c>
    </row>
    <row r="520" spans="1:12" x14ac:dyDescent="0.35">
      <c r="A520" s="11">
        <v>519</v>
      </c>
      <c r="B520" s="17">
        <v>45824.929768518523</v>
      </c>
      <c r="C520" s="18">
        <v>45824</v>
      </c>
      <c r="D520" s="10" t="s">
        <v>426</v>
      </c>
      <c r="E520" s="14">
        <v>10950</v>
      </c>
      <c r="F520" s="5">
        <v>0</v>
      </c>
      <c r="G520" s="5">
        <v>0</v>
      </c>
      <c r="H520" s="10" t="s">
        <v>51</v>
      </c>
      <c r="I520" s="10" t="s">
        <v>52</v>
      </c>
      <c r="J520" s="10" t="s">
        <v>32</v>
      </c>
      <c r="K520" s="10" t="s">
        <v>18</v>
      </c>
      <c r="L520" s="10" t="s">
        <v>760</v>
      </c>
    </row>
    <row r="521" spans="1:12" x14ac:dyDescent="0.35">
      <c r="A521" s="9">
        <v>520</v>
      </c>
      <c r="B521" s="19">
        <v>45825.210706018523</v>
      </c>
      <c r="C521" s="20">
        <v>45825</v>
      </c>
      <c r="D521" s="8" t="s">
        <v>342</v>
      </c>
      <c r="E521" s="12">
        <v>500</v>
      </c>
      <c r="F521" s="3">
        <v>0</v>
      </c>
      <c r="G521" s="3">
        <v>0</v>
      </c>
      <c r="H521" s="8" t="s">
        <v>51</v>
      </c>
      <c r="I521" s="8" t="s">
        <v>52</v>
      </c>
      <c r="J521" s="8" t="s">
        <v>33</v>
      </c>
      <c r="K521" s="8" t="s">
        <v>18</v>
      </c>
      <c r="L521" s="8" t="s">
        <v>761</v>
      </c>
    </row>
    <row r="522" spans="1:12" x14ac:dyDescent="0.35">
      <c r="A522" s="11">
        <v>521</v>
      </c>
      <c r="B522" s="17">
        <v>45825.210717592592</v>
      </c>
      <c r="C522" s="18">
        <v>45825</v>
      </c>
      <c r="D522" s="10" t="s">
        <v>394</v>
      </c>
      <c r="E522" s="5">
        <v>0</v>
      </c>
      <c r="F522" s="15">
        <v>500</v>
      </c>
      <c r="G522" s="5">
        <v>500</v>
      </c>
      <c r="H522" s="10" t="s">
        <v>51</v>
      </c>
      <c r="I522" s="10" t="s">
        <v>71</v>
      </c>
      <c r="J522" s="10" t="s">
        <v>32</v>
      </c>
      <c r="K522" s="10" t="s">
        <v>18</v>
      </c>
      <c r="L522" s="10" t="s">
        <v>762</v>
      </c>
    </row>
    <row r="523" spans="1:12" x14ac:dyDescent="0.35">
      <c r="A523" s="9">
        <v>522</v>
      </c>
      <c r="B523" s="19">
        <v>45825.490949074083</v>
      </c>
      <c r="C523" s="20">
        <v>45825</v>
      </c>
      <c r="D523" s="8" t="s">
        <v>763</v>
      </c>
      <c r="E523" s="12">
        <v>500</v>
      </c>
      <c r="F523" s="3">
        <v>0</v>
      </c>
      <c r="G523" s="3">
        <v>0</v>
      </c>
      <c r="H523" s="8" t="s">
        <v>33</v>
      </c>
      <c r="I523" s="8" t="s">
        <v>52</v>
      </c>
      <c r="J523" s="8" t="s">
        <v>34</v>
      </c>
      <c r="K523" s="8" t="s">
        <v>18</v>
      </c>
      <c r="L523" s="8" t="s">
        <v>764</v>
      </c>
    </row>
    <row r="524" spans="1:12" x14ac:dyDescent="0.35">
      <c r="A524" s="11">
        <v>523</v>
      </c>
      <c r="B524" s="17">
        <v>45825.490949074083</v>
      </c>
      <c r="C524" s="18">
        <v>45825</v>
      </c>
      <c r="D524" s="10" t="s">
        <v>394</v>
      </c>
      <c r="E524" s="5">
        <v>0</v>
      </c>
      <c r="F524" s="15">
        <v>500</v>
      </c>
      <c r="G524" s="5">
        <v>500</v>
      </c>
      <c r="H524" s="10" t="s">
        <v>51</v>
      </c>
      <c r="I524" s="10" t="s">
        <v>71</v>
      </c>
      <c r="J524" s="10" t="s">
        <v>32</v>
      </c>
      <c r="K524" s="10" t="s">
        <v>18</v>
      </c>
      <c r="L524" s="10" t="s">
        <v>765</v>
      </c>
    </row>
    <row r="525" spans="1:12" x14ac:dyDescent="0.35">
      <c r="A525" s="9">
        <v>524</v>
      </c>
      <c r="B525" s="19">
        <v>45825.562974537039</v>
      </c>
      <c r="C525" s="20">
        <v>45825</v>
      </c>
      <c r="D525" s="8" t="s">
        <v>603</v>
      </c>
      <c r="E525" s="12">
        <v>1000</v>
      </c>
      <c r="F525" s="3">
        <v>0</v>
      </c>
      <c r="G525" s="3">
        <v>0</v>
      </c>
      <c r="H525" s="8" t="s">
        <v>51</v>
      </c>
      <c r="I525" s="8" t="s">
        <v>52</v>
      </c>
      <c r="J525" s="8" t="s">
        <v>30</v>
      </c>
      <c r="K525" s="8" t="s">
        <v>18</v>
      </c>
      <c r="L525" s="8" t="s">
        <v>766</v>
      </c>
    </row>
    <row r="526" spans="1:12" x14ac:dyDescent="0.35">
      <c r="A526" s="11">
        <v>525</v>
      </c>
      <c r="B526" s="17">
        <v>45825.563032407408</v>
      </c>
      <c r="C526" s="18">
        <v>45825</v>
      </c>
      <c r="D526" s="10" t="s">
        <v>394</v>
      </c>
      <c r="E526" s="5">
        <v>0</v>
      </c>
      <c r="F526" s="15">
        <v>1000</v>
      </c>
      <c r="G526" s="5">
        <v>1000</v>
      </c>
      <c r="H526" s="10" t="s">
        <v>51</v>
      </c>
      <c r="I526" s="10" t="s">
        <v>71</v>
      </c>
      <c r="J526" s="10" t="s">
        <v>32</v>
      </c>
      <c r="K526" s="10" t="s">
        <v>18</v>
      </c>
      <c r="L526" s="10" t="s">
        <v>767</v>
      </c>
    </row>
    <row r="527" spans="1:12" x14ac:dyDescent="0.35">
      <c r="A527" s="9">
        <v>526</v>
      </c>
      <c r="B527" s="19">
        <v>45825.60659722222</v>
      </c>
      <c r="C527" s="20">
        <v>45825</v>
      </c>
      <c r="D527" s="8" t="s">
        <v>768</v>
      </c>
      <c r="E527" s="12">
        <v>500</v>
      </c>
      <c r="F527" s="3">
        <v>0</v>
      </c>
      <c r="G527" s="3">
        <v>0</v>
      </c>
      <c r="H527" s="8" t="s">
        <v>33</v>
      </c>
      <c r="I527" s="8" t="s">
        <v>52</v>
      </c>
      <c r="J527" s="8" t="s">
        <v>34</v>
      </c>
      <c r="K527" s="8" t="s">
        <v>18</v>
      </c>
      <c r="L527" s="8" t="s">
        <v>769</v>
      </c>
    </row>
    <row r="528" spans="1:12" x14ac:dyDescent="0.35">
      <c r="A528" s="11">
        <v>527</v>
      </c>
      <c r="B528" s="17">
        <v>45825.60659722222</v>
      </c>
      <c r="C528" s="18">
        <v>45825</v>
      </c>
      <c r="D528" s="10" t="s">
        <v>394</v>
      </c>
      <c r="E528" s="5">
        <v>0</v>
      </c>
      <c r="F528" s="15">
        <v>500</v>
      </c>
      <c r="G528" s="5">
        <v>500</v>
      </c>
      <c r="H528" s="10" t="s">
        <v>51</v>
      </c>
      <c r="I528" s="10" t="s">
        <v>71</v>
      </c>
      <c r="J528" s="10" t="s">
        <v>32</v>
      </c>
      <c r="K528" s="10" t="s">
        <v>18</v>
      </c>
      <c r="L528" s="10" t="s">
        <v>770</v>
      </c>
    </row>
    <row r="529" spans="1:12" x14ac:dyDescent="0.35">
      <c r="A529" s="9">
        <v>528</v>
      </c>
      <c r="B529" s="19">
        <v>45825.684374999997</v>
      </c>
      <c r="C529" s="20">
        <v>45825</v>
      </c>
      <c r="D529" s="8" t="s">
        <v>699</v>
      </c>
      <c r="E529" s="3">
        <v>0</v>
      </c>
      <c r="F529" s="13">
        <v>50000</v>
      </c>
      <c r="G529" s="3">
        <v>50000</v>
      </c>
      <c r="H529" s="8" t="s">
        <v>51</v>
      </c>
      <c r="I529" s="8" t="s">
        <v>71</v>
      </c>
      <c r="J529" s="8" t="s">
        <v>31</v>
      </c>
      <c r="K529" s="8" t="s">
        <v>18</v>
      </c>
      <c r="L529" s="8" t="s">
        <v>771</v>
      </c>
    </row>
    <row r="530" spans="1:12" x14ac:dyDescent="0.35">
      <c r="A530" s="11">
        <v>529</v>
      </c>
      <c r="B530" s="17">
        <v>45825.684386574067</v>
      </c>
      <c r="C530" s="18">
        <v>45825</v>
      </c>
      <c r="D530" s="10" t="s">
        <v>79</v>
      </c>
      <c r="E530" s="14">
        <v>50</v>
      </c>
      <c r="F530" s="5">
        <v>0</v>
      </c>
      <c r="G530" s="5">
        <v>49950</v>
      </c>
      <c r="H530" s="10" t="s">
        <v>51</v>
      </c>
      <c r="I530" s="10" t="s">
        <v>52</v>
      </c>
      <c r="J530" s="10" t="s">
        <v>36</v>
      </c>
      <c r="K530" s="10" t="s">
        <v>18</v>
      </c>
      <c r="L530" s="10" t="s">
        <v>772</v>
      </c>
    </row>
    <row r="531" spans="1:12" x14ac:dyDescent="0.35">
      <c r="A531" s="9">
        <v>530</v>
      </c>
      <c r="B531" s="19">
        <v>45825.692129629628</v>
      </c>
      <c r="C531" s="20">
        <v>45825</v>
      </c>
      <c r="D531" s="8" t="s">
        <v>631</v>
      </c>
      <c r="E531" s="12">
        <v>13000</v>
      </c>
      <c r="F531" s="3">
        <v>0</v>
      </c>
      <c r="G531" s="3">
        <v>36950</v>
      </c>
      <c r="H531" s="8" t="s">
        <v>51</v>
      </c>
      <c r="I531" s="8" t="s">
        <v>52</v>
      </c>
      <c r="J531" s="8" t="s">
        <v>30</v>
      </c>
      <c r="K531" s="8" t="s">
        <v>18</v>
      </c>
      <c r="L531" s="8" t="s">
        <v>773</v>
      </c>
    </row>
    <row r="532" spans="1:12" x14ac:dyDescent="0.35">
      <c r="A532" s="11">
        <v>531</v>
      </c>
      <c r="B532" s="17">
        <v>45825.694675925923</v>
      </c>
      <c r="C532" s="18">
        <v>45825</v>
      </c>
      <c r="D532" s="10" t="s">
        <v>339</v>
      </c>
      <c r="E532" s="14">
        <v>500</v>
      </c>
      <c r="F532" s="5">
        <v>0</v>
      </c>
      <c r="G532" s="5">
        <v>36450</v>
      </c>
      <c r="H532" s="10" t="s">
        <v>51</v>
      </c>
      <c r="I532" s="10" t="s">
        <v>52</v>
      </c>
      <c r="J532" s="10" t="s">
        <v>36</v>
      </c>
      <c r="K532" s="10" t="s">
        <v>18</v>
      </c>
      <c r="L532" s="10" t="s">
        <v>774</v>
      </c>
    </row>
    <row r="533" spans="1:12" x14ac:dyDescent="0.35">
      <c r="A533" s="9">
        <v>532</v>
      </c>
      <c r="B533" s="19">
        <v>45825.709988425922</v>
      </c>
      <c r="C533" s="20">
        <v>45825</v>
      </c>
      <c r="D533" s="8" t="s">
        <v>775</v>
      </c>
      <c r="E533" s="12">
        <v>2100</v>
      </c>
      <c r="F533" s="3">
        <v>0</v>
      </c>
      <c r="G533" s="3">
        <v>34350</v>
      </c>
      <c r="H533" s="8" t="s">
        <v>51</v>
      </c>
      <c r="I533" s="8" t="s">
        <v>52</v>
      </c>
      <c r="J533" s="8" t="s">
        <v>30</v>
      </c>
      <c r="K533" s="8" t="s">
        <v>18</v>
      </c>
      <c r="L533" s="8" t="s">
        <v>776</v>
      </c>
    </row>
    <row r="534" spans="1:12" x14ac:dyDescent="0.35">
      <c r="A534" s="11">
        <v>533</v>
      </c>
      <c r="B534" s="17">
        <v>45825.728622685187</v>
      </c>
      <c r="C534" s="18">
        <v>45825</v>
      </c>
      <c r="D534" s="10" t="s">
        <v>777</v>
      </c>
      <c r="E534" s="14">
        <v>2000</v>
      </c>
      <c r="F534" s="5">
        <v>0</v>
      </c>
      <c r="G534" s="5">
        <v>32350</v>
      </c>
      <c r="H534" s="10" t="s">
        <v>33</v>
      </c>
      <c r="I534" s="10" t="s">
        <v>52</v>
      </c>
      <c r="J534" s="10" t="s">
        <v>34</v>
      </c>
      <c r="K534" s="10" t="s">
        <v>18</v>
      </c>
      <c r="L534" s="10" t="s">
        <v>778</v>
      </c>
    </row>
    <row r="535" spans="1:12" x14ac:dyDescent="0.35">
      <c r="A535" s="9">
        <v>534</v>
      </c>
      <c r="B535" s="19">
        <v>45825.766921296286</v>
      </c>
      <c r="C535" s="20">
        <v>45825</v>
      </c>
      <c r="D535" s="8" t="s">
        <v>779</v>
      </c>
      <c r="E535" s="12">
        <v>3100</v>
      </c>
      <c r="F535" s="3">
        <v>0</v>
      </c>
      <c r="G535" s="3">
        <v>29250</v>
      </c>
      <c r="H535" s="8" t="s">
        <v>33</v>
      </c>
      <c r="I535" s="8" t="s">
        <v>52</v>
      </c>
      <c r="J535" s="8" t="s">
        <v>34</v>
      </c>
      <c r="K535" s="8" t="s">
        <v>18</v>
      </c>
      <c r="L535" s="8" t="s">
        <v>780</v>
      </c>
    </row>
    <row r="536" spans="1:12" x14ac:dyDescent="0.35">
      <c r="A536" s="11">
        <v>535</v>
      </c>
      <c r="B536" s="17">
        <v>45825.9296875</v>
      </c>
      <c r="C536" s="18">
        <v>45825</v>
      </c>
      <c r="D536" s="10" t="s">
        <v>426</v>
      </c>
      <c r="E536" s="14">
        <v>29250</v>
      </c>
      <c r="F536" s="5">
        <v>0</v>
      </c>
      <c r="G536" s="5">
        <v>0</v>
      </c>
      <c r="H536" s="10" t="s">
        <v>51</v>
      </c>
      <c r="I536" s="10" t="s">
        <v>52</v>
      </c>
      <c r="J536" s="10" t="s">
        <v>32</v>
      </c>
      <c r="K536" s="10" t="s">
        <v>18</v>
      </c>
      <c r="L536" s="10" t="s">
        <v>781</v>
      </c>
    </row>
    <row r="537" spans="1:12" x14ac:dyDescent="0.35">
      <c r="A537" s="9">
        <v>536</v>
      </c>
      <c r="B537" s="19">
        <v>45826.210775462961</v>
      </c>
      <c r="C537" s="20">
        <v>45826</v>
      </c>
      <c r="D537" s="8" t="s">
        <v>342</v>
      </c>
      <c r="E537" s="12">
        <v>500</v>
      </c>
      <c r="F537" s="3">
        <v>0</v>
      </c>
      <c r="G537" s="3">
        <v>0</v>
      </c>
      <c r="H537" s="8" t="s">
        <v>51</v>
      </c>
      <c r="I537" s="8" t="s">
        <v>52</v>
      </c>
      <c r="J537" s="8" t="s">
        <v>33</v>
      </c>
      <c r="K537" s="8" t="s">
        <v>18</v>
      </c>
      <c r="L537" s="8" t="s">
        <v>782</v>
      </c>
    </row>
    <row r="538" spans="1:12" x14ac:dyDescent="0.35">
      <c r="A538" s="11">
        <v>537</v>
      </c>
      <c r="B538" s="17">
        <v>45826.210787037038</v>
      </c>
      <c r="C538" s="18">
        <v>45826</v>
      </c>
      <c r="D538" s="10" t="s">
        <v>394</v>
      </c>
      <c r="E538" s="5">
        <v>0</v>
      </c>
      <c r="F538" s="15">
        <v>500</v>
      </c>
      <c r="G538" s="5">
        <v>500</v>
      </c>
      <c r="H538" s="10" t="s">
        <v>51</v>
      </c>
      <c r="I538" s="10" t="s">
        <v>71</v>
      </c>
      <c r="J538" s="10" t="s">
        <v>32</v>
      </c>
      <c r="K538" s="10" t="s">
        <v>18</v>
      </c>
      <c r="L538" s="10" t="s">
        <v>783</v>
      </c>
    </row>
    <row r="539" spans="1:12" x14ac:dyDescent="0.35">
      <c r="A539" s="9">
        <v>538</v>
      </c>
      <c r="B539" s="19">
        <v>45826.543842592589</v>
      </c>
      <c r="C539" s="20">
        <v>45826</v>
      </c>
      <c r="D539" s="8" t="s">
        <v>784</v>
      </c>
      <c r="E539" s="12">
        <v>4972.5</v>
      </c>
      <c r="F539" s="3">
        <v>0</v>
      </c>
      <c r="G539" s="3">
        <v>0</v>
      </c>
      <c r="H539" s="8" t="s">
        <v>51</v>
      </c>
      <c r="I539" s="8" t="s">
        <v>52</v>
      </c>
      <c r="J539" s="8" t="s">
        <v>36</v>
      </c>
      <c r="K539" s="8" t="s">
        <v>18</v>
      </c>
      <c r="L539" s="8" t="s">
        <v>785</v>
      </c>
    </row>
    <row r="540" spans="1:12" x14ac:dyDescent="0.35">
      <c r="A540" s="11">
        <v>539</v>
      </c>
      <c r="B540" s="17">
        <v>45826.544027777767</v>
      </c>
      <c r="C540" s="18">
        <v>45826</v>
      </c>
      <c r="D540" s="10" t="s">
        <v>394</v>
      </c>
      <c r="E540" s="5">
        <v>0</v>
      </c>
      <c r="F540" s="15">
        <v>4972.5</v>
      </c>
      <c r="G540" s="5">
        <v>4972.5</v>
      </c>
      <c r="H540" s="10" t="s">
        <v>51</v>
      </c>
      <c r="I540" s="10" t="s">
        <v>71</v>
      </c>
      <c r="J540" s="10" t="s">
        <v>32</v>
      </c>
      <c r="K540" s="10" t="s">
        <v>18</v>
      </c>
      <c r="L540" s="10" t="s">
        <v>786</v>
      </c>
    </row>
    <row r="541" spans="1:12" x14ac:dyDescent="0.35">
      <c r="A541" s="9">
        <v>540</v>
      </c>
      <c r="B541" s="19">
        <v>45826.577233796299</v>
      </c>
      <c r="C541" s="20">
        <v>45826</v>
      </c>
      <c r="D541" s="8" t="s">
        <v>339</v>
      </c>
      <c r="E541" s="12">
        <v>450</v>
      </c>
      <c r="F541" s="3">
        <v>0</v>
      </c>
      <c r="G541" s="3">
        <v>0</v>
      </c>
      <c r="H541" s="8" t="s">
        <v>51</v>
      </c>
      <c r="I541" s="8" t="s">
        <v>52</v>
      </c>
      <c r="J541" s="8" t="s">
        <v>36</v>
      </c>
      <c r="K541" s="8" t="s">
        <v>18</v>
      </c>
      <c r="L541" s="8" t="s">
        <v>787</v>
      </c>
    </row>
    <row r="542" spans="1:12" x14ac:dyDescent="0.35">
      <c r="A542" s="11">
        <v>541</v>
      </c>
      <c r="B542" s="17">
        <v>45826.577314814807</v>
      </c>
      <c r="C542" s="18">
        <v>45826</v>
      </c>
      <c r="D542" s="10" t="s">
        <v>394</v>
      </c>
      <c r="E542" s="5">
        <v>0</v>
      </c>
      <c r="F542" s="15">
        <v>450</v>
      </c>
      <c r="G542" s="5">
        <v>450</v>
      </c>
      <c r="H542" s="10" t="s">
        <v>51</v>
      </c>
      <c r="I542" s="10" t="s">
        <v>71</v>
      </c>
      <c r="J542" s="10" t="s">
        <v>32</v>
      </c>
      <c r="K542" s="10" t="s">
        <v>18</v>
      </c>
      <c r="L542" s="10" t="s">
        <v>788</v>
      </c>
    </row>
    <row r="543" spans="1:12" x14ac:dyDescent="0.35">
      <c r="A543" s="9">
        <v>542</v>
      </c>
      <c r="B543" s="19">
        <v>45826.828564814823</v>
      </c>
      <c r="C543" s="20">
        <v>45826</v>
      </c>
      <c r="D543" s="8" t="s">
        <v>384</v>
      </c>
      <c r="E543" s="12">
        <v>3000</v>
      </c>
      <c r="F543" s="3">
        <v>0</v>
      </c>
      <c r="G543" s="3">
        <v>0</v>
      </c>
      <c r="H543" s="8" t="s">
        <v>51</v>
      </c>
      <c r="I543" s="8" t="s">
        <v>52</v>
      </c>
      <c r="J543" s="8" t="s">
        <v>30</v>
      </c>
      <c r="K543" s="8" t="s">
        <v>18</v>
      </c>
      <c r="L543" s="8" t="s">
        <v>789</v>
      </c>
    </row>
    <row r="544" spans="1:12" x14ac:dyDescent="0.35">
      <c r="A544" s="11">
        <v>543</v>
      </c>
      <c r="B544" s="17">
        <v>45826.828622685192</v>
      </c>
      <c r="C544" s="18">
        <v>45826</v>
      </c>
      <c r="D544" s="10" t="s">
        <v>394</v>
      </c>
      <c r="E544" s="5">
        <v>0</v>
      </c>
      <c r="F544" s="15">
        <v>3000</v>
      </c>
      <c r="G544" s="5">
        <v>3000</v>
      </c>
      <c r="H544" s="10" t="s">
        <v>51</v>
      </c>
      <c r="I544" s="10" t="s">
        <v>71</v>
      </c>
      <c r="J544" s="10" t="s">
        <v>32</v>
      </c>
      <c r="K544" s="10" t="s">
        <v>18</v>
      </c>
      <c r="L544" s="10" t="s">
        <v>790</v>
      </c>
    </row>
    <row r="545" spans="1:12" x14ac:dyDescent="0.35">
      <c r="A545" s="9">
        <v>544</v>
      </c>
      <c r="B545" s="19">
        <v>45826.918819444443</v>
      </c>
      <c r="C545" s="20">
        <v>45826</v>
      </c>
      <c r="D545" s="8" t="s">
        <v>337</v>
      </c>
      <c r="E545" s="12">
        <v>1500</v>
      </c>
      <c r="F545" s="3">
        <v>0</v>
      </c>
      <c r="G545" s="3">
        <v>0</v>
      </c>
      <c r="H545" s="8" t="s">
        <v>51</v>
      </c>
      <c r="I545" s="8" t="s">
        <v>52</v>
      </c>
      <c r="J545" s="8" t="s">
        <v>36</v>
      </c>
      <c r="K545" s="8" t="s">
        <v>18</v>
      </c>
      <c r="L545" s="8" t="s">
        <v>791</v>
      </c>
    </row>
    <row r="546" spans="1:12" x14ac:dyDescent="0.35">
      <c r="A546" s="11">
        <v>545</v>
      </c>
      <c r="B546" s="17">
        <v>45826.918900462973</v>
      </c>
      <c r="C546" s="18">
        <v>45826</v>
      </c>
      <c r="D546" s="10" t="s">
        <v>394</v>
      </c>
      <c r="E546" s="5">
        <v>0</v>
      </c>
      <c r="F546" s="15">
        <v>1500</v>
      </c>
      <c r="G546" s="5">
        <v>1500</v>
      </c>
      <c r="H546" s="10" t="s">
        <v>51</v>
      </c>
      <c r="I546" s="10" t="s">
        <v>71</v>
      </c>
      <c r="J546" s="10" t="s">
        <v>32</v>
      </c>
      <c r="K546" s="10" t="s">
        <v>18</v>
      </c>
      <c r="L546" s="10" t="s">
        <v>792</v>
      </c>
    </row>
    <row r="547" spans="1:12" x14ac:dyDescent="0.35">
      <c r="A547" s="9">
        <v>546</v>
      </c>
      <c r="B547" s="19">
        <v>45827.2106712963</v>
      </c>
      <c r="C547" s="20">
        <v>45827</v>
      </c>
      <c r="D547" s="8" t="s">
        <v>342</v>
      </c>
      <c r="E547" s="12">
        <v>500</v>
      </c>
      <c r="F547" s="3">
        <v>0</v>
      </c>
      <c r="G547" s="3">
        <v>0</v>
      </c>
      <c r="H547" s="8" t="s">
        <v>51</v>
      </c>
      <c r="I547" s="8" t="s">
        <v>52</v>
      </c>
      <c r="J547" s="8" t="s">
        <v>33</v>
      </c>
      <c r="K547" s="8" t="s">
        <v>18</v>
      </c>
      <c r="L547" s="8" t="s">
        <v>793</v>
      </c>
    </row>
    <row r="548" spans="1:12" x14ac:dyDescent="0.35">
      <c r="A548" s="11">
        <v>547</v>
      </c>
      <c r="B548" s="17">
        <v>45827.210682870369</v>
      </c>
      <c r="C548" s="18">
        <v>45827</v>
      </c>
      <c r="D548" s="10" t="s">
        <v>394</v>
      </c>
      <c r="E548" s="5">
        <v>0</v>
      </c>
      <c r="F548" s="15">
        <v>500</v>
      </c>
      <c r="G548" s="5">
        <v>500</v>
      </c>
      <c r="H548" s="10" t="s">
        <v>51</v>
      </c>
      <c r="I548" s="10" t="s">
        <v>71</v>
      </c>
      <c r="J548" s="10" t="s">
        <v>32</v>
      </c>
      <c r="K548" s="10" t="s">
        <v>18</v>
      </c>
      <c r="L548" s="10" t="s">
        <v>794</v>
      </c>
    </row>
    <row r="549" spans="1:12" x14ac:dyDescent="0.35">
      <c r="A549" s="9">
        <v>548</v>
      </c>
      <c r="B549" s="19">
        <v>45827.658194444448</v>
      </c>
      <c r="C549" s="20">
        <v>45827</v>
      </c>
      <c r="D549" s="8" t="s">
        <v>795</v>
      </c>
      <c r="E549" s="12">
        <v>5000</v>
      </c>
      <c r="F549" s="3">
        <v>0</v>
      </c>
      <c r="G549" s="3">
        <v>0</v>
      </c>
      <c r="H549" s="8" t="s">
        <v>51</v>
      </c>
      <c r="I549" s="8" t="s">
        <v>52</v>
      </c>
      <c r="J549" s="8" t="s">
        <v>30</v>
      </c>
      <c r="K549" s="8" t="s">
        <v>18</v>
      </c>
      <c r="L549" s="8" t="s">
        <v>796</v>
      </c>
    </row>
    <row r="550" spans="1:12" x14ac:dyDescent="0.35">
      <c r="A550" s="11">
        <v>549</v>
      </c>
      <c r="B550" s="17">
        <v>45827.658252314817</v>
      </c>
      <c r="C550" s="18">
        <v>45827</v>
      </c>
      <c r="D550" s="10" t="s">
        <v>394</v>
      </c>
      <c r="E550" s="5">
        <v>0</v>
      </c>
      <c r="F550" s="15">
        <v>5000</v>
      </c>
      <c r="G550" s="5">
        <v>5000</v>
      </c>
      <c r="H550" s="10" t="s">
        <v>51</v>
      </c>
      <c r="I550" s="10" t="s">
        <v>71</v>
      </c>
      <c r="J550" s="10" t="s">
        <v>32</v>
      </c>
      <c r="K550" s="10" t="s">
        <v>18</v>
      </c>
      <c r="L550" s="10" t="s">
        <v>797</v>
      </c>
    </row>
    <row r="551" spans="1:12" x14ac:dyDescent="0.35">
      <c r="A551" s="9">
        <v>550</v>
      </c>
      <c r="B551" s="19">
        <v>45827.661712962959</v>
      </c>
      <c r="C551" s="20">
        <v>45827</v>
      </c>
      <c r="D551" s="8" t="s">
        <v>384</v>
      </c>
      <c r="E551" s="12">
        <v>1000</v>
      </c>
      <c r="F551" s="3">
        <v>0</v>
      </c>
      <c r="G551" s="3">
        <v>0</v>
      </c>
      <c r="H551" s="8" t="s">
        <v>51</v>
      </c>
      <c r="I551" s="8" t="s">
        <v>52</v>
      </c>
      <c r="J551" s="8" t="s">
        <v>30</v>
      </c>
      <c r="K551" s="8" t="s">
        <v>18</v>
      </c>
      <c r="L551" s="8" t="s">
        <v>798</v>
      </c>
    </row>
    <row r="552" spans="1:12" x14ac:dyDescent="0.35">
      <c r="A552" s="11">
        <v>551</v>
      </c>
      <c r="B552" s="17">
        <v>45827.661782407413</v>
      </c>
      <c r="C552" s="18">
        <v>45827</v>
      </c>
      <c r="D552" s="10" t="s">
        <v>394</v>
      </c>
      <c r="E552" s="5">
        <v>0</v>
      </c>
      <c r="F552" s="15">
        <v>1000</v>
      </c>
      <c r="G552" s="5">
        <v>1000</v>
      </c>
      <c r="H552" s="10" t="s">
        <v>51</v>
      </c>
      <c r="I552" s="10" t="s">
        <v>71</v>
      </c>
      <c r="J552" s="10" t="s">
        <v>32</v>
      </c>
      <c r="K552" s="10" t="s">
        <v>18</v>
      </c>
      <c r="L552" s="10" t="s">
        <v>799</v>
      </c>
    </row>
    <row r="553" spans="1:12" x14ac:dyDescent="0.35">
      <c r="A553" s="9">
        <v>552</v>
      </c>
      <c r="B553" s="19">
        <v>45827.662858796299</v>
      </c>
      <c r="C553" s="20">
        <v>45827</v>
      </c>
      <c r="D553" s="8" t="s">
        <v>795</v>
      </c>
      <c r="E553" s="12">
        <v>1000</v>
      </c>
      <c r="F553" s="3">
        <v>0</v>
      </c>
      <c r="G553" s="3">
        <v>0</v>
      </c>
      <c r="H553" s="8" t="s">
        <v>51</v>
      </c>
      <c r="I553" s="8" t="s">
        <v>52</v>
      </c>
      <c r="J553" s="8" t="s">
        <v>30</v>
      </c>
      <c r="K553" s="8" t="s">
        <v>18</v>
      </c>
      <c r="L553" s="8" t="s">
        <v>800</v>
      </c>
    </row>
    <row r="554" spans="1:12" x14ac:dyDescent="0.35">
      <c r="A554" s="11">
        <v>553</v>
      </c>
      <c r="B554" s="17">
        <v>45827.662939814807</v>
      </c>
      <c r="C554" s="18">
        <v>45827</v>
      </c>
      <c r="D554" s="10" t="s">
        <v>394</v>
      </c>
      <c r="E554" s="5">
        <v>0</v>
      </c>
      <c r="F554" s="15">
        <v>1000</v>
      </c>
      <c r="G554" s="5">
        <v>1000</v>
      </c>
      <c r="H554" s="10" t="s">
        <v>51</v>
      </c>
      <c r="I554" s="10" t="s">
        <v>71</v>
      </c>
      <c r="J554" s="10" t="s">
        <v>32</v>
      </c>
      <c r="K554" s="10" t="s">
        <v>18</v>
      </c>
      <c r="L554" s="10" t="s">
        <v>801</v>
      </c>
    </row>
    <row r="555" spans="1:12" x14ac:dyDescent="0.35">
      <c r="A555" s="9">
        <v>554</v>
      </c>
      <c r="B555" s="19">
        <v>45827.760891203703</v>
      </c>
      <c r="C555" s="20">
        <v>45827</v>
      </c>
      <c r="D555" s="8" t="s">
        <v>188</v>
      </c>
      <c r="E555" s="12">
        <v>1000</v>
      </c>
      <c r="F555" s="3">
        <v>0</v>
      </c>
      <c r="G555" s="3">
        <v>0</v>
      </c>
      <c r="H555" s="8" t="s">
        <v>51</v>
      </c>
      <c r="I555" s="8" t="s">
        <v>52</v>
      </c>
      <c r="J555" s="8" t="s">
        <v>37</v>
      </c>
      <c r="K555" s="8" t="s">
        <v>18</v>
      </c>
      <c r="L555" s="8" t="s">
        <v>802</v>
      </c>
    </row>
    <row r="556" spans="1:12" x14ac:dyDescent="0.35">
      <c r="A556" s="11">
        <v>555</v>
      </c>
      <c r="B556" s="17">
        <v>45827.760937500003</v>
      </c>
      <c r="C556" s="18">
        <v>45827</v>
      </c>
      <c r="D556" s="10" t="s">
        <v>394</v>
      </c>
      <c r="E556" s="5">
        <v>0</v>
      </c>
      <c r="F556" s="15">
        <v>1000</v>
      </c>
      <c r="G556" s="5">
        <v>1000</v>
      </c>
      <c r="H556" s="10" t="s">
        <v>51</v>
      </c>
      <c r="I556" s="10" t="s">
        <v>71</v>
      </c>
      <c r="J556" s="10" t="s">
        <v>32</v>
      </c>
      <c r="K556" s="10" t="s">
        <v>18</v>
      </c>
      <c r="L556" s="10" t="s">
        <v>803</v>
      </c>
    </row>
    <row r="557" spans="1:12" x14ac:dyDescent="0.35">
      <c r="A557" s="9">
        <v>556</v>
      </c>
      <c r="B557" s="19">
        <v>45828.210625</v>
      </c>
      <c r="C557" s="20">
        <v>45828</v>
      </c>
      <c r="D557" s="8" t="s">
        <v>394</v>
      </c>
      <c r="E557" s="3">
        <v>0</v>
      </c>
      <c r="F557" s="13">
        <v>500</v>
      </c>
      <c r="G557" s="3">
        <v>500</v>
      </c>
      <c r="H557" s="8" t="s">
        <v>51</v>
      </c>
      <c r="I557" s="8" t="s">
        <v>71</v>
      </c>
      <c r="J557" s="8" t="s">
        <v>32</v>
      </c>
      <c r="K557" s="8" t="s">
        <v>18</v>
      </c>
      <c r="L557" s="8" t="s">
        <v>804</v>
      </c>
    </row>
    <row r="558" spans="1:12" x14ac:dyDescent="0.35">
      <c r="A558" s="11">
        <v>557</v>
      </c>
      <c r="B558" s="17">
        <v>45828.210625</v>
      </c>
      <c r="C558" s="18">
        <v>45828</v>
      </c>
      <c r="D558" s="10" t="s">
        <v>342</v>
      </c>
      <c r="E558" s="14">
        <v>500</v>
      </c>
      <c r="F558" s="5">
        <v>0</v>
      </c>
      <c r="G558" s="5">
        <v>0</v>
      </c>
      <c r="H558" s="10" t="s">
        <v>51</v>
      </c>
      <c r="I558" s="10" t="s">
        <v>52</v>
      </c>
      <c r="J558" s="10" t="s">
        <v>33</v>
      </c>
      <c r="K558" s="10" t="s">
        <v>18</v>
      </c>
      <c r="L558" s="10" t="s">
        <v>805</v>
      </c>
    </row>
    <row r="559" spans="1:12" x14ac:dyDescent="0.35">
      <c r="A559" s="9">
        <v>558</v>
      </c>
      <c r="B559" s="19">
        <v>45828.758298611108</v>
      </c>
      <c r="C559" s="20">
        <v>45828</v>
      </c>
      <c r="D559" s="8" t="s">
        <v>806</v>
      </c>
      <c r="E559" s="12">
        <v>7000</v>
      </c>
      <c r="F559" s="3">
        <v>0</v>
      </c>
      <c r="G559" s="3">
        <v>0</v>
      </c>
      <c r="H559" s="8" t="s">
        <v>51</v>
      </c>
      <c r="I559" s="8" t="s">
        <v>52</v>
      </c>
      <c r="J559" s="8" t="s">
        <v>30</v>
      </c>
      <c r="K559" s="8" t="s">
        <v>18</v>
      </c>
      <c r="L559" s="8" t="s">
        <v>807</v>
      </c>
    </row>
    <row r="560" spans="1:12" x14ac:dyDescent="0.35">
      <c r="A560" s="11">
        <v>559</v>
      </c>
      <c r="B560" s="17">
        <v>45828.758344907408</v>
      </c>
      <c r="C560" s="18">
        <v>45828</v>
      </c>
      <c r="D560" s="10" t="s">
        <v>394</v>
      </c>
      <c r="E560" s="5">
        <v>0</v>
      </c>
      <c r="F560" s="15">
        <v>7000</v>
      </c>
      <c r="G560" s="5">
        <v>7000</v>
      </c>
      <c r="H560" s="10" t="s">
        <v>51</v>
      </c>
      <c r="I560" s="10" t="s">
        <v>71</v>
      </c>
      <c r="J560" s="10" t="s">
        <v>32</v>
      </c>
      <c r="K560" s="10" t="s">
        <v>18</v>
      </c>
      <c r="L560" s="10" t="s">
        <v>808</v>
      </c>
    </row>
    <row r="561" spans="1:12" x14ac:dyDescent="0.35">
      <c r="A561" s="9">
        <v>560</v>
      </c>
      <c r="B561" s="19">
        <v>45829.2106712963</v>
      </c>
      <c r="C561" s="20">
        <v>45829</v>
      </c>
      <c r="D561" s="8" t="s">
        <v>394</v>
      </c>
      <c r="E561" s="3">
        <v>0</v>
      </c>
      <c r="F561" s="13">
        <v>500</v>
      </c>
      <c r="G561" s="3">
        <v>500</v>
      </c>
      <c r="H561" s="8" t="s">
        <v>51</v>
      </c>
      <c r="I561" s="8" t="s">
        <v>71</v>
      </c>
      <c r="J561" s="8" t="s">
        <v>32</v>
      </c>
      <c r="K561" s="8" t="s">
        <v>18</v>
      </c>
      <c r="L561" s="8" t="s">
        <v>809</v>
      </c>
    </row>
    <row r="562" spans="1:12" x14ac:dyDescent="0.35">
      <c r="A562" s="11">
        <v>561</v>
      </c>
      <c r="B562" s="17">
        <v>45829.2106712963</v>
      </c>
      <c r="C562" s="18">
        <v>45829</v>
      </c>
      <c r="D562" s="10" t="s">
        <v>342</v>
      </c>
      <c r="E562" s="14">
        <v>500</v>
      </c>
      <c r="F562" s="5">
        <v>0</v>
      </c>
      <c r="G562" s="5">
        <v>0</v>
      </c>
      <c r="H562" s="10" t="s">
        <v>51</v>
      </c>
      <c r="I562" s="10" t="s">
        <v>52</v>
      </c>
      <c r="J562" s="10" t="s">
        <v>33</v>
      </c>
      <c r="K562" s="10" t="s">
        <v>18</v>
      </c>
      <c r="L562" s="10" t="s">
        <v>810</v>
      </c>
    </row>
    <row r="563" spans="1:12" x14ac:dyDescent="0.35">
      <c r="A563" s="9">
        <v>562</v>
      </c>
      <c r="B563" s="19">
        <v>45829.723761574067</v>
      </c>
      <c r="C563" s="20">
        <v>45829</v>
      </c>
      <c r="D563" s="8" t="s">
        <v>188</v>
      </c>
      <c r="E563" s="12">
        <v>500</v>
      </c>
      <c r="F563" s="3">
        <v>0</v>
      </c>
      <c r="G563" s="3">
        <v>0</v>
      </c>
      <c r="H563" s="8" t="s">
        <v>51</v>
      </c>
      <c r="I563" s="8" t="s">
        <v>52</v>
      </c>
      <c r="J563" s="8" t="s">
        <v>37</v>
      </c>
      <c r="K563" s="8" t="s">
        <v>18</v>
      </c>
      <c r="L563" s="8" t="s">
        <v>811</v>
      </c>
    </row>
    <row r="564" spans="1:12" x14ac:dyDescent="0.35">
      <c r="A564" s="11">
        <v>563</v>
      </c>
      <c r="B564" s="17">
        <v>45829.723807870367</v>
      </c>
      <c r="C564" s="18">
        <v>45829</v>
      </c>
      <c r="D564" s="10" t="s">
        <v>394</v>
      </c>
      <c r="E564" s="5">
        <v>0</v>
      </c>
      <c r="F564" s="15">
        <v>500</v>
      </c>
      <c r="G564" s="5">
        <v>500</v>
      </c>
      <c r="H564" s="10" t="s">
        <v>51</v>
      </c>
      <c r="I564" s="10" t="s">
        <v>71</v>
      </c>
      <c r="J564" s="10" t="s">
        <v>32</v>
      </c>
      <c r="K564" s="10" t="s">
        <v>18</v>
      </c>
      <c r="L564" s="10" t="s">
        <v>812</v>
      </c>
    </row>
    <row r="565" spans="1:12" x14ac:dyDescent="0.35">
      <c r="A565" s="9">
        <v>564</v>
      </c>
      <c r="B565" s="19">
        <v>45829.763854166667</v>
      </c>
      <c r="C565" s="20">
        <v>45829</v>
      </c>
      <c r="D565" s="8" t="s">
        <v>323</v>
      </c>
      <c r="E565" s="12">
        <v>2000</v>
      </c>
      <c r="F565" s="3">
        <v>0</v>
      </c>
      <c r="G565" s="3">
        <v>0</v>
      </c>
      <c r="H565" s="8" t="s">
        <v>51</v>
      </c>
      <c r="I565" s="8" t="s">
        <v>52</v>
      </c>
      <c r="J565" s="8" t="s">
        <v>30</v>
      </c>
      <c r="K565" s="8" t="s">
        <v>18</v>
      </c>
      <c r="L565" s="8" t="s">
        <v>813</v>
      </c>
    </row>
    <row r="566" spans="1:12" x14ac:dyDescent="0.35">
      <c r="A566" s="11">
        <v>565</v>
      </c>
      <c r="B566" s="17">
        <v>45829.763912037037</v>
      </c>
      <c r="C566" s="18">
        <v>45829</v>
      </c>
      <c r="D566" s="10" t="s">
        <v>394</v>
      </c>
      <c r="E566" s="5">
        <v>0</v>
      </c>
      <c r="F566" s="15">
        <v>2000</v>
      </c>
      <c r="G566" s="5">
        <v>2000</v>
      </c>
      <c r="H566" s="10" t="s">
        <v>51</v>
      </c>
      <c r="I566" s="10" t="s">
        <v>71</v>
      </c>
      <c r="J566" s="10" t="s">
        <v>32</v>
      </c>
      <c r="K566" s="10" t="s">
        <v>18</v>
      </c>
      <c r="L566" s="10" t="s">
        <v>814</v>
      </c>
    </row>
    <row r="567" spans="1:12" x14ac:dyDescent="0.35">
      <c r="A567" s="9">
        <v>566</v>
      </c>
      <c r="B567" s="19">
        <v>45830.210590277777</v>
      </c>
      <c r="C567" s="20">
        <v>45830</v>
      </c>
      <c r="D567" s="8" t="s">
        <v>342</v>
      </c>
      <c r="E567" s="12">
        <v>500</v>
      </c>
      <c r="F567" s="3">
        <v>0</v>
      </c>
      <c r="G567" s="3">
        <v>0</v>
      </c>
      <c r="H567" s="8" t="s">
        <v>51</v>
      </c>
      <c r="I567" s="8" t="s">
        <v>52</v>
      </c>
      <c r="J567" s="8" t="s">
        <v>33</v>
      </c>
      <c r="K567" s="8" t="s">
        <v>18</v>
      </c>
      <c r="L567" s="8" t="s">
        <v>815</v>
      </c>
    </row>
    <row r="568" spans="1:12" x14ac:dyDescent="0.35">
      <c r="A568" s="11">
        <v>567</v>
      </c>
      <c r="B568" s="17">
        <v>45830.210601851853</v>
      </c>
      <c r="C568" s="18">
        <v>45830</v>
      </c>
      <c r="D568" s="10" t="s">
        <v>394</v>
      </c>
      <c r="E568" s="5">
        <v>0</v>
      </c>
      <c r="F568" s="15">
        <v>500</v>
      </c>
      <c r="G568" s="5">
        <v>500</v>
      </c>
      <c r="H568" s="10" t="s">
        <v>51</v>
      </c>
      <c r="I568" s="10" t="s">
        <v>71</v>
      </c>
      <c r="J568" s="10" t="s">
        <v>32</v>
      </c>
      <c r="K568" s="10" t="s">
        <v>18</v>
      </c>
      <c r="L568" s="10" t="s">
        <v>816</v>
      </c>
    </row>
    <row r="569" spans="1:12" x14ac:dyDescent="0.35">
      <c r="A569" s="9">
        <v>568</v>
      </c>
      <c r="B569" s="19">
        <v>45830.612928240742</v>
      </c>
      <c r="C569" s="20">
        <v>45830</v>
      </c>
      <c r="D569" s="8" t="s">
        <v>817</v>
      </c>
      <c r="E569" s="12">
        <v>2000</v>
      </c>
      <c r="F569" s="3">
        <v>0</v>
      </c>
      <c r="G569" s="3">
        <v>0</v>
      </c>
      <c r="H569" s="8" t="s">
        <v>51</v>
      </c>
      <c r="I569" s="8" t="s">
        <v>52</v>
      </c>
      <c r="J569" s="8" t="s">
        <v>30</v>
      </c>
      <c r="K569" s="8" t="s">
        <v>18</v>
      </c>
      <c r="L569" s="8" t="s">
        <v>818</v>
      </c>
    </row>
    <row r="570" spans="1:12" x14ac:dyDescent="0.35">
      <c r="A570" s="11">
        <v>569</v>
      </c>
      <c r="B570" s="17">
        <v>45830.612986111111</v>
      </c>
      <c r="C570" s="18">
        <v>45830</v>
      </c>
      <c r="D570" s="10" t="s">
        <v>394</v>
      </c>
      <c r="E570" s="5">
        <v>0</v>
      </c>
      <c r="F570" s="15">
        <v>2000</v>
      </c>
      <c r="G570" s="5">
        <v>2000</v>
      </c>
      <c r="H570" s="10" t="s">
        <v>51</v>
      </c>
      <c r="I570" s="10" t="s">
        <v>71</v>
      </c>
      <c r="J570" s="10" t="s">
        <v>32</v>
      </c>
      <c r="K570" s="10" t="s">
        <v>18</v>
      </c>
      <c r="L570" s="10" t="s">
        <v>819</v>
      </c>
    </row>
    <row r="571" spans="1:12" x14ac:dyDescent="0.35">
      <c r="A571" s="9">
        <v>570</v>
      </c>
      <c r="B571" s="19">
        <v>45830.782129629632</v>
      </c>
      <c r="C571" s="20">
        <v>45830</v>
      </c>
      <c r="D571" s="8" t="s">
        <v>820</v>
      </c>
      <c r="E571" s="3">
        <v>0</v>
      </c>
      <c r="F571" s="13">
        <v>10000</v>
      </c>
      <c r="G571" s="3">
        <v>10000</v>
      </c>
      <c r="H571" s="8" t="s">
        <v>51</v>
      </c>
      <c r="I571" s="8" t="s">
        <v>71</v>
      </c>
      <c r="J571" s="8" t="s">
        <v>31</v>
      </c>
      <c r="K571" s="8" t="s">
        <v>18</v>
      </c>
      <c r="L571" s="8" t="s">
        <v>821</v>
      </c>
    </row>
    <row r="572" spans="1:12" x14ac:dyDescent="0.35">
      <c r="A572" s="11">
        <v>571</v>
      </c>
      <c r="B572" s="17">
        <v>45830.782152777778</v>
      </c>
      <c r="C572" s="18">
        <v>45830</v>
      </c>
      <c r="D572" s="10" t="s">
        <v>79</v>
      </c>
      <c r="E572" s="14">
        <v>50</v>
      </c>
      <c r="F572" s="5">
        <v>0</v>
      </c>
      <c r="G572" s="5">
        <v>9950</v>
      </c>
      <c r="H572" s="10" t="s">
        <v>51</v>
      </c>
      <c r="I572" s="10" t="s">
        <v>52</v>
      </c>
      <c r="J572" s="10" t="s">
        <v>36</v>
      </c>
      <c r="K572" s="10" t="s">
        <v>18</v>
      </c>
      <c r="L572" s="10" t="s">
        <v>822</v>
      </c>
    </row>
    <row r="573" spans="1:12" x14ac:dyDescent="0.35">
      <c r="A573" s="9">
        <v>572</v>
      </c>
      <c r="B573" s="19">
        <v>45830.791898148149</v>
      </c>
      <c r="C573" s="20">
        <v>45830</v>
      </c>
      <c r="D573" s="8" t="s">
        <v>823</v>
      </c>
      <c r="E573" s="12">
        <v>7000</v>
      </c>
      <c r="F573" s="3">
        <v>0</v>
      </c>
      <c r="G573" s="3">
        <v>2950</v>
      </c>
      <c r="H573" s="8" t="s">
        <v>51</v>
      </c>
      <c r="I573" s="8" t="s">
        <v>52</v>
      </c>
      <c r="J573" s="8" t="s">
        <v>30</v>
      </c>
      <c r="K573" s="8" t="s">
        <v>18</v>
      </c>
      <c r="L573" s="8" t="s">
        <v>824</v>
      </c>
    </row>
    <row r="574" spans="1:12" x14ac:dyDescent="0.35">
      <c r="A574" s="11">
        <v>573</v>
      </c>
      <c r="B574" s="17">
        <v>45830.930104166669</v>
      </c>
      <c r="C574" s="18">
        <v>45830</v>
      </c>
      <c r="D574" s="10" t="s">
        <v>426</v>
      </c>
      <c r="E574" s="14">
        <v>2950</v>
      </c>
      <c r="F574" s="5">
        <v>0</v>
      </c>
      <c r="G574" s="5">
        <v>0</v>
      </c>
      <c r="H574" s="10" t="s">
        <v>51</v>
      </c>
      <c r="I574" s="10" t="s">
        <v>52</v>
      </c>
      <c r="J574" s="10" t="s">
        <v>32</v>
      </c>
      <c r="K574" s="10" t="s">
        <v>18</v>
      </c>
      <c r="L574" s="10" t="s">
        <v>825</v>
      </c>
    </row>
    <row r="575" spans="1:12" x14ac:dyDescent="0.35">
      <c r="A575" s="9">
        <v>574</v>
      </c>
      <c r="B575" s="19">
        <v>45831.414675925917</v>
      </c>
      <c r="C575" s="20">
        <v>45831</v>
      </c>
      <c r="D575" s="8" t="s">
        <v>276</v>
      </c>
      <c r="E575" s="12">
        <v>900</v>
      </c>
      <c r="F575" s="3">
        <v>0</v>
      </c>
      <c r="G575" s="3">
        <v>0</v>
      </c>
      <c r="H575" s="8" t="s">
        <v>51</v>
      </c>
      <c r="I575" s="8" t="s">
        <v>52</v>
      </c>
      <c r="J575" s="8" t="s">
        <v>36</v>
      </c>
      <c r="K575" s="8" t="s">
        <v>18</v>
      </c>
      <c r="L575" s="8" t="s">
        <v>826</v>
      </c>
    </row>
    <row r="576" spans="1:12" x14ac:dyDescent="0.35">
      <c r="A576" s="11">
        <v>575</v>
      </c>
      <c r="B576" s="17">
        <v>45831.414710648147</v>
      </c>
      <c r="C576" s="18">
        <v>45831</v>
      </c>
      <c r="D576" s="10" t="s">
        <v>394</v>
      </c>
      <c r="E576" s="5">
        <v>0</v>
      </c>
      <c r="F576" s="15">
        <v>900</v>
      </c>
      <c r="G576" s="5">
        <v>900</v>
      </c>
      <c r="H576" s="10" t="s">
        <v>51</v>
      </c>
      <c r="I576" s="10" t="s">
        <v>71</v>
      </c>
      <c r="J576" s="10" t="s">
        <v>32</v>
      </c>
      <c r="K576" s="10" t="s">
        <v>18</v>
      </c>
      <c r="L576" s="10" t="s">
        <v>827</v>
      </c>
    </row>
    <row r="577" spans="1:12" x14ac:dyDescent="0.35">
      <c r="A577" s="9">
        <v>576</v>
      </c>
      <c r="B577" s="19">
        <v>45831.443495370368</v>
      </c>
      <c r="C577" s="20">
        <v>45831</v>
      </c>
      <c r="D577" s="8" t="s">
        <v>394</v>
      </c>
      <c r="E577" s="3">
        <v>0</v>
      </c>
      <c r="F577" s="13">
        <v>10</v>
      </c>
      <c r="G577" s="3">
        <v>10</v>
      </c>
      <c r="H577" s="8" t="s">
        <v>51</v>
      </c>
      <c r="I577" s="8" t="s">
        <v>71</v>
      </c>
      <c r="J577" s="8" t="s">
        <v>32</v>
      </c>
      <c r="K577" s="8" t="s">
        <v>18</v>
      </c>
      <c r="L577" s="8" t="s">
        <v>828</v>
      </c>
    </row>
    <row r="578" spans="1:12" x14ac:dyDescent="0.35">
      <c r="A578" s="11">
        <v>577</v>
      </c>
      <c r="B578" s="17">
        <v>45831.443495370368</v>
      </c>
      <c r="C578" s="18">
        <v>45831</v>
      </c>
      <c r="D578" s="10" t="s">
        <v>98</v>
      </c>
      <c r="E578" s="14">
        <v>10</v>
      </c>
      <c r="F578" s="5">
        <v>0</v>
      </c>
      <c r="G578" s="5">
        <v>0</v>
      </c>
      <c r="H578" s="10" t="s">
        <v>99</v>
      </c>
      <c r="I578" s="10" t="s">
        <v>52</v>
      </c>
      <c r="J578" s="10" t="s">
        <v>36</v>
      </c>
      <c r="K578" s="10" t="s">
        <v>18</v>
      </c>
      <c r="L578" s="10" t="s">
        <v>829</v>
      </c>
    </row>
    <row r="579" spans="1:12" x14ac:dyDescent="0.35">
      <c r="A579" s="9">
        <v>578</v>
      </c>
      <c r="B579" s="19">
        <v>45831.449224537027</v>
      </c>
      <c r="C579" s="20">
        <v>45831</v>
      </c>
      <c r="D579" s="8" t="s">
        <v>830</v>
      </c>
      <c r="E579" s="12">
        <v>3500</v>
      </c>
      <c r="F579" s="3">
        <v>0</v>
      </c>
      <c r="G579" s="3">
        <v>0</v>
      </c>
      <c r="H579" s="8" t="s">
        <v>51</v>
      </c>
      <c r="I579" s="8" t="s">
        <v>52</v>
      </c>
      <c r="J579" s="8" t="s">
        <v>30</v>
      </c>
      <c r="K579" s="8" t="s">
        <v>18</v>
      </c>
      <c r="L579" s="8" t="s">
        <v>831</v>
      </c>
    </row>
    <row r="580" spans="1:12" x14ac:dyDescent="0.35">
      <c r="A580" s="11">
        <v>579</v>
      </c>
      <c r="B580" s="17">
        <v>45831.449548611112</v>
      </c>
      <c r="C580" s="18">
        <v>45831</v>
      </c>
      <c r="D580" s="10" t="s">
        <v>394</v>
      </c>
      <c r="E580" s="5">
        <v>0</v>
      </c>
      <c r="F580" s="15">
        <v>3500</v>
      </c>
      <c r="G580" s="5">
        <v>3500</v>
      </c>
      <c r="H580" s="10" t="s">
        <v>51</v>
      </c>
      <c r="I580" s="10" t="s">
        <v>71</v>
      </c>
      <c r="J580" s="10" t="s">
        <v>32</v>
      </c>
      <c r="K580" s="10" t="s">
        <v>18</v>
      </c>
      <c r="L580" s="10" t="s">
        <v>832</v>
      </c>
    </row>
    <row r="581" spans="1:12" x14ac:dyDescent="0.35">
      <c r="A581" s="9">
        <v>580</v>
      </c>
      <c r="B581" s="19">
        <v>45831.557870370372</v>
      </c>
      <c r="C581" s="20">
        <v>45831</v>
      </c>
      <c r="D581" s="8" t="s">
        <v>833</v>
      </c>
      <c r="E581" s="3">
        <v>0</v>
      </c>
      <c r="F581" s="13">
        <v>45000</v>
      </c>
      <c r="G581" s="3">
        <v>45000</v>
      </c>
      <c r="H581" s="8" t="s">
        <v>51</v>
      </c>
      <c r="I581" s="8" t="s">
        <v>71</v>
      </c>
      <c r="J581" s="8" t="s">
        <v>31</v>
      </c>
      <c r="K581" s="8" t="s">
        <v>18</v>
      </c>
      <c r="L581" s="8" t="s">
        <v>834</v>
      </c>
    </row>
    <row r="582" spans="1:12" x14ac:dyDescent="0.35">
      <c r="A582" s="11">
        <v>581</v>
      </c>
      <c r="B582" s="17">
        <v>45831.557928240742</v>
      </c>
      <c r="C582" s="18">
        <v>45831</v>
      </c>
      <c r="D582" s="10" t="s">
        <v>79</v>
      </c>
      <c r="E582" s="14">
        <v>50</v>
      </c>
      <c r="F582" s="5">
        <v>0</v>
      </c>
      <c r="G582" s="5">
        <v>44950</v>
      </c>
      <c r="H582" s="10" t="s">
        <v>51</v>
      </c>
      <c r="I582" s="10" t="s">
        <v>52</v>
      </c>
      <c r="J582" s="10" t="s">
        <v>36</v>
      </c>
      <c r="K582" s="10" t="s">
        <v>18</v>
      </c>
      <c r="L582" s="10" t="s">
        <v>835</v>
      </c>
    </row>
    <row r="583" spans="1:12" x14ac:dyDescent="0.35">
      <c r="A583" s="9">
        <v>582</v>
      </c>
      <c r="B583" s="19">
        <v>45831.618368055562</v>
      </c>
      <c r="C583" s="20">
        <v>45831</v>
      </c>
      <c r="D583" s="8" t="s">
        <v>836</v>
      </c>
      <c r="E583" s="12">
        <v>40000</v>
      </c>
      <c r="F583" s="3">
        <v>0</v>
      </c>
      <c r="G583" s="3">
        <v>4950</v>
      </c>
      <c r="H583" s="8" t="s">
        <v>51</v>
      </c>
      <c r="I583" s="8" t="s">
        <v>52</v>
      </c>
      <c r="J583" s="8" t="s">
        <v>30</v>
      </c>
      <c r="K583" s="8" t="s">
        <v>18</v>
      </c>
      <c r="L583" s="8" t="s">
        <v>837</v>
      </c>
    </row>
    <row r="584" spans="1:12" x14ac:dyDescent="0.35">
      <c r="A584" s="11">
        <v>583</v>
      </c>
      <c r="B584" s="17">
        <v>45831.619490740741</v>
      </c>
      <c r="C584" s="18">
        <v>45831</v>
      </c>
      <c r="D584" s="10" t="s">
        <v>836</v>
      </c>
      <c r="E584" s="14">
        <v>5000</v>
      </c>
      <c r="F584" s="5">
        <v>0</v>
      </c>
      <c r="G584" s="5">
        <v>0</v>
      </c>
      <c r="H584" s="10" t="s">
        <v>51</v>
      </c>
      <c r="I584" s="10" t="s">
        <v>52</v>
      </c>
      <c r="J584" s="10" t="s">
        <v>30</v>
      </c>
      <c r="K584" s="10" t="s">
        <v>18</v>
      </c>
      <c r="L584" s="10" t="s">
        <v>838</v>
      </c>
    </row>
    <row r="585" spans="1:12" x14ac:dyDescent="0.35">
      <c r="A585" s="9">
        <v>584</v>
      </c>
      <c r="B585" s="19">
        <v>45831.619537037041</v>
      </c>
      <c r="C585" s="20">
        <v>45831</v>
      </c>
      <c r="D585" s="8" t="s">
        <v>394</v>
      </c>
      <c r="E585" s="3">
        <v>0</v>
      </c>
      <c r="F585" s="13">
        <v>50</v>
      </c>
      <c r="G585" s="3">
        <v>5000</v>
      </c>
      <c r="H585" s="8" t="s">
        <v>51</v>
      </c>
      <c r="I585" s="8" t="s">
        <v>71</v>
      </c>
      <c r="J585" s="8" t="s">
        <v>32</v>
      </c>
      <c r="K585" s="8" t="s">
        <v>18</v>
      </c>
      <c r="L585" s="8" t="s">
        <v>839</v>
      </c>
    </row>
    <row r="586" spans="1:12" x14ac:dyDescent="0.35">
      <c r="A586" s="11">
        <v>585</v>
      </c>
      <c r="B586" s="17">
        <v>45831.809305555558</v>
      </c>
      <c r="C586" s="18">
        <v>45831</v>
      </c>
      <c r="D586" s="10" t="s">
        <v>551</v>
      </c>
      <c r="E586" s="5">
        <v>0</v>
      </c>
      <c r="F586" s="15">
        <v>20000</v>
      </c>
      <c r="G586" s="5">
        <v>20000</v>
      </c>
      <c r="H586" s="10" t="s">
        <v>51</v>
      </c>
      <c r="I586" s="10" t="s">
        <v>71</v>
      </c>
      <c r="J586" s="10" t="s">
        <v>31</v>
      </c>
      <c r="K586" s="10" t="s">
        <v>18</v>
      </c>
      <c r="L586" s="10" t="s">
        <v>840</v>
      </c>
    </row>
    <row r="587" spans="1:12" x14ac:dyDescent="0.35">
      <c r="A587" s="9">
        <v>586</v>
      </c>
      <c r="B587" s="19">
        <v>45831.809328703697</v>
      </c>
      <c r="C587" s="20">
        <v>45831</v>
      </c>
      <c r="D587" s="8" t="s">
        <v>79</v>
      </c>
      <c r="E587" s="12">
        <v>50</v>
      </c>
      <c r="F587" s="3">
        <v>0</v>
      </c>
      <c r="G587" s="3">
        <v>19950</v>
      </c>
      <c r="H587" s="8" t="s">
        <v>51</v>
      </c>
      <c r="I587" s="8" t="s">
        <v>52</v>
      </c>
      <c r="J587" s="8" t="s">
        <v>36</v>
      </c>
      <c r="K587" s="8" t="s">
        <v>18</v>
      </c>
      <c r="L587" s="8" t="s">
        <v>841</v>
      </c>
    </row>
    <row r="588" spans="1:12" x14ac:dyDescent="0.35">
      <c r="A588" s="11">
        <v>587</v>
      </c>
      <c r="B588" s="17">
        <v>45831.810335648152</v>
      </c>
      <c r="C588" s="18">
        <v>45831</v>
      </c>
      <c r="D588" s="10" t="s">
        <v>842</v>
      </c>
      <c r="E588" s="14">
        <v>10000</v>
      </c>
      <c r="F588" s="5">
        <v>0</v>
      </c>
      <c r="G588" s="5">
        <v>9950</v>
      </c>
      <c r="H588" s="10" t="s">
        <v>51</v>
      </c>
      <c r="I588" s="10" t="s">
        <v>52</v>
      </c>
      <c r="J588" s="10" t="s">
        <v>30</v>
      </c>
      <c r="K588" s="10" t="s">
        <v>18</v>
      </c>
      <c r="L588" s="10" t="s">
        <v>843</v>
      </c>
    </row>
    <row r="589" spans="1:12" x14ac:dyDescent="0.35">
      <c r="A589" s="9">
        <v>588</v>
      </c>
      <c r="B589" s="19">
        <v>45831.838923611111</v>
      </c>
      <c r="C589" s="20">
        <v>45831</v>
      </c>
      <c r="D589" s="8" t="s">
        <v>382</v>
      </c>
      <c r="E589" s="12">
        <v>10000</v>
      </c>
      <c r="F589" s="3">
        <v>0</v>
      </c>
      <c r="G589" s="3">
        <v>0</v>
      </c>
      <c r="H589" s="8" t="s">
        <v>51</v>
      </c>
      <c r="I589" s="8" t="s">
        <v>52</v>
      </c>
      <c r="J589" s="8" t="s">
        <v>30</v>
      </c>
      <c r="K589" s="8" t="s">
        <v>18</v>
      </c>
      <c r="L589" s="8" t="s">
        <v>844</v>
      </c>
    </row>
    <row r="590" spans="1:12" x14ac:dyDescent="0.35">
      <c r="A590" s="11">
        <v>589</v>
      </c>
      <c r="B590" s="17">
        <v>45831.83898148148</v>
      </c>
      <c r="C590" s="18">
        <v>45831</v>
      </c>
      <c r="D590" s="10" t="s">
        <v>394</v>
      </c>
      <c r="E590" s="5">
        <v>0</v>
      </c>
      <c r="F590" s="15">
        <v>50</v>
      </c>
      <c r="G590" s="5">
        <v>10000</v>
      </c>
      <c r="H590" s="10" t="s">
        <v>51</v>
      </c>
      <c r="I590" s="10" t="s">
        <v>71</v>
      </c>
      <c r="J590" s="10" t="s">
        <v>32</v>
      </c>
      <c r="K590" s="10" t="s">
        <v>18</v>
      </c>
      <c r="L590" s="10" t="s">
        <v>845</v>
      </c>
    </row>
    <row r="591" spans="1:12" x14ac:dyDescent="0.35">
      <c r="A591" s="9">
        <v>590</v>
      </c>
      <c r="B591" s="19">
        <v>45831.867384259262</v>
      </c>
      <c r="C591" s="20">
        <v>45831</v>
      </c>
      <c r="D591" s="8" t="s">
        <v>846</v>
      </c>
      <c r="E591" s="12">
        <v>7150</v>
      </c>
      <c r="F591" s="3">
        <v>0</v>
      </c>
      <c r="G591" s="3">
        <v>0</v>
      </c>
      <c r="H591" s="8" t="s">
        <v>51</v>
      </c>
      <c r="I591" s="8" t="s">
        <v>52</v>
      </c>
      <c r="J591" s="8" t="s">
        <v>30</v>
      </c>
      <c r="K591" s="8" t="s">
        <v>18</v>
      </c>
      <c r="L591" s="8" t="s">
        <v>847</v>
      </c>
    </row>
    <row r="592" spans="1:12" x14ac:dyDescent="0.35">
      <c r="A592" s="11">
        <v>591</v>
      </c>
      <c r="B592" s="17">
        <v>45831.867465277777</v>
      </c>
      <c r="C592" s="18">
        <v>45831</v>
      </c>
      <c r="D592" s="10" t="s">
        <v>394</v>
      </c>
      <c r="E592" s="5">
        <v>0</v>
      </c>
      <c r="F592" s="15">
        <v>7150</v>
      </c>
      <c r="G592" s="5">
        <v>7150</v>
      </c>
      <c r="H592" s="10" t="s">
        <v>51</v>
      </c>
      <c r="I592" s="10" t="s">
        <v>71</v>
      </c>
      <c r="J592" s="10" t="s">
        <v>32</v>
      </c>
      <c r="K592" s="10" t="s">
        <v>18</v>
      </c>
      <c r="L592" s="10" t="s">
        <v>848</v>
      </c>
    </row>
    <row r="593" spans="1:12" x14ac:dyDescent="0.35">
      <c r="A593" s="9">
        <v>592</v>
      </c>
      <c r="B593" s="19">
        <v>45832.297662037039</v>
      </c>
      <c r="C593" s="20">
        <v>45832</v>
      </c>
      <c r="D593" s="8" t="s">
        <v>394</v>
      </c>
      <c r="E593" s="3">
        <v>0</v>
      </c>
      <c r="F593" s="13">
        <v>10</v>
      </c>
      <c r="G593" s="3">
        <v>10</v>
      </c>
      <c r="H593" s="8" t="s">
        <v>51</v>
      </c>
      <c r="I593" s="8" t="s">
        <v>71</v>
      </c>
      <c r="J593" s="8" t="s">
        <v>32</v>
      </c>
      <c r="K593" s="8" t="s">
        <v>18</v>
      </c>
      <c r="L593" s="8" t="s">
        <v>849</v>
      </c>
    </row>
    <row r="594" spans="1:12" x14ac:dyDescent="0.35">
      <c r="A594" s="11">
        <v>593</v>
      </c>
      <c r="B594" s="17">
        <v>45832.297662037039</v>
      </c>
      <c r="C594" s="18">
        <v>45832</v>
      </c>
      <c r="D594" s="10" t="s">
        <v>98</v>
      </c>
      <c r="E594" s="14">
        <v>10</v>
      </c>
      <c r="F594" s="5">
        <v>0</v>
      </c>
      <c r="G594" s="5">
        <v>0</v>
      </c>
      <c r="H594" s="10" t="s">
        <v>99</v>
      </c>
      <c r="I594" s="10" t="s">
        <v>52</v>
      </c>
      <c r="J594" s="10" t="s">
        <v>36</v>
      </c>
      <c r="K594" s="10" t="s">
        <v>18</v>
      </c>
      <c r="L594" s="10" t="s">
        <v>850</v>
      </c>
    </row>
    <row r="595" spans="1:12" x14ac:dyDescent="0.35">
      <c r="A595" s="9">
        <v>594</v>
      </c>
      <c r="B595" s="19">
        <v>45832.297974537039</v>
      </c>
      <c r="C595" s="20">
        <v>45832</v>
      </c>
      <c r="D595" s="8" t="s">
        <v>188</v>
      </c>
      <c r="E595" s="12">
        <v>3000</v>
      </c>
      <c r="F595" s="3">
        <v>0</v>
      </c>
      <c r="G595" s="3">
        <v>0</v>
      </c>
      <c r="H595" s="8" t="s">
        <v>99</v>
      </c>
      <c r="I595" s="8" t="s">
        <v>52</v>
      </c>
      <c r="J595" s="8" t="s">
        <v>37</v>
      </c>
      <c r="K595" s="8" t="s">
        <v>18</v>
      </c>
      <c r="L595" s="8" t="s">
        <v>851</v>
      </c>
    </row>
    <row r="596" spans="1:12" x14ac:dyDescent="0.35">
      <c r="A596" s="11">
        <v>595</v>
      </c>
      <c r="B596" s="17">
        <v>45832.297986111109</v>
      </c>
      <c r="C596" s="18">
        <v>45832</v>
      </c>
      <c r="D596" s="10" t="s">
        <v>394</v>
      </c>
      <c r="E596" s="5">
        <v>0</v>
      </c>
      <c r="F596" s="15">
        <v>3000</v>
      </c>
      <c r="G596" s="5">
        <v>3000</v>
      </c>
      <c r="H596" s="10" t="s">
        <v>51</v>
      </c>
      <c r="I596" s="10" t="s">
        <v>71</v>
      </c>
      <c r="J596" s="10" t="s">
        <v>32</v>
      </c>
      <c r="K596" s="10" t="s">
        <v>18</v>
      </c>
      <c r="L596" s="10" t="s">
        <v>852</v>
      </c>
    </row>
    <row r="597" spans="1:12" x14ac:dyDescent="0.35">
      <c r="A597" s="9">
        <v>596</v>
      </c>
      <c r="B597" s="19">
        <v>45832.29996527778</v>
      </c>
      <c r="C597" s="20">
        <v>45832</v>
      </c>
      <c r="D597" s="8" t="s">
        <v>276</v>
      </c>
      <c r="E597" s="12">
        <v>900</v>
      </c>
      <c r="F597" s="3">
        <v>0</v>
      </c>
      <c r="G597" s="3">
        <v>0</v>
      </c>
      <c r="H597" s="8" t="s">
        <v>51</v>
      </c>
      <c r="I597" s="8" t="s">
        <v>52</v>
      </c>
      <c r="J597" s="8" t="s">
        <v>36</v>
      </c>
      <c r="K597" s="8" t="s">
        <v>18</v>
      </c>
      <c r="L597" s="8" t="s">
        <v>853</v>
      </c>
    </row>
    <row r="598" spans="1:12" x14ac:dyDescent="0.35">
      <c r="A598" s="11">
        <v>597</v>
      </c>
      <c r="B598" s="17">
        <v>45832.3</v>
      </c>
      <c r="C598" s="18">
        <v>45832</v>
      </c>
      <c r="D598" s="10" t="s">
        <v>394</v>
      </c>
      <c r="E598" s="5">
        <v>0</v>
      </c>
      <c r="F598" s="15">
        <v>900</v>
      </c>
      <c r="G598" s="5">
        <v>900</v>
      </c>
      <c r="H598" s="10" t="s">
        <v>51</v>
      </c>
      <c r="I598" s="10" t="s">
        <v>71</v>
      </c>
      <c r="J598" s="10" t="s">
        <v>32</v>
      </c>
      <c r="K598" s="10" t="s">
        <v>18</v>
      </c>
      <c r="L598" s="10" t="s">
        <v>854</v>
      </c>
    </row>
    <row r="599" spans="1:12" x14ac:dyDescent="0.35">
      <c r="A599" s="9">
        <v>598</v>
      </c>
      <c r="B599" s="19">
        <v>45832.3440625</v>
      </c>
      <c r="C599" s="20">
        <v>45832</v>
      </c>
      <c r="D599" s="8" t="s">
        <v>855</v>
      </c>
      <c r="E599" s="12">
        <v>800</v>
      </c>
      <c r="F599" s="3">
        <v>0</v>
      </c>
      <c r="G599" s="3">
        <v>0</v>
      </c>
      <c r="H599" s="8" t="s">
        <v>51</v>
      </c>
      <c r="I599" s="8" t="s">
        <v>52</v>
      </c>
      <c r="J599" s="8" t="s">
        <v>30</v>
      </c>
      <c r="K599" s="8" t="s">
        <v>18</v>
      </c>
      <c r="L599" s="8" t="s">
        <v>856</v>
      </c>
    </row>
    <row r="600" spans="1:12" x14ac:dyDescent="0.35">
      <c r="A600" s="11">
        <v>599</v>
      </c>
      <c r="B600" s="17">
        <v>45832.344108796293</v>
      </c>
      <c r="C600" s="18">
        <v>45832</v>
      </c>
      <c r="D600" s="10" t="s">
        <v>394</v>
      </c>
      <c r="E600" s="5">
        <v>0</v>
      </c>
      <c r="F600" s="15">
        <v>800</v>
      </c>
      <c r="G600" s="5">
        <v>800</v>
      </c>
      <c r="H600" s="10" t="s">
        <v>51</v>
      </c>
      <c r="I600" s="10" t="s">
        <v>71</v>
      </c>
      <c r="J600" s="10" t="s">
        <v>32</v>
      </c>
      <c r="K600" s="10" t="s">
        <v>18</v>
      </c>
      <c r="L600" s="10" t="s">
        <v>857</v>
      </c>
    </row>
    <row r="601" spans="1:12" x14ac:dyDescent="0.35">
      <c r="A601" s="9">
        <v>600</v>
      </c>
      <c r="B601" s="19">
        <v>45832.398032407407</v>
      </c>
      <c r="C601" s="20">
        <v>45832</v>
      </c>
      <c r="D601" s="8" t="s">
        <v>858</v>
      </c>
      <c r="E601" s="12">
        <v>22000</v>
      </c>
      <c r="F601" s="3">
        <v>0</v>
      </c>
      <c r="G601" s="3">
        <v>0</v>
      </c>
      <c r="H601" s="8" t="s">
        <v>51</v>
      </c>
      <c r="I601" s="8" t="s">
        <v>52</v>
      </c>
      <c r="J601" s="8" t="s">
        <v>30</v>
      </c>
      <c r="K601" s="8" t="s">
        <v>18</v>
      </c>
      <c r="L601" s="8" t="s">
        <v>859</v>
      </c>
    </row>
    <row r="602" spans="1:12" x14ac:dyDescent="0.35">
      <c r="A602" s="11">
        <v>601</v>
      </c>
      <c r="B602" s="17">
        <v>45832.398078703707</v>
      </c>
      <c r="C602" s="18">
        <v>45832</v>
      </c>
      <c r="D602" s="10" t="s">
        <v>394</v>
      </c>
      <c r="E602" s="5">
        <v>0</v>
      </c>
      <c r="F602" s="15">
        <v>22000</v>
      </c>
      <c r="G602" s="5">
        <v>22000</v>
      </c>
      <c r="H602" s="10" t="s">
        <v>51</v>
      </c>
      <c r="I602" s="10" t="s">
        <v>71</v>
      </c>
      <c r="J602" s="10" t="s">
        <v>32</v>
      </c>
      <c r="K602" s="10" t="s">
        <v>18</v>
      </c>
      <c r="L602" s="10" t="s">
        <v>860</v>
      </c>
    </row>
    <row r="603" spans="1:12" x14ac:dyDescent="0.35">
      <c r="A603" s="9">
        <v>602</v>
      </c>
      <c r="B603" s="19">
        <v>45832.409780092603</v>
      </c>
      <c r="C603" s="20">
        <v>45832</v>
      </c>
      <c r="D603" s="8" t="s">
        <v>858</v>
      </c>
      <c r="E603" s="12">
        <v>1300</v>
      </c>
      <c r="F603" s="3">
        <v>0</v>
      </c>
      <c r="G603" s="3">
        <v>0</v>
      </c>
      <c r="H603" s="8" t="s">
        <v>51</v>
      </c>
      <c r="I603" s="8" t="s">
        <v>52</v>
      </c>
      <c r="J603" s="8" t="s">
        <v>30</v>
      </c>
      <c r="K603" s="8" t="s">
        <v>18</v>
      </c>
      <c r="L603" s="8" t="s">
        <v>861</v>
      </c>
    </row>
    <row r="604" spans="1:12" x14ac:dyDescent="0.35">
      <c r="A604" s="11">
        <v>603</v>
      </c>
      <c r="B604" s="17">
        <v>45832.409837962958</v>
      </c>
      <c r="C604" s="18">
        <v>45832</v>
      </c>
      <c r="D604" s="10" t="s">
        <v>394</v>
      </c>
      <c r="E604" s="5">
        <v>0</v>
      </c>
      <c r="F604" s="15">
        <v>1300</v>
      </c>
      <c r="G604" s="5">
        <v>1300</v>
      </c>
      <c r="H604" s="10" t="s">
        <v>51</v>
      </c>
      <c r="I604" s="10" t="s">
        <v>71</v>
      </c>
      <c r="J604" s="10" t="s">
        <v>32</v>
      </c>
      <c r="K604" s="10" t="s">
        <v>18</v>
      </c>
      <c r="L604" s="10" t="s">
        <v>862</v>
      </c>
    </row>
    <row r="605" spans="1:12" x14ac:dyDescent="0.35">
      <c r="A605" s="9">
        <v>604</v>
      </c>
      <c r="B605" s="19">
        <v>45832.438796296286</v>
      </c>
      <c r="C605" s="20">
        <v>45832</v>
      </c>
      <c r="D605" s="8" t="s">
        <v>863</v>
      </c>
      <c r="E605" s="12">
        <v>500</v>
      </c>
      <c r="F605" s="3">
        <v>0</v>
      </c>
      <c r="G605" s="3">
        <v>0</v>
      </c>
      <c r="H605" s="8" t="s">
        <v>51</v>
      </c>
      <c r="I605" s="8" t="s">
        <v>52</v>
      </c>
      <c r="J605" s="8" t="s">
        <v>30</v>
      </c>
      <c r="K605" s="8" t="s">
        <v>18</v>
      </c>
      <c r="L605" s="8" t="s">
        <v>864</v>
      </c>
    </row>
    <row r="606" spans="1:12" x14ac:dyDescent="0.35">
      <c r="A606" s="11">
        <v>605</v>
      </c>
      <c r="B606" s="17">
        <v>45832.438831018517</v>
      </c>
      <c r="C606" s="18">
        <v>45832</v>
      </c>
      <c r="D606" s="10" t="s">
        <v>394</v>
      </c>
      <c r="E606" s="5">
        <v>0</v>
      </c>
      <c r="F606" s="15">
        <v>500</v>
      </c>
      <c r="G606" s="5">
        <v>500</v>
      </c>
      <c r="H606" s="10" t="s">
        <v>51</v>
      </c>
      <c r="I606" s="10" t="s">
        <v>71</v>
      </c>
      <c r="J606" s="10" t="s">
        <v>32</v>
      </c>
      <c r="K606" s="10" t="s">
        <v>18</v>
      </c>
      <c r="L606" s="10" t="s">
        <v>865</v>
      </c>
    </row>
    <row r="607" spans="1:12" x14ac:dyDescent="0.35">
      <c r="A607" s="9">
        <v>606</v>
      </c>
      <c r="B607" s="19">
        <v>45832.752534722233</v>
      </c>
      <c r="C607" s="20">
        <v>45832</v>
      </c>
      <c r="D607" s="8" t="s">
        <v>551</v>
      </c>
      <c r="E607" s="3">
        <v>0</v>
      </c>
      <c r="F607" s="13">
        <v>10000</v>
      </c>
      <c r="G607" s="3">
        <v>10000</v>
      </c>
      <c r="H607" s="8" t="s">
        <v>51</v>
      </c>
      <c r="I607" s="8" t="s">
        <v>71</v>
      </c>
      <c r="J607" s="8" t="s">
        <v>31</v>
      </c>
      <c r="K607" s="8" t="s">
        <v>18</v>
      </c>
      <c r="L607" s="8" t="s">
        <v>866</v>
      </c>
    </row>
    <row r="608" spans="1:12" x14ac:dyDescent="0.35">
      <c r="A608" s="11">
        <v>607</v>
      </c>
      <c r="B608" s="17">
        <v>45832.752557870372</v>
      </c>
      <c r="C608" s="18">
        <v>45832</v>
      </c>
      <c r="D608" s="10" t="s">
        <v>79</v>
      </c>
      <c r="E608" s="14">
        <v>50</v>
      </c>
      <c r="F608" s="5">
        <v>0</v>
      </c>
      <c r="G608" s="5">
        <v>9950</v>
      </c>
      <c r="H608" s="10" t="s">
        <v>51</v>
      </c>
      <c r="I608" s="10" t="s">
        <v>52</v>
      </c>
      <c r="J608" s="10" t="s">
        <v>36</v>
      </c>
      <c r="K608" s="10" t="s">
        <v>18</v>
      </c>
      <c r="L608" s="10" t="s">
        <v>867</v>
      </c>
    </row>
    <row r="609" spans="1:12" x14ac:dyDescent="0.35">
      <c r="A609" s="9">
        <v>608</v>
      </c>
      <c r="B609" s="19">
        <v>45832.757013888891</v>
      </c>
      <c r="C609" s="20">
        <v>45832</v>
      </c>
      <c r="D609" s="8" t="s">
        <v>276</v>
      </c>
      <c r="E609" s="12">
        <v>817</v>
      </c>
      <c r="F609" s="3">
        <v>0</v>
      </c>
      <c r="G609" s="3">
        <v>9133</v>
      </c>
      <c r="H609" s="8" t="s">
        <v>51</v>
      </c>
      <c r="I609" s="8" t="s">
        <v>52</v>
      </c>
      <c r="J609" s="8" t="s">
        <v>36</v>
      </c>
      <c r="K609" s="8" t="s">
        <v>18</v>
      </c>
      <c r="L609" s="8" t="s">
        <v>868</v>
      </c>
    </row>
    <row r="610" spans="1:12" x14ac:dyDescent="0.35">
      <c r="A610" s="11">
        <v>609</v>
      </c>
      <c r="B610" s="17">
        <v>45832.929456018523</v>
      </c>
      <c r="C610" s="18">
        <v>45832</v>
      </c>
      <c r="D610" s="10" t="s">
        <v>426</v>
      </c>
      <c r="E610" s="14">
        <v>9133</v>
      </c>
      <c r="F610" s="5">
        <v>0</v>
      </c>
      <c r="G610" s="5">
        <v>0</v>
      </c>
      <c r="H610" s="10" t="s">
        <v>51</v>
      </c>
      <c r="I610" s="10" t="s">
        <v>52</v>
      </c>
      <c r="J610" s="10" t="s">
        <v>32</v>
      </c>
      <c r="K610" s="10" t="s">
        <v>18</v>
      </c>
      <c r="L610" s="10" t="s">
        <v>869</v>
      </c>
    </row>
    <row r="611" spans="1:12" x14ac:dyDescent="0.35">
      <c r="A611" s="9">
        <v>610</v>
      </c>
      <c r="B611" s="19">
        <v>45833.704386574071</v>
      </c>
      <c r="C611" s="20">
        <v>45833</v>
      </c>
      <c r="D611" s="8" t="s">
        <v>870</v>
      </c>
      <c r="E611" s="12">
        <v>4100</v>
      </c>
      <c r="F611" s="3">
        <v>0</v>
      </c>
      <c r="G611" s="3">
        <v>0</v>
      </c>
      <c r="H611" s="8" t="s">
        <v>51</v>
      </c>
      <c r="I611" s="8" t="s">
        <v>52</v>
      </c>
      <c r="J611" s="8" t="s">
        <v>30</v>
      </c>
      <c r="K611" s="8" t="s">
        <v>18</v>
      </c>
      <c r="L611" s="8" t="s">
        <v>871</v>
      </c>
    </row>
    <row r="612" spans="1:12" x14ac:dyDescent="0.35">
      <c r="A612" s="11">
        <v>611</v>
      </c>
      <c r="B612" s="17">
        <v>45833.704444444447</v>
      </c>
      <c r="C612" s="18">
        <v>45833</v>
      </c>
      <c r="D612" s="10" t="s">
        <v>394</v>
      </c>
      <c r="E612" s="5">
        <v>0</v>
      </c>
      <c r="F612" s="15">
        <v>4100</v>
      </c>
      <c r="G612" s="5">
        <v>4100</v>
      </c>
      <c r="H612" s="10" t="s">
        <v>51</v>
      </c>
      <c r="I612" s="10" t="s">
        <v>71</v>
      </c>
      <c r="J612" s="10" t="s">
        <v>32</v>
      </c>
      <c r="K612" s="10" t="s">
        <v>18</v>
      </c>
      <c r="L612" s="10" t="s">
        <v>872</v>
      </c>
    </row>
    <row r="613" spans="1:12" x14ac:dyDescent="0.35">
      <c r="A613" s="9">
        <v>612</v>
      </c>
      <c r="B613" s="19">
        <v>45833.956701388888</v>
      </c>
      <c r="C613" s="20">
        <v>45833</v>
      </c>
      <c r="D613" s="8" t="s">
        <v>873</v>
      </c>
      <c r="E613" s="3">
        <v>0</v>
      </c>
      <c r="F613" s="13">
        <v>28300</v>
      </c>
      <c r="G613" s="3">
        <v>28300</v>
      </c>
      <c r="H613" s="8" t="s">
        <v>51</v>
      </c>
      <c r="I613" s="8" t="s">
        <v>71</v>
      </c>
      <c r="J613" s="8" t="s">
        <v>31</v>
      </c>
      <c r="K613" s="8" t="s">
        <v>18</v>
      </c>
      <c r="L613" s="8" t="s">
        <v>874</v>
      </c>
    </row>
    <row r="614" spans="1:12" x14ac:dyDescent="0.35">
      <c r="A614" s="11">
        <v>613</v>
      </c>
      <c r="B614" s="17">
        <v>45833.956724537027</v>
      </c>
      <c r="C614" s="18">
        <v>45833</v>
      </c>
      <c r="D614" s="10" t="s">
        <v>79</v>
      </c>
      <c r="E614" s="14">
        <v>50</v>
      </c>
      <c r="F614" s="5">
        <v>0</v>
      </c>
      <c r="G614" s="5">
        <v>28250</v>
      </c>
      <c r="H614" s="10" t="s">
        <v>51</v>
      </c>
      <c r="I614" s="10" t="s">
        <v>52</v>
      </c>
      <c r="J614" s="10" t="s">
        <v>36</v>
      </c>
      <c r="K614" s="10" t="s">
        <v>18</v>
      </c>
      <c r="L614" s="10" t="s">
        <v>875</v>
      </c>
    </row>
    <row r="615" spans="1:12" x14ac:dyDescent="0.35">
      <c r="A615" s="9">
        <v>614</v>
      </c>
      <c r="B615" s="19">
        <v>45834.363796296297</v>
      </c>
      <c r="C615" s="20">
        <v>45834</v>
      </c>
      <c r="D615" s="8" t="s">
        <v>342</v>
      </c>
      <c r="E615" s="12">
        <v>242000</v>
      </c>
      <c r="F615" s="3">
        <v>0</v>
      </c>
      <c r="G615" s="3">
        <v>0</v>
      </c>
      <c r="H615" s="8" t="s">
        <v>51</v>
      </c>
      <c r="I615" s="8" t="s">
        <v>52</v>
      </c>
      <c r="J615" s="8" t="s">
        <v>33</v>
      </c>
      <c r="K615" s="8" t="s">
        <v>18</v>
      </c>
      <c r="L615" s="8" t="s">
        <v>876</v>
      </c>
    </row>
    <row r="616" spans="1:12" x14ac:dyDescent="0.35">
      <c r="A616" s="11">
        <v>615</v>
      </c>
      <c r="B616" s="17">
        <v>45834.363842592589</v>
      </c>
      <c r="C616" s="18">
        <v>45834</v>
      </c>
      <c r="D616" s="10" t="s">
        <v>394</v>
      </c>
      <c r="E616" s="5">
        <v>0</v>
      </c>
      <c r="F616" s="15">
        <v>213750</v>
      </c>
      <c r="G616" s="5">
        <v>242000</v>
      </c>
      <c r="H616" s="10" t="s">
        <v>51</v>
      </c>
      <c r="I616" s="10" t="s">
        <v>71</v>
      </c>
      <c r="J616" s="10" t="s">
        <v>32</v>
      </c>
      <c r="K616" s="10" t="s">
        <v>18</v>
      </c>
      <c r="L616" s="10" t="s">
        <v>877</v>
      </c>
    </row>
    <row r="617" spans="1:12" x14ac:dyDescent="0.35">
      <c r="A617" s="9">
        <v>616</v>
      </c>
      <c r="B617" s="19">
        <v>45834.364687499998</v>
      </c>
      <c r="C617" s="20">
        <v>45834</v>
      </c>
      <c r="D617" s="8" t="s">
        <v>551</v>
      </c>
      <c r="E617" s="3">
        <v>0</v>
      </c>
      <c r="F617" s="13">
        <v>20000</v>
      </c>
      <c r="G617" s="3">
        <v>20000</v>
      </c>
      <c r="H617" s="8" t="s">
        <v>51</v>
      </c>
      <c r="I617" s="8" t="s">
        <v>71</v>
      </c>
      <c r="J617" s="8" t="s">
        <v>31</v>
      </c>
      <c r="K617" s="8" t="s">
        <v>18</v>
      </c>
      <c r="L617" s="8" t="s">
        <v>878</v>
      </c>
    </row>
    <row r="618" spans="1:12" x14ac:dyDescent="0.35">
      <c r="A618" s="11">
        <v>617</v>
      </c>
      <c r="B618" s="17">
        <v>45834.364699074067</v>
      </c>
      <c r="C618" s="18">
        <v>45834</v>
      </c>
      <c r="D618" s="10" t="s">
        <v>79</v>
      </c>
      <c r="E618" s="14">
        <v>50</v>
      </c>
      <c r="F618" s="5">
        <v>0</v>
      </c>
      <c r="G618" s="5">
        <v>19950</v>
      </c>
      <c r="H618" s="10" t="s">
        <v>51</v>
      </c>
      <c r="I618" s="10" t="s">
        <v>52</v>
      </c>
      <c r="J618" s="10" t="s">
        <v>36</v>
      </c>
      <c r="K618" s="10" t="s">
        <v>18</v>
      </c>
      <c r="L618" s="10" t="s">
        <v>879</v>
      </c>
    </row>
    <row r="619" spans="1:12" x14ac:dyDescent="0.35">
      <c r="A619" s="9">
        <v>618</v>
      </c>
      <c r="B619" s="19">
        <v>45834.416446759264</v>
      </c>
      <c r="C619" s="20">
        <v>45834</v>
      </c>
      <c r="D619" s="8" t="s">
        <v>880</v>
      </c>
      <c r="E619" s="12">
        <v>3000</v>
      </c>
      <c r="F619" s="3">
        <v>0</v>
      </c>
      <c r="G619" s="3">
        <v>16950</v>
      </c>
      <c r="H619" s="8" t="s">
        <v>51</v>
      </c>
      <c r="I619" s="8" t="s">
        <v>52</v>
      </c>
      <c r="J619" s="8" t="s">
        <v>30</v>
      </c>
      <c r="K619" s="8" t="s">
        <v>18</v>
      </c>
      <c r="L619" s="8" t="s">
        <v>881</v>
      </c>
    </row>
    <row r="620" spans="1:12" x14ac:dyDescent="0.35">
      <c r="A620" s="11">
        <v>619</v>
      </c>
      <c r="B620" s="17">
        <v>45834.418564814812</v>
      </c>
      <c r="C620" s="18">
        <v>45834</v>
      </c>
      <c r="D620" s="10" t="s">
        <v>882</v>
      </c>
      <c r="E620" s="14">
        <v>500</v>
      </c>
      <c r="F620" s="5">
        <v>0</v>
      </c>
      <c r="G620" s="5">
        <v>16450</v>
      </c>
      <c r="H620" s="10" t="s">
        <v>51</v>
      </c>
      <c r="I620" s="10" t="s">
        <v>52</v>
      </c>
      <c r="J620" s="10" t="s">
        <v>30</v>
      </c>
      <c r="K620" s="10" t="s">
        <v>18</v>
      </c>
      <c r="L620" s="10" t="s">
        <v>883</v>
      </c>
    </row>
    <row r="621" spans="1:12" x14ac:dyDescent="0.35">
      <c r="A621" s="9">
        <v>620</v>
      </c>
      <c r="B621" s="19">
        <v>45834.761006944442</v>
      </c>
      <c r="C621" s="20">
        <v>45834</v>
      </c>
      <c r="D621" s="8" t="s">
        <v>884</v>
      </c>
      <c r="E621" s="12">
        <v>500</v>
      </c>
      <c r="F621" s="3">
        <v>0</v>
      </c>
      <c r="G621" s="3">
        <v>15950</v>
      </c>
      <c r="H621" s="8" t="s">
        <v>51</v>
      </c>
      <c r="I621" s="8" t="s">
        <v>52</v>
      </c>
      <c r="J621" s="8" t="s">
        <v>30</v>
      </c>
      <c r="K621" s="8" t="s">
        <v>18</v>
      </c>
      <c r="L621" s="8" t="s">
        <v>885</v>
      </c>
    </row>
    <row r="622" spans="1:12" x14ac:dyDescent="0.35">
      <c r="A622" s="11">
        <v>621</v>
      </c>
      <c r="B622" s="17">
        <v>45834.929884259262</v>
      </c>
      <c r="C622" s="18">
        <v>45834</v>
      </c>
      <c r="D622" s="10" t="s">
        <v>426</v>
      </c>
      <c r="E622" s="14">
        <v>15950</v>
      </c>
      <c r="F622" s="5">
        <v>0</v>
      </c>
      <c r="G622" s="5">
        <v>0</v>
      </c>
      <c r="H622" s="10" t="s">
        <v>51</v>
      </c>
      <c r="I622" s="10" t="s">
        <v>52</v>
      </c>
      <c r="J622" s="10" t="s">
        <v>32</v>
      </c>
      <c r="K622" s="10" t="s">
        <v>18</v>
      </c>
      <c r="L622" s="10" t="s">
        <v>886</v>
      </c>
    </row>
    <row r="623" spans="1:12" x14ac:dyDescent="0.35">
      <c r="A623" s="9">
        <v>622</v>
      </c>
      <c r="B623" s="19">
        <v>45836.559259259258</v>
      </c>
      <c r="C623" s="20">
        <v>45836</v>
      </c>
      <c r="D623" s="8" t="s">
        <v>887</v>
      </c>
      <c r="E623" s="12">
        <v>8870</v>
      </c>
      <c r="F623" s="3">
        <v>0</v>
      </c>
      <c r="G623" s="3">
        <v>0</v>
      </c>
      <c r="H623" s="8" t="s">
        <v>51</v>
      </c>
      <c r="I623" s="8" t="s">
        <v>52</v>
      </c>
      <c r="J623" s="8" t="s">
        <v>30</v>
      </c>
      <c r="K623" s="8" t="s">
        <v>18</v>
      </c>
      <c r="L623" s="8" t="s">
        <v>888</v>
      </c>
    </row>
    <row r="624" spans="1:12" x14ac:dyDescent="0.35">
      <c r="A624" s="11">
        <v>623</v>
      </c>
      <c r="B624" s="17">
        <v>45836.559374999997</v>
      </c>
      <c r="C624" s="18">
        <v>45836</v>
      </c>
      <c r="D624" s="10" t="s">
        <v>394</v>
      </c>
      <c r="E624" s="5">
        <v>0</v>
      </c>
      <c r="F624" s="15">
        <v>8870</v>
      </c>
      <c r="G624" s="5">
        <v>8870</v>
      </c>
      <c r="H624" s="10" t="s">
        <v>51</v>
      </c>
      <c r="I624" s="10" t="s">
        <v>71</v>
      </c>
      <c r="J624" s="10" t="s">
        <v>32</v>
      </c>
      <c r="K624" s="10" t="s">
        <v>18</v>
      </c>
      <c r="L624" s="10" t="s">
        <v>889</v>
      </c>
    </row>
    <row r="625" spans="1:12" x14ac:dyDescent="0.35">
      <c r="A625" s="9">
        <v>624</v>
      </c>
      <c r="B625" s="19">
        <v>45836.611458333333</v>
      </c>
      <c r="C625" s="20">
        <v>45836</v>
      </c>
      <c r="D625" s="8" t="s">
        <v>890</v>
      </c>
      <c r="E625" s="12">
        <v>3000</v>
      </c>
      <c r="F625" s="3">
        <v>0</v>
      </c>
      <c r="G625" s="3">
        <v>0</v>
      </c>
      <c r="H625" s="8" t="s">
        <v>51</v>
      </c>
      <c r="I625" s="8" t="s">
        <v>52</v>
      </c>
      <c r="J625" s="8" t="s">
        <v>30</v>
      </c>
      <c r="K625" s="8" t="s">
        <v>18</v>
      </c>
      <c r="L625" s="8" t="s">
        <v>891</v>
      </c>
    </row>
    <row r="626" spans="1:12" x14ac:dyDescent="0.35">
      <c r="A626" s="11">
        <v>625</v>
      </c>
      <c r="B626" s="17">
        <v>45836.611516203702</v>
      </c>
      <c r="C626" s="18">
        <v>45836</v>
      </c>
      <c r="D626" s="10" t="s">
        <v>394</v>
      </c>
      <c r="E626" s="5">
        <v>0</v>
      </c>
      <c r="F626" s="15">
        <v>3000</v>
      </c>
      <c r="G626" s="5">
        <v>3000</v>
      </c>
      <c r="H626" s="10" t="s">
        <v>51</v>
      </c>
      <c r="I626" s="10" t="s">
        <v>71</v>
      </c>
      <c r="J626" s="10" t="s">
        <v>32</v>
      </c>
      <c r="K626" s="10" t="s">
        <v>18</v>
      </c>
      <c r="L626" s="10" t="s">
        <v>892</v>
      </c>
    </row>
    <row r="627" spans="1:12" x14ac:dyDescent="0.35">
      <c r="A627" s="9">
        <v>626</v>
      </c>
      <c r="B627" s="19">
        <v>45837.26221064815</v>
      </c>
      <c r="C627" s="20">
        <v>45837</v>
      </c>
      <c r="D627" s="8" t="s">
        <v>339</v>
      </c>
      <c r="E627" s="12">
        <v>491</v>
      </c>
      <c r="F627" s="3">
        <v>0</v>
      </c>
      <c r="G627" s="3">
        <v>0</v>
      </c>
      <c r="H627" s="8" t="s">
        <v>51</v>
      </c>
      <c r="I627" s="8" t="s">
        <v>52</v>
      </c>
      <c r="J627" s="8" t="s">
        <v>36</v>
      </c>
      <c r="K627" s="8" t="s">
        <v>18</v>
      </c>
      <c r="L627" s="8" t="s">
        <v>893</v>
      </c>
    </row>
    <row r="628" spans="1:12" x14ac:dyDescent="0.35">
      <c r="A628" s="11">
        <v>627</v>
      </c>
      <c r="B628" s="17">
        <v>45837.26226851852</v>
      </c>
      <c r="C628" s="18">
        <v>45837</v>
      </c>
      <c r="D628" s="10" t="s">
        <v>394</v>
      </c>
      <c r="E628" s="5">
        <v>0</v>
      </c>
      <c r="F628" s="15">
        <v>491</v>
      </c>
      <c r="G628" s="5">
        <v>491</v>
      </c>
      <c r="H628" s="10" t="s">
        <v>51</v>
      </c>
      <c r="I628" s="10" t="s">
        <v>71</v>
      </c>
      <c r="J628" s="10" t="s">
        <v>32</v>
      </c>
      <c r="K628" s="10" t="s">
        <v>18</v>
      </c>
      <c r="L628" s="10" t="s">
        <v>894</v>
      </c>
    </row>
    <row r="629" spans="1:12" x14ac:dyDescent="0.35">
      <c r="A629" s="9">
        <v>628</v>
      </c>
      <c r="B629" s="19">
        <v>45838.468611111108</v>
      </c>
      <c r="C629" s="20">
        <v>45838</v>
      </c>
      <c r="D629" s="8" t="s">
        <v>895</v>
      </c>
      <c r="E629" s="12">
        <v>800</v>
      </c>
      <c r="F629" s="3">
        <v>0</v>
      </c>
      <c r="G629" s="3">
        <v>0</v>
      </c>
      <c r="H629" s="8" t="s">
        <v>51</v>
      </c>
      <c r="I629" s="8" t="s">
        <v>52</v>
      </c>
      <c r="J629" s="8" t="s">
        <v>30</v>
      </c>
      <c r="K629" s="8" t="s">
        <v>18</v>
      </c>
      <c r="L629" s="8" t="s">
        <v>896</v>
      </c>
    </row>
    <row r="630" spans="1:12" x14ac:dyDescent="0.35">
      <c r="A630" s="11">
        <v>629</v>
      </c>
      <c r="B630" s="17">
        <v>45838.468738425923</v>
      </c>
      <c r="C630" s="18">
        <v>45838</v>
      </c>
      <c r="D630" s="10" t="s">
        <v>394</v>
      </c>
      <c r="E630" s="5">
        <v>0</v>
      </c>
      <c r="F630" s="15">
        <v>800</v>
      </c>
      <c r="G630" s="5">
        <v>800</v>
      </c>
      <c r="H630" s="10" t="s">
        <v>51</v>
      </c>
      <c r="I630" s="10" t="s">
        <v>71</v>
      </c>
      <c r="J630" s="10" t="s">
        <v>32</v>
      </c>
      <c r="K630" s="10" t="s">
        <v>18</v>
      </c>
      <c r="L630" s="10" t="s">
        <v>897</v>
      </c>
    </row>
    <row r="631" spans="1:12" x14ac:dyDescent="0.35">
      <c r="A631" s="9">
        <v>630</v>
      </c>
      <c r="B631" s="19">
        <v>45838.470092592594</v>
      </c>
      <c r="C631" s="20">
        <v>45838</v>
      </c>
      <c r="D631" s="8" t="s">
        <v>895</v>
      </c>
      <c r="E631" s="12">
        <v>500</v>
      </c>
      <c r="F631" s="3">
        <v>0</v>
      </c>
      <c r="G631" s="3">
        <v>0</v>
      </c>
      <c r="H631" s="8" t="s">
        <v>51</v>
      </c>
      <c r="I631" s="8" t="s">
        <v>52</v>
      </c>
      <c r="J631" s="8" t="s">
        <v>30</v>
      </c>
      <c r="K631" s="8" t="s">
        <v>18</v>
      </c>
      <c r="L631" s="8" t="s">
        <v>898</v>
      </c>
    </row>
    <row r="632" spans="1:12" x14ac:dyDescent="0.35">
      <c r="A632" s="11">
        <v>631</v>
      </c>
      <c r="B632" s="17">
        <v>45838.470173611109</v>
      </c>
      <c r="C632" s="18">
        <v>45838</v>
      </c>
      <c r="D632" s="10" t="s">
        <v>394</v>
      </c>
      <c r="E632" s="5">
        <v>0</v>
      </c>
      <c r="F632" s="15">
        <v>500</v>
      </c>
      <c r="G632" s="5">
        <v>500</v>
      </c>
      <c r="H632" s="10" t="s">
        <v>51</v>
      </c>
      <c r="I632" s="10" t="s">
        <v>71</v>
      </c>
      <c r="J632" s="10" t="s">
        <v>32</v>
      </c>
      <c r="K632" s="10" t="s">
        <v>18</v>
      </c>
      <c r="L632" s="10" t="s">
        <v>899</v>
      </c>
    </row>
    <row r="633" spans="1:12" x14ac:dyDescent="0.35">
      <c r="A633" s="9">
        <v>632</v>
      </c>
      <c r="B633" s="19">
        <v>45838.474398148152</v>
      </c>
      <c r="C633" s="20">
        <v>45838</v>
      </c>
      <c r="D633" s="8" t="s">
        <v>895</v>
      </c>
      <c r="E633" s="12">
        <v>500</v>
      </c>
      <c r="F633" s="3">
        <v>0</v>
      </c>
      <c r="G633" s="3">
        <v>0</v>
      </c>
      <c r="H633" s="8" t="s">
        <v>51</v>
      </c>
      <c r="I633" s="8" t="s">
        <v>52</v>
      </c>
      <c r="J633" s="8" t="s">
        <v>30</v>
      </c>
      <c r="K633" s="8" t="s">
        <v>18</v>
      </c>
      <c r="L633" s="8" t="s">
        <v>900</v>
      </c>
    </row>
    <row r="634" spans="1:12" x14ac:dyDescent="0.35">
      <c r="A634" s="11">
        <v>633</v>
      </c>
      <c r="B634" s="17">
        <v>45838.474456018521</v>
      </c>
      <c r="C634" s="18">
        <v>45838</v>
      </c>
      <c r="D634" s="10" t="s">
        <v>394</v>
      </c>
      <c r="E634" s="5">
        <v>0</v>
      </c>
      <c r="F634" s="15">
        <v>500</v>
      </c>
      <c r="G634" s="5">
        <v>500</v>
      </c>
      <c r="H634" s="10" t="s">
        <v>51</v>
      </c>
      <c r="I634" s="10" t="s">
        <v>71</v>
      </c>
      <c r="J634" s="10" t="s">
        <v>32</v>
      </c>
      <c r="K634" s="10" t="s">
        <v>18</v>
      </c>
      <c r="L634" s="10" t="s">
        <v>901</v>
      </c>
    </row>
    <row r="635" spans="1:12" x14ac:dyDescent="0.35">
      <c r="A635" s="9">
        <v>634</v>
      </c>
      <c r="B635" s="19">
        <v>45838.676481481481</v>
      </c>
      <c r="C635" s="20">
        <v>45838</v>
      </c>
      <c r="D635" s="8" t="s">
        <v>902</v>
      </c>
      <c r="E635" s="12">
        <v>1480</v>
      </c>
      <c r="F635" s="3">
        <v>0</v>
      </c>
      <c r="G635" s="3">
        <v>0</v>
      </c>
      <c r="H635" s="8" t="s">
        <v>51</v>
      </c>
      <c r="I635" s="8" t="s">
        <v>52</v>
      </c>
      <c r="J635" s="8" t="s">
        <v>30</v>
      </c>
      <c r="K635" s="8" t="s">
        <v>18</v>
      </c>
      <c r="L635" s="8" t="s">
        <v>903</v>
      </c>
    </row>
    <row r="636" spans="1:12" x14ac:dyDescent="0.35">
      <c r="A636" s="11">
        <v>635</v>
      </c>
      <c r="B636" s="17">
        <v>45838.676516203697</v>
      </c>
      <c r="C636" s="18">
        <v>45838</v>
      </c>
      <c r="D636" s="10" t="s">
        <v>394</v>
      </c>
      <c r="E636" s="5">
        <v>0</v>
      </c>
      <c r="F636" s="15">
        <v>1480</v>
      </c>
      <c r="G636" s="5">
        <v>1480</v>
      </c>
      <c r="H636" s="10" t="s">
        <v>51</v>
      </c>
      <c r="I636" s="10" t="s">
        <v>71</v>
      </c>
      <c r="J636" s="10" t="s">
        <v>32</v>
      </c>
      <c r="K636" s="10" t="s">
        <v>18</v>
      </c>
      <c r="L636" s="10" t="s">
        <v>904</v>
      </c>
    </row>
    <row r="637" spans="1:12" x14ac:dyDescent="0.35">
      <c r="A637" s="9">
        <v>636</v>
      </c>
      <c r="B637" s="19">
        <v>45840.59716435185</v>
      </c>
      <c r="C637" s="20">
        <v>45840</v>
      </c>
      <c r="D637" s="8" t="s">
        <v>98</v>
      </c>
      <c r="E637" s="12">
        <v>10</v>
      </c>
      <c r="F637" s="3">
        <v>0</v>
      </c>
      <c r="G637" s="3">
        <v>0</v>
      </c>
      <c r="H637" s="8" t="s">
        <v>99</v>
      </c>
      <c r="I637" s="8" t="s">
        <v>52</v>
      </c>
      <c r="J637" s="8" t="s">
        <v>36</v>
      </c>
      <c r="K637" s="8" t="s">
        <v>19</v>
      </c>
      <c r="L637" s="8" t="s">
        <v>905</v>
      </c>
    </row>
    <row r="638" spans="1:12" x14ac:dyDescent="0.35">
      <c r="A638" s="11">
        <v>637</v>
      </c>
      <c r="B638" s="17">
        <v>45840.597175925926</v>
      </c>
      <c r="C638" s="18">
        <v>45840</v>
      </c>
      <c r="D638" s="10" t="s">
        <v>394</v>
      </c>
      <c r="E638" s="5">
        <v>0</v>
      </c>
      <c r="F638" s="15">
        <v>10</v>
      </c>
      <c r="G638" s="5">
        <v>10</v>
      </c>
      <c r="H638" s="10" t="s">
        <v>51</v>
      </c>
      <c r="I638" s="10" t="s">
        <v>71</v>
      </c>
      <c r="J638" s="10" t="s">
        <v>32</v>
      </c>
      <c r="K638" s="10" t="s">
        <v>19</v>
      </c>
      <c r="L638" s="10" t="s">
        <v>906</v>
      </c>
    </row>
    <row r="639" spans="1:12" x14ac:dyDescent="0.35">
      <c r="A639" s="9">
        <v>638</v>
      </c>
      <c r="B639" s="19">
        <v>45842.60361111111</v>
      </c>
      <c r="C639" s="20">
        <v>45842</v>
      </c>
      <c r="D639" s="8" t="s">
        <v>461</v>
      </c>
      <c r="E639" s="12">
        <v>500</v>
      </c>
      <c r="F639" s="3">
        <v>0</v>
      </c>
      <c r="G639" s="3">
        <v>0</v>
      </c>
      <c r="H639" s="8" t="s">
        <v>51</v>
      </c>
      <c r="I639" s="8" t="s">
        <v>52</v>
      </c>
      <c r="J639" s="8" t="s">
        <v>30</v>
      </c>
      <c r="K639" s="8" t="s">
        <v>19</v>
      </c>
      <c r="L639" s="8" t="s">
        <v>907</v>
      </c>
    </row>
    <row r="640" spans="1:12" x14ac:dyDescent="0.35">
      <c r="A640" s="11">
        <v>639</v>
      </c>
      <c r="B640" s="17">
        <v>45842.603680555563</v>
      </c>
      <c r="C640" s="18">
        <v>45842</v>
      </c>
      <c r="D640" s="10" t="s">
        <v>394</v>
      </c>
      <c r="E640" s="5">
        <v>0</v>
      </c>
      <c r="F640" s="15">
        <v>500</v>
      </c>
      <c r="G640" s="5">
        <v>500</v>
      </c>
      <c r="H640" s="10" t="s">
        <v>51</v>
      </c>
      <c r="I640" s="10" t="s">
        <v>71</v>
      </c>
      <c r="J640" s="10" t="s">
        <v>32</v>
      </c>
      <c r="K640" s="10" t="s">
        <v>19</v>
      </c>
      <c r="L640" s="10" t="s">
        <v>908</v>
      </c>
    </row>
    <row r="641" spans="1:12" x14ac:dyDescent="0.35">
      <c r="A641" s="9">
        <v>640</v>
      </c>
      <c r="B641" s="19">
        <v>45842.704456018517</v>
      </c>
      <c r="C641" s="20">
        <v>45842</v>
      </c>
      <c r="D641" s="8" t="s">
        <v>909</v>
      </c>
      <c r="E641" s="12">
        <v>1700</v>
      </c>
      <c r="F641" s="3">
        <v>0</v>
      </c>
      <c r="G641" s="3">
        <v>0</v>
      </c>
      <c r="H641" s="8" t="s">
        <v>51</v>
      </c>
      <c r="I641" s="8" t="s">
        <v>52</v>
      </c>
      <c r="J641" s="8" t="s">
        <v>30</v>
      </c>
      <c r="K641" s="8" t="s">
        <v>19</v>
      </c>
      <c r="L641" s="8" t="s">
        <v>910</v>
      </c>
    </row>
    <row r="642" spans="1:12" x14ac:dyDescent="0.35">
      <c r="A642" s="11">
        <v>641</v>
      </c>
      <c r="B642" s="17">
        <v>45842.704502314817</v>
      </c>
      <c r="C642" s="18">
        <v>45842</v>
      </c>
      <c r="D642" s="10" t="s">
        <v>394</v>
      </c>
      <c r="E642" s="5">
        <v>0</v>
      </c>
      <c r="F642" s="15">
        <v>1700</v>
      </c>
      <c r="G642" s="5">
        <v>1700</v>
      </c>
      <c r="H642" s="10" t="s">
        <v>51</v>
      </c>
      <c r="I642" s="10" t="s">
        <v>71</v>
      </c>
      <c r="J642" s="10" t="s">
        <v>32</v>
      </c>
      <c r="K642" s="10" t="s">
        <v>19</v>
      </c>
      <c r="L642" s="10" t="s">
        <v>911</v>
      </c>
    </row>
    <row r="643" spans="1:12" x14ac:dyDescent="0.35">
      <c r="A643" s="9">
        <v>642</v>
      </c>
      <c r="B643" s="19">
        <v>45847.404687499999</v>
      </c>
      <c r="C643" s="20">
        <v>45847</v>
      </c>
      <c r="D643" s="8" t="s">
        <v>551</v>
      </c>
      <c r="E643" s="3">
        <v>0</v>
      </c>
      <c r="F643" s="13">
        <v>10000</v>
      </c>
      <c r="G643" s="3">
        <v>10000</v>
      </c>
      <c r="H643" s="8" t="s">
        <v>51</v>
      </c>
      <c r="I643" s="8" t="s">
        <v>71</v>
      </c>
      <c r="J643" s="8" t="s">
        <v>31</v>
      </c>
      <c r="K643" s="8" t="s">
        <v>19</v>
      </c>
      <c r="L643" s="8" t="s">
        <v>912</v>
      </c>
    </row>
    <row r="644" spans="1:12" x14ac:dyDescent="0.35">
      <c r="A644" s="11">
        <v>643</v>
      </c>
      <c r="B644" s="17">
        <v>45847.404699074083</v>
      </c>
      <c r="C644" s="18">
        <v>45847</v>
      </c>
      <c r="D644" s="10" t="s">
        <v>79</v>
      </c>
      <c r="E644" s="14">
        <v>50</v>
      </c>
      <c r="F644" s="5">
        <v>0</v>
      </c>
      <c r="G644" s="5">
        <v>9950</v>
      </c>
      <c r="H644" s="10" t="s">
        <v>51</v>
      </c>
      <c r="I644" s="10" t="s">
        <v>52</v>
      </c>
      <c r="J644" s="10" t="s">
        <v>36</v>
      </c>
      <c r="K644" s="10" t="s">
        <v>19</v>
      </c>
      <c r="L644" s="10" t="s">
        <v>913</v>
      </c>
    </row>
    <row r="645" spans="1:12" x14ac:dyDescent="0.35">
      <c r="A645" s="9">
        <v>644</v>
      </c>
      <c r="B645" s="19">
        <v>45847.405787037038</v>
      </c>
      <c r="C645" s="20">
        <v>45847</v>
      </c>
      <c r="D645" s="8" t="s">
        <v>488</v>
      </c>
      <c r="E645" s="12">
        <v>10000</v>
      </c>
      <c r="F645" s="3">
        <v>0</v>
      </c>
      <c r="G645" s="3">
        <v>0</v>
      </c>
      <c r="H645" s="8" t="s">
        <v>51</v>
      </c>
      <c r="I645" s="8" t="s">
        <v>52</v>
      </c>
      <c r="J645" s="8" t="s">
        <v>30</v>
      </c>
      <c r="K645" s="8" t="s">
        <v>19</v>
      </c>
      <c r="L645" s="8" t="s">
        <v>914</v>
      </c>
    </row>
    <row r="646" spans="1:12" x14ac:dyDescent="0.35">
      <c r="A646" s="11">
        <v>645</v>
      </c>
      <c r="B646" s="17">
        <v>45847.405833333331</v>
      </c>
      <c r="C646" s="18">
        <v>45847</v>
      </c>
      <c r="D646" s="10" t="s">
        <v>394</v>
      </c>
      <c r="E646" s="5">
        <v>0</v>
      </c>
      <c r="F646" s="15">
        <v>50</v>
      </c>
      <c r="G646" s="5">
        <v>10000</v>
      </c>
      <c r="H646" s="10" t="s">
        <v>51</v>
      </c>
      <c r="I646" s="10" t="s">
        <v>71</v>
      </c>
      <c r="J646" s="10" t="s">
        <v>32</v>
      </c>
      <c r="K646" s="10" t="s">
        <v>19</v>
      </c>
      <c r="L646" s="10" t="s">
        <v>915</v>
      </c>
    </row>
    <row r="647" spans="1:12" x14ac:dyDescent="0.35">
      <c r="A647" s="9">
        <v>646</v>
      </c>
      <c r="B647" s="19">
        <v>45847.688680555562</v>
      </c>
      <c r="C647" s="20">
        <v>45847</v>
      </c>
      <c r="D647" s="8" t="s">
        <v>339</v>
      </c>
      <c r="E647" s="12">
        <v>495</v>
      </c>
      <c r="F647" s="3">
        <v>0</v>
      </c>
      <c r="G647" s="3">
        <v>0</v>
      </c>
      <c r="H647" s="8" t="s">
        <v>51</v>
      </c>
      <c r="I647" s="8" t="s">
        <v>52</v>
      </c>
      <c r="J647" s="8" t="s">
        <v>36</v>
      </c>
      <c r="K647" s="8" t="s">
        <v>19</v>
      </c>
      <c r="L647" s="8" t="s">
        <v>916</v>
      </c>
    </row>
    <row r="648" spans="1:12" x14ac:dyDescent="0.35">
      <c r="A648" s="11">
        <v>647</v>
      </c>
      <c r="B648" s="17">
        <v>45847.688784722217</v>
      </c>
      <c r="C648" s="18">
        <v>45847</v>
      </c>
      <c r="D648" s="10" t="s">
        <v>394</v>
      </c>
      <c r="E648" s="5">
        <v>0</v>
      </c>
      <c r="F648" s="15">
        <v>495</v>
      </c>
      <c r="G648" s="5">
        <v>495</v>
      </c>
      <c r="H648" s="10" t="s">
        <v>51</v>
      </c>
      <c r="I648" s="10" t="s">
        <v>71</v>
      </c>
      <c r="J648" s="10" t="s">
        <v>32</v>
      </c>
      <c r="K648" s="10" t="s">
        <v>19</v>
      </c>
      <c r="L648" s="10" t="s">
        <v>917</v>
      </c>
    </row>
    <row r="649" spans="1:12" x14ac:dyDescent="0.35">
      <c r="A649" s="9">
        <v>648</v>
      </c>
      <c r="B649" s="19">
        <v>45848.731076388889</v>
      </c>
      <c r="C649" s="20">
        <v>45848</v>
      </c>
      <c r="D649" s="8" t="s">
        <v>339</v>
      </c>
      <c r="E649" s="12">
        <v>500</v>
      </c>
      <c r="F649" s="3">
        <v>0</v>
      </c>
      <c r="G649" s="3">
        <v>0</v>
      </c>
      <c r="H649" s="8" t="s">
        <v>51</v>
      </c>
      <c r="I649" s="8" t="s">
        <v>52</v>
      </c>
      <c r="J649" s="8" t="s">
        <v>36</v>
      </c>
      <c r="K649" s="8" t="s">
        <v>19</v>
      </c>
      <c r="L649" s="8" t="s">
        <v>918</v>
      </c>
    </row>
    <row r="650" spans="1:12" x14ac:dyDescent="0.35">
      <c r="A650" s="11">
        <v>649</v>
      </c>
      <c r="B650" s="17">
        <v>45848.731145833342</v>
      </c>
      <c r="C650" s="18">
        <v>45848</v>
      </c>
      <c r="D650" s="10" t="s">
        <v>394</v>
      </c>
      <c r="E650" s="5">
        <v>0</v>
      </c>
      <c r="F650" s="15">
        <v>500</v>
      </c>
      <c r="G650" s="5">
        <v>500</v>
      </c>
      <c r="H650" s="10" t="s">
        <v>51</v>
      </c>
      <c r="I650" s="10" t="s">
        <v>71</v>
      </c>
      <c r="J650" s="10" t="s">
        <v>32</v>
      </c>
      <c r="K650" s="10" t="s">
        <v>19</v>
      </c>
      <c r="L650" s="10" t="s">
        <v>919</v>
      </c>
    </row>
    <row r="651" spans="1:12" x14ac:dyDescent="0.35">
      <c r="A651" s="9">
        <v>650</v>
      </c>
      <c r="B651" s="19">
        <v>45849.879421296297</v>
      </c>
      <c r="C651" s="20">
        <v>45849</v>
      </c>
      <c r="D651" s="8" t="s">
        <v>450</v>
      </c>
      <c r="E651" s="3">
        <v>0</v>
      </c>
      <c r="F651" s="13">
        <v>90000</v>
      </c>
      <c r="G651" s="3">
        <v>90000</v>
      </c>
      <c r="H651" s="8" t="s">
        <v>51</v>
      </c>
      <c r="I651" s="8" t="s">
        <v>71</v>
      </c>
      <c r="J651" s="8" t="s">
        <v>31</v>
      </c>
      <c r="K651" s="8" t="s">
        <v>19</v>
      </c>
      <c r="L651" s="8" t="s">
        <v>920</v>
      </c>
    </row>
    <row r="652" spans="1:12" x14ac:dyDescent="0.35">
      <c r="A652" s="11">
        <v>651</v>
      </c>
      <c r="B652" s="17">
        <v>45849.879444444443</v>
      </c>
      <c r="C652" s="18">
        <v>45849</v>
      </c>
      <c r="D652" s="10" t="s">
        <v>79</v>
      </c>
      <c r="E652" s="14">
        <v>50</v>
      </c>
      <c r="F652" s="5">
        <v>0</v>
      </c>
      <c r="G652" s="5">
        <v>89950</v>
      </c>
      <c r="H652" s="10" t="s">
        <v>51</v>
      </c>
      <c r="I652" s="10" t="s">
        <v>52</v>
      </c>
      <c r="J652" s="10" t="s">
        <v>36</v>
      </c>
      <c r="K652" s="10" t="s">
        <v>19</v>
      </c>
      <c r="L652" s="10" t="s">
        <v>921</v>
      </c>
    </row>
    <row r="653" spans="1:12" x14ac:dyDescent="0.35">
      <c r="A653" s="9">
        <v>652</v>
      </c>
      <c r="B653" s="19">
        <v>45849.881678240738</v>
      </c>
      <c r="C653" s="20">
        <v>45849</v>
      </c>
      <c r="D653" s="8" t="s">
        <v>342</v>
      </c>
      <c r="E653" s="12">
        <v>35000</v>
      </c>
      <c r="F653" s="3">
        <v>0</v>
      </c>
      <c r="G653" s="3">
        <v>54950</v>
      </c>
      <c r="H653" s="8" t="s">
        <v>51</v>
      </c>
      <c r="I653" s="8" t="s">
        <v>52</v>
      </c>
      <c r="J653" s="8" t="s">
        <v>33</v>
      </c>
      <c r="K653" s="8" t="s">
        <v>19</v>
      </c>
      <c r="L653" s="8" t="s">
        <v>922</v>
      </c>
    </row>
    <row r="654" spans="1:12" x14ac:dyDescent="0.35">
      <c r="A654" s="11">
        <v>653</v>
      </c>
      <c r="B654" s="17">
        <v>45849.931261574071</v>
      </c>
      <c r="C654" s="18">
        <v>45849</v>
      </c>
      <c r="D654" s="10" t="s">
        <v>426</v>
      </c>
      <c r="E654" s="14">
        <v>54950</v>
      </c>
      <c r="F654" s="5">
        <v>0</v>
      </c>
      <c r="G654" s="5">
        <v>0</v>
      </c>
      <c r="H654" s="10" t="s">
        <v>51</v>
      </c>
      <c r="I654" s="10" t="s">
        <v>52</v>
      </c>
      <c r="J654" s="10" t="s">
        <v>32</v>
      </c>
      <c r="K654" s="10" t="s">
        <v>19</v>
      </c>
      <c r="L654" s="10" t="s">
        <v>923</v>
      </c>
    </row>
    <row r="655" spans="1:12" x14ac:dyDescent="0.35">
      <c r="A655" s="9">
        <v>654</v>
      </c>
      <c r="B655" s="19">
        <v>45850.212754629632</v>
      </c>
      <c r="C655" s="20">
        <v>45850</v>
      </c>
      <c r="D655" s="8" t="s">
        <v>394</v>
      </c>
      <c r="E655" s="3">
        <v>0</v>
      </c>
      <c r="F655" s="13">
        <v>500</v>
      </c>
      <c r="G655" s="3">
        <v>500</v>
      </c>
      <c r="H655" s="8" t="s">
        <v>51</v>
      </c>
      <c r="I655" s="8" t="s">
        <v>71</v>
      </c>
      <c r="J655" s="8" t="s">
        <v>32</v>
      </c>
      <c r="K655" s="8" t="s">
        <v>19</v>
      </c>
      <c r="L655" s="8" t="s">
        <v>924</v>
      </c>
    </row>
    <row r="656" spans="1:12" x14ac:dyDescent="0.35">
      <c r="A656" s="11">
        <v>655</v>
      </c>
      <c r="B656" s="17">
        <v>45850.212754629632</v>
      </c>
      <c r="C656" s="18">
        <v>45850</v>
      </c>
      <c r="D656" s="10" t="s">
        <v>342</v>
      </c>
      <c r="E656" s="14">
        <v>500</v>
      </c>
      <c r="F656" s="5">
        <v>0</v>
      </c>
      <c r="G656" s="5">
        <v>0</v>
      </c>
      <c r="H656" s="10" t="s">
        <v>51</v>
      </c>
      <c r="I656" s="10" t="s">
        <v>52</v>
      </c>
      <c r="J656" s="10" t="s">
        <v>33</v>
      </c>
      <c r="K656" s="10" t="s">
        <v>19</v>
      </c>
      <c r="L656" s="10" t="s">
        <v>925</v>
      </c>
    </row>
    <row r="657" spans="1:12" x14ac:dyDescent="0.35">
      <c r="A657" s="9">
        <v>656</v>
      </c>
      <c r="B657" s="19">
        <v>45851.212685185194</v>
      </c>
      <c r="C657" s="20">
        <v>45851</v>
      </c>
      <c r="D657" s="8" t="s">
        <v>394</v>
      </c>
      <c r="E657" s="3">
        <v>0</v>
      </c>
      <c r="F657" s="13">
        <v>500</v>
      </c>
      <c r="G657" s="3">
        <v>500</v>
      </c>
      <c r="H657" s="8" t="s">
        <v>51</v>
      </c>
      <c r="I657" s="8" t="s">
        <v>71</v>
      </c>
      <c r="J657" s="8" t="s">
        <v>32</v>
      </c>
      <c r="K657" s="8" t="s">
        <v>19</v>
      </c>
      <c r="L657" s="8" t="s">
        <v>926</v>
      </c>
    </row>
    <row r="658" spans="1:12" x14ac:dyDescent="0.35">
      <c r="A658" s="11">
        <v>657</v>
      </c>
      <c r="B658" s="17">
        <v>45851.212685185194</v>
      </c>
      <c r="C658" s="18">
        <v>45851</v>
      </c>
      <c r="D658" s="10" t="s">
        <v>342</v>
      </c>
      <c r="E658" s="14">
        <v>500</v>
      </c>
      <c r="F658" s="5">
        <v>0</v>
      </c>
      <c r="G658" s="5">
        <v>0</v>
      </c>
      <c r="H658" s="10" t="s">
        <v>51</v>
      </c>
      <c r="I658" s="10" t="s">
        <v>52</v>
      </c>
      <c r="J658" s="10" t="s">
        <v>33</v>
      </c>
      <c r="K658" s="10" t="s">
        <v>19</v>
      </c>
      <c r="L658" s="10" t="s">
        <v>927</v>
      </c>
    </row>
    <row r="659" spans="1:12" x14ac:dyDescent="0.35">
      <c r="A659" s="9">
        <v>658</v>
      </c>
      <c r="B659" s="19">
        <v>45852.212476851862</v>
      </c>
      <c r="C659" s="20">
        <v>45852</v>
      </c>
      <c r="D659" s="8" t="s">
        <v>342</v>
      </c>
      <c r="E659" s="12">
        <v>500</v>
      </c>
      <c r="F659" s="3">
        <v>0</v>
      </c>
      <c r="G659" s="3">
        <v>0</v>
      </c>
      <c r="H659" s="8" t="s">
        <v>51</v>
      </c>
      <c r="I659" s="8" t="s">
        <v>52</v>
      </c>
      <c r="J659" s="8" t="s">
        <v>33</v>
      </c>
      <c r="K659" s="8" t="s">
        <v>19</v>
      </c>
      <c r="L659" s="8" t="s">
        <v>928</v>
      </c>
    </row>
    <row r="660" spans="1:12" x14ac:dyDescent="0.35">
      <c r="A660" s="11">
        <v>659</v>
      </c>
      <c r="B660" s="17">
        <v>45852.212488425917</v>
      </c>
      <c r="C660" s="18">
        <v>45852</v>
      </c>
      <c r="D660" s="10" t="s">
        <v>394</v>
      </c>
      <c r="E660" s="5">
        <v>0</v>
      </c>
      <c r="F660" s="15">
        <v>500</v>
      </c>
      <c r="G660" s="5">
        <v>500</v>
      </c>
      <c r="H660" s="10" t="s">
        <v>51</v>
      </c>
      <c r="I660" s="10" t="s">
        <v>71</v>
      </c>
      <c r="J660" s="10" t="s">
        <v>32</v>
      </c>
      <c r="K660" s="10" t="s">
        <v>19</v>
      </c>
      <c r="L660" s="10" t="s">
        <v>929</v>
      </c>
    </row>
    <row r="661" spans="1:12" x14ac:dyDescent="0.35">
      <c r="A661" s="9">
        <v>660</v>
      </c>
      <c r="B661" s="19">
        <v>45852.472581018519</v>
      </c>
      <c r="C661" s="20">
        <v>45852</v>
      </c>
      <c r="D661" s="8" t="s">
        <v>930</v>
      </c>
      <c r="E661" s="12">
        <v>1050</v>
      </c>
      <c r="F661" s="3">
        <v>0</v>
      </c>
      <c r="G661" s="3">
        <v>0</v>
      </c>
      <c r="H661" s="8" t="s">
        <v>51</v>
      </c>
      <c r="I661" s="8" t="s">
        <v>52</v>
      </c>
      <c r="J661" s="8" t="s">
        <v>30</v>
      </c>
      <c r="K661" s="8" t="s">
        <v>19</v>
      </c>
      <c r="L661" s="8" t="s">
        <v>931</v>
      </c>
    </row>
    <row r="662" spans="1:12" x14ac:dyDescent="0.35">
      <c r="A662" s="11">
        <v>661</v>
      </c>
      <c r="B662" s="17">
        <v>45852.472627314812</v>
      </c>
      <c r="C662" s="18">
        <v>45852</v>
      </c>
      <c r="D662" s="10" t="s">
        <v>394</v>
      </c>
      <c r="E662" s="5">
        <v>0</v>
      </c>
      <c r="F662" s="15">
        <v>1050</v>
      </c>
      <c r="G662" s="5">
        <v>1050</v>
      </c>
      <c r="H662" s="10" t="s">
        <v>51</v>
      </c>
      <c r="I662" s="10" t="s">
        <v>71</v>
      </c>
      <c r="J662" s="10" t="s">
        <v>32</v>
      </c>
      <c r="K662" s="10" t="s">
        <v>19</v>
      </c>
      <c r="L662" s="10" t="s">
        <v>932</v>
      </c>
    </row>
    <row r="663" spans="1:12" x14ac:dyDescent="0.35">
      <c r="A663" s="9">
        <v>662</v>
      </c>
      <c r="B663" s="19">
        <v>45853.212442129632</v>
      </c>
      <c r="C663" s="20">
        <v>45853</v>
      </c>
      <c r="D663" s="8" t="s">
        <v>394</v>
      </c>
      <c r="E663" s="3">
        <v>0</v>
      </c>
      <c r="F663" s="13">
        <v>500</v>
      </c>
      <c r="G663" s="3">
        <v>500</v>
      </c>
      <c r="H663" s="8" t="s">
        <v>51</v>
      </c>
      <c r="I663" s="8" t="s">
        <v>71</v>
      </c>
      <c r="J663" s="8" t="s">
        <v>32</v>
      </c>
      <c r="K663" s="8" t="s">
        <v>19</v>
      </c>
      <c r="L663" s="8" t="s">
        <v>933</v>
      </c>
    </row>
    <row r="664" spans="1:12" x14ac:dyDescent="0.35">
      <c r="A664" s="11">
        <v>663</v>
      </c>
      <c r="B664" s="17">
        <v>45853.212442129632</v>
      </c>
      <c r="C664" s="18">
        <v>45853</v>
      </c>
      <c r="D664" s="10" t="s">
        <v>342</v>
      </c>
      <c r="E664" s="14">
        <v>500</v>
      </c>
      <c r="F664" s="5">
        <v>0</v>
      </c>
      <c r="G664" s="5">
        <v>0</v>
      </c>
      <c r="H664" s="10" t="s">
        <v>51</v>
      </c>
      <c r="I664" s="10" t="s">
        <v>52</v>
      </c>
      <c r="J664" s="10" t="s">
        <v>33</v>
      </c>
      <c r="K664" s="10" t="s">
        <v>19</v>
      </c>
      <c r="L664" s="10" t="s">
        <v>934</v>
      </c>
    </row>
    <row r="665" spans="1:12" x14ac:dyDescent="0.35">
      <c r="A665" s="9">
        <v>664</v>
      </c>
      <c r="B665" s="19">
        <v>45853.292442129627</v>
      </c>
      <c r="C665" s="20">
        <v>45853</v>
      </c>
      <c r="D665" s="8" t="s">
        <v>430</v>
      </c>
      <c r="E665" s="12">
        <v>13000</v>
      </c>
      <c r="F665" s="3">
        <v>0</v>
      </c>
      <c r="G665" s="3">
        <v>0</v>
      </c>
      <c r="H665" s="8" t="s">
        <v>51</v>
      </c>
      <c r="I665" s="8" t="s">
        <v>52</v>
      </c>
      <c r="J665" s="8" t="s">
        <v>30</v>
      </c>
      <c r="K665" s="8" t="s">
        <v>19</v>
      </c>
      <c r="L665" s="8" t="s">
        <v>935</v>
      </c>
    </row>
    <row r="666" spans="1:12" x14ac:dyDescent="0.35">
      <c r="A666" s="11">
        <v>665</v>
      </c>
      <c r="B666" s="17">
        <v>45853.292488425926</v>
      </c>
      <c r="C666" s="18">
        <v>45853</v>
      </c>
      <c r="D666" s="10" t="s">
        <v>394</v>
      </c>
      <c r="E666" s="5">
        <v>0</v>
      </c>
      <c r="F666" s="15">
        <v>13000</v>
      </c>
      <c r="G666" s="5">
        <v>13000</v>
      </c>
      <c r="H666" s="10" t="s">
        <v>51</v>
      </c>
      <c r="I666" s="10" t="s">
        <v>71</v>
      </c>
      <c r="J666" s="10" t="s">
        <v>32</v>
      </c>
      <c r="K666" s="10" t="s">
        <v>19</v>
      </c>
      <c r="L666" s="10" t="s">
        <v>936</v>
      </c>
    </row>
    <row r="667" spans="1:12" x14ac:dyDescent="0.35">
      <c r="A667" s="9">
        <v>666</v>
      </c>
      <c r="B667" s="19">
        <v>45853.293113425927</v>
      </c>
      <c r="C667" s="20">
        <v>45853</v>
      </c>
      <c r="D667" s="8" t="s">
        <v>430</v>
      </c>
      <c r="E667" s="12">
        <v>2000</v>
      </c>
      <c r="F667" s="3">
        <v>0</v>
      </c>
      <c r="G667" s="3">
        <v>0</v>
      </c>
      <c r="H667" s="8" t="s">
        <v>51</v>
      </c>
      <c r="I667" s="8" t="s">
        <v>52</v>
      </c>
      <c r="J667" s="8" t="s">
        <v>30</v>
      </c>
      <c r="K667" s="8" t="s">
        <v>19</v>
      </c>
      <c r="L667" s="8" t="s">
        <v>937</v>
      </c>
    </row>
    <row r="668" spans="1:12" x14ac:dyDescent="0.35">
      <c r="A668" s="11">
        <v>667</v>
      </c>
      <c r="B668" s="17">
        <v>45853.293171296304</v>
      </c>
      <c r="C668" s="18">
        <v>45853</v>
      </c>
      <c r="D668" s="10" t="s">
        <v>394</v>
      </c>
      <c r="E668" s="5">
        <v>0</v>
      </c>
      <c r="F668" s="15">
        <v>2000</v>
      </c>
      <c r="G668" s="5">
        <v>2000</v>
      </c>
      <c r="H668" s="10" t="s">
        <v>51</v>
      </c>
      <c r="I668" s="10" t="s">
        <v>71</v>
      </c>
      <c r="J668" s="10" t="s">
        <v>32</v>
      </c>
      <c r="K668" s="10" t="s">
        <v>19</v>
      </c>
      <c r="L668" s="10" t="s">
        <v>938</v>
      </c>
    </row>
    <row r="669" spans="1:12" x14ac:dyDescent="0.35">
      <c r="A669" s="9">
        <v>668</v>
      </c>
      <c r="B669" s="19">
        <v>45853.322245370371</v>
      </c>
      <c r="C669" s="20">
        <v>45853</v>
      </c>
      <c r="D669" s="8" t="s">
        <v>939</v>
      </c>
      <c r="E669" s="12">
        <v>300</v>
      </c>
      <c r="F669" s="3">
        <v>0</v>
      </c>
      <c r="G669" s="3">
        <v>0</v>
      </c>
      <c r="H669" s="8" t="s">
        <v>51</v>
      </c>
      <c r="I669" s="8" t="s">
        <v>52</v>
      </c>
      <c r="J669" s="8" t="s">
        <v>30</v>
      </c>
      <c r="K669" s="8" t="s">
        <v>19</v>
      </c>
      <c r="L669" s="8" t="s">
        <v>940</v>
      </c>
    </row>
    <row r="670" spans="1:12" x14ac:dyDescent="0.35">
      <c r="A670" s="11">
        <v>669</v>
      </c>
      <c r="B670" s="17">
        <v>45853.322291666656</v>
      </c>
      <c r="C670" s="18">
        <v>45853</v>
      </c>
      <c r="D670" s="10" t="s">
        <v>394</v>
      </c>
      <c r="E670" s="5">
        <v>0</v>
      </c>
      <c r="F670" s="15">
        <v>300</v>
      </c>
      <c r="G670" s="5">
        <v>300</v>
      </c>
      <c r="H670" s="10" t="s">
        <v>51</v>
      </c>
      <c r="I670" s="10" t="s">
        <v>71</v>
      </c>
      <c r="J670" s="10" t="s">
        <v>32</v>
      </c>
      <c r="K670" s="10" t="s">
        <v>19</v>
      </c>
      <c r="L670" s="10" t="s">
        <v>941</v>
      </c>
    </row>
    <row r="671" spans="1:12" x14ac:dyDescent="0.35">
      <c r="A671" s="9">
        <v>670</v>
      </c>
      <c r="B671" s="19">
        <v>45853.33525462963</v>
      </c>
      <c r="C671" s="20">
        <v>45853</v>
      </c>
      <c r="D671" s="8" t="s">
        <v>942</v>
      </c>
      <c r="E671" s="12">
        <v>1700</v>
      </c>
      <c r="F671" s="3">
        <v>0</v>
      </c>
      <c r="G671" s="3">
        <v>0</v>
      </c>
      <c r="H671" s="8" t="s">
        <v>51</v>
      </c>
      <c r="I671" s="8" t="s">
        <v>52</v>
      </c>
      <c r="J671" s="8" t="s">
        <v>30</v>
      </c>
      <c r="K671" s="8" t="s">
        <v>19</v>
      </c>
      <c r="L671" s="8" t="s">
        <v>943</v>
      </c>
    </row>
    <row r="672" spans="1:12" x14ac:dyDescent="0.35">
      <c r="A672" s="11">
        <v>671</v>
      </c>
      <c r="B672" s="17">
        <v>45853.335289351853</v>
      </c>
      <c r="C672" s="18">
        <v>45853</v>
      </c>
      <c r="D672" s="10" t="s">
        <v>394</v>
      </c>
      <c r="E672" s="5">
        <v>0</v>
      </c>
      <c r="F672" s="15">
        <v>1700</v>
      </c>
      <c r="G672" s="5">
        <v>1700</v>
      </c>
      <c r="H672" s="10" t="s">
        <v>51</v>
      </c>
      <c r="I672" s="10" t="s">
        <v>71</v>
      </c>
      <c r="J672" s="10" t="s">
        <v>32</v>
      </c>
      <c r="K672" s="10" t="s">
        <v>19</v>
      </c>
      <c r="L672" s="10" t="s">
        <v>944</v>
      </c>
    </row>
    <row r="673" spans="1:12" x14ac:dyDescent="0.35">
      <c r="A673" s="9">
        <v>672</v>
      </c>
      <c r="B673" s="19">
        <v>45853.891319444447</v>
      </c>
      <c r="C673" s="20">
        <v>45853</v>
      </c>
      <c r="D673" s="8" t="s">
        <v>551</v>
      </c>
      <c r="E673" s="3">
        <v>0</v>
      </c>
      <c r="F673" s="13">
        <v>20000</v>
      </c>
      <c r="G673" s="3">
        <v>20000</v>
      </c>
      <c r="H673" s="8" t="s">
        <v>51</v>
      </c>
      <c r="I673" s="8" t="s">
        <v>71</v>
      </c>
      <c r="J673" s="8" t="s">
        <v>31</v>
      </c>
      <c r="K673" s="8" t="s">
        <v>19</v>
      </c>
      <c r="L673" s="8" t="s">
        <v>945</v>
      </c>
    </row>
    <row r="674" spans="1:12" x14ac:dyDescent="0.35">
      <c r="A674" s="11">
        <v>673</v>
      </c>
      <c r="B674" s="17">
        <v>45853.891342592593</v>
      </c>
      <c r="C674" s="18">
        <v>45853</v>
      </c>
      <c r="D674" s="10" t="s">
        <v>79</v>
      </c>
      <c r="E674" s="14">
        <v>50</v>
      </c>
      <c r="F674" s="5">
        <v>0</v>
      </c>
      <c r="G674" s="5">
        <v>19950</v>
      </c>
      <c r="H674" s="10" t="s">
        <v>51</v>
      </c>
      <c r="I674" s="10" t="s">
        <v>52</v>
      </c>
      <c r="J674" s="10" t="s">
        <v>36</v>
      </c>
      <c r="K674" s="10" t="s">
        <v>19</v>
      </c>
      <c r="L674" s="10" t="s">
        <v>946</v>
      </c>
    </row>
    <row r="675" spans="1:12" x14ac:dyDescent="0.35">
      <c r="A675" s="9">
        <v>674</v>
      </c>
      <c r="B675" s="19">
        <v>45853.893078703702</v>
      </c>
      <c r="C675" s="20">
        <v>45853</v>
      </c>
      <c r="D675" s="8" t="s">
        <v>551</v>
      </c>
      <c r="E675" s="3">
        <v>0</v>
      </c>
      <c r="F675" s="13">
        <v>5000</v>
      </c>
      <c r="G675" s="3">
        <v>24950</v>
      </c>
      <c r="H675" s="8" t="s">
        <v>51</v>
      </c>
      <c r="I675" s="8" t="s">
        <v>71</v>
      </c>
      <c r="J675" s="8" t="s">
        <v>31</v>
      </c>
      <c r="K675" s="8" t="s">
        <v>19</v>
      </c>
      <c r="L675" s="8" t="s">
        <v>947</v>
      </c>
    </row>
    <row r="676" spans="1:12" x14ac:dyDescent="0.35">
      <c r="A676" s="11">
        <v>675</v>
      </c>
      <c r="B676" s="17">
        <v>45853.932002314818</v>
      </c>
      <c r="C676" s="18">
        <v>45853</v>
      </c>
      <c r="D676" s="10" t="s">
        <v>426</v>
      </c>
      <c r="E676" s="14">
        <v>24950</v>
      </c>
      <c r="F676" s="5">
        <v>0</v>
      </c>
      <c r="G676" s="5">
        <v>0</v>
      </c>
      <c r="H676" s="10" t="s">
        <v>51</v>
      </c>
      <c r="I676" s="10" t="s">
        <v>52</v>
      </c>
      <c r="J676" s="10" t="s">
        <v>32</v>
      </c>
      <c r="K676" s="10" t="s">
        <v>19</v>
      </c>
      <c r="L676" s="10" t="s">
        <v>948</v>
      </c>
    </row>
    <row r="677" spans="1:12" x14ac:dyDescent="0.35">
      <c r="A677" s="9">
        <v>676</v>
      </c>
      <c r="B677" s="19">
        <v>45854.21230324074</v>
      </c>
      <c r="C677" s="20">
        <v>45854</v>
      </c>
      <c r="D677" s="8" t="s">
        <v>394</v>
      </c>
      <c r="E677" s="3">
        <v>0</v>
      </c>
      <c r="F677" s="13">
        <v>500</v>
      </c>
      <c r="G677" s="3">
        <v>500</v>
      </c>
      <c r="H677" s="8" t="s">
        <v>51</v>
      </c>
      <c r="I677" s="8" t="s">
        <v>71</v>
      </c>
      <c r="J677" s="8" t="s">
        <v>32</v>
      </c>
      <c r="K677" s="8" t="s">
        <v>19</v>
      </c>
      <c r="L677" s="8" t="s">
        <v>949</v>
      </c>
    </row>
    <row r="678" spans="1:12" x14ac:dyDescent="0.35">
      <c r="A678" s="11">
        <v>677</v>
      </c>
      <c r="B678" s="17">
        <v>45854.21230324074</v>
      </c>
      <c r="C678" s="18">
        <v>45854</v>
      </c>
      <c r="D678" s="10" t="s">
        <v>342</v>
      </c>
      <c r="E678" s="14">
        <v>500</v>
      </c>
      <c r="F678" s="5">
        <v>0</v>
      </c>
      <c r="G678" s="5">
        <v>0</v>
      </c>
      <c r="H678" s="10" t="s">
        <v>51</v>
      </c>
      <c r="I678" s="10" t="s">
        <v>52</v>
      </c>
      <c r="J678" s="10" t="s">
        <v>33</v>
      </c>
      <c r="K678" s="10" t="s">
        <v>19</v>
      </c>
      <c r="L678" s="10" t="s">
        <v>950</v>
      </c>
    </row>
    <row r="679" spans="1:12" x14ac:dyDescent="0.35">
      <c r="A679" s="9">
        <v>678</v>
      </c>
      <c r="B679" s="19">
        <v>45854.360821759263</v>
      </c>
      <c r="C679" s="20">
        <v>45854</v>
      </c>
      <c r="D679" s="8" t="s">
        <v>951</v>
      </c>
      <c r="E679" s="12">
        <v>2750</v>
      </c>
      <c r="F679" s="3">
        <v>0</v>
      </c>
      <c r="G679" s="3">
        <v>0</v>
      </c>
      <c r="H679" s="8" t="s">
        <v>51</v>
      </c>
      <c r="I679" s="8" t="s">
        <v>52</v>
      </c>
      <c r="J679" s="8" t="s">
        <v>30</v>
      </c>
      <c r="K679" s="8" t="s">
        <v>19</v>
      </c>
      <c r="L679" s="8" t="s">
        <v>952</v>
      </c>
    </row>
    <row r="680" spans="1:12" x14ac:dyDescent="0.35">
      <c r="A680" s="11">
        <v>679</v>
      </c>
      <c r="B680" s="17">
        <v>45854.360879629632</v>
      </c>
      <c r="C680" s="18">
        <v>45854</v>
      </c>
      <c r="D680" s="10" t="s">
        <v>394</v>
      </c>
      <c r="E680" s="5">
        <v>0</v>
      </c>
      <c r="F680" s="15">
        <v>2750</v>
      </c>
      <c r="G680" s="5">
        <v>2750</v>
      </c>
      <c r="H680" s="10" t="s">
        <v>51</v>
      </c>
      <c r="I680" s="10" t="s">
        <v>71</v>
      </c>
      <c r="J680" s="10" t="s">
        <v>32</v>
      </c>
      <c r="K680" s="10" t="s">
        <v>19</v>
      </c>
      <c r="L680" s="10" t="s">
        <v>953</v>
      </c>
    </row>
    <row r="681" spans="1:12" x14ac:dyDescent="0.35">
      <c r="A681" s="9">
        <v>680</v>
      </c>
      <c r="B681" s="19">
        <v>45854.728043981479</v>
      </c>
      <c r="C681" s="20">
        <v>45854</v>
      </c>
      <c r="D681" s="8" t="s">
        <v>954</v>
      </c>
      <c r="E681" s="12">
        <v>2560</v>
      </c>
      <c r="F681" s="3">
        <v>0</v>
      </c>
      <c r="G681" s="3">
        <v>0</v>
      </c>
      <c r="H681" s="8" t="s">
        <v>51</v>
      </c>
      <c r="I681" s="8" t="s">
        <v>52</v>
      </c>
      <c r="J681" s="8" t="s">
        <v>30</v>
      </c>
      <c r="K681" s="8" t="s">
        <v>19</v>
      </c>
      <c r="L681" s="8" t="s">
        <v>955</v>
      </c>
    </row>
    <row r="682" spans="1:12" x14ac:dyDescent="0.35">
      <c r="A682" s="11">
        <v>681</v>
      </c>
      <c r="B682" s="17">
        <v>45854.728078703702</v>
      </c>
      <c r="C682" s="18">
        <v>45854</v>
      </c>
      <c r="D682" s="10" t="s">
        <v>394</v>
      </c>
      <c r="E682" s="5">
        <v>0</v>
      </c>
      <c r="F682" s="15">
        <v>2560</v>
      </c>
      <c r="G682" s="5">
        <v>2560</v>
      </c>
      <c r="H682" s="10" t="s">
        <v>51</v>
      </c>
      <c r="I682" s="10" t="s">
        <v>71</v>
      </c>
      <c r="J682" s="10" t="s">
        <v>32</v>
      </c>
      <c r="K682" s="10" t="s">
        <v>19</v>
      </c>
      <c r="L682" s="10" t="s">
        <v>956</v>
      </c>
    </row>
    <row r="683" spans="1:12" x14ac:dyDescent="0.35">
      <c r="A683" s="9">
        <v>682</v>
      </c>
      <c r="B683" s="19">
        <v>45855.212129629632</v>
      </c>
      <c r="C683" s="20">
        <v>45855</v>
      </c>
      <c r="D683" s="8" t="s">
        <v>394</v>
      </c>
      <c r="E683" s="3">
        <v>0</v>
      </c>
      <c r="F683" s="13">
        <v>500</v>
      </c>
      <c r="G683" s="3">
        <v>500</v>
      </c>
      <c r="H683" s="8" t="s">
        <v>51</v>
      </c>
      <c r="I683" s="8" t="s">
        <v>71</v>
      </c>
      <c r="J683" s="8" t="s">
        <v>32</v>
      </c>
      <c r="K683" s="8" t="s">
        <v>19</v>
      </c>
      <c r="L683" s="8" t="s">
        <v>957</v>
      </c>
    </row>
    <row r="684" spans="1:12" x14ac:dyDescent="0.35">
      <c r="A684" s="11">
        <v>683</v>
      </c>
      <c r="B684" s="17">
        <v>45855.212129629632</v>
      </c>
      <c r="C684" s="18">
        <v>45855</v>
      </c>
      <c r="D684" s="10" t="s">
        <v>342</v>
      </c>
      <c r="E684" s="14">
        <v>500</v>
      </c>
      <c r="F684" s="5">
        <v>0</v>
      </c>
      <c r="G684" s="5">
        <v>0</v>
      </c>
      <c r="H684" s="10" t="s">
        <v>51</v>
      </c>
      <c r="I684" s="10" t="s">
        <v>52</v>
      </c>
      <c r="J684" s="10" t="s">
        <v>33</v>
      </c>
      <c r="K684" s="10" t="s">
        <v>19</v>
      </c>
      <c r="L684" s="10" t="s">
        <v>958</v>
      </c>
    </row>
    <row r="685" spans="1:12" x14ac:dyDescent="0.35">
      <c r="A685" s="9">
        <v>684</v>
      </c>
      <c r="B685" s="19">
        <v>45855.7343287037</v>
      </c>
      <c r="C685" s="20">
        <v>45855</v>
      </c>
      <c r="D685" s="8" t="s">
        <v>959</v>
      </c>
      <c r="E685" s="12">
        <v>2100</v>
      </c>
      <c r="F685" s="3">
        <v>0</v>
      </c>
      <c r="G685" s="3">
        <v>0</v>
      </c>
      <c r="H685" s="8" t="s">
        <v>51</v>
      </c>
      <c r="I685" s="8" t="s">
        <v>52</v>
      </c>
      <c r="J685" s="8" t="s">
        <v>30</v>
      </c>
      <c r="K685" s="8" t="s">
        <v>19</v>
      </c>
      <c r="L685" s="8" t="s">
        <v>960</v>
      </c>
    </row>
    <row r="686" spans="1:12" x14ac:dyDescent="0.35">
      <c r="A686" s="11">
        <v>685</v>
      </c>
      <c r="B686" s="17">
        <v>45855.734375</v>
      </c>
      <c r="C686" s="18">
        <v>45855</v>
      </c>
      <c r="D686" s="10" t="s">
        <v>394</v>
      </c>
      <c r="E686" s="5">
        <v>0</v>
      </c>
      <c r="F686" s="15">
        <v>2100</v>
      </c>
      <c r="G686" s="5">
        <v>2100</v>
      </c>
      <c r="H686" s="10" t="s">
        <v>51</v>
      </c>
      <c r="I686" s="10" t="s">
        <v>71</v>
      </c>
      <c r="J686" s="10" t="s">
        <v>32</v>
      </c>
      <c r="K686" s="10" t="s">
        <v>19</v>
      </c>
      <c r="L686" s="10" t="s">
        <v>961</v>
      </c>
    </row>
    <row r="687" spans="1:12" x14ac:dyDescent="0.35">
      <c r="A687" s="9">
        <v>686</v>
      </c>
      <c r="B687" s="19">
        <v>45856.218275462961</v>
      </c>
      <c r="C687" s="20">
        <v>45856</v>
      </c>
      <c r="D687" s="8" t="s">
        <v>394</v>
      </c>
      <c r="E687" s="3">
        <v>0</v>
      </c>
      <c r="F687" s="13">
        <v>500</v>
      </c>
      <c r="G687" s="3">
        <v>500</v>
      </c>
      <c r="H687" s="8" t="s">
        <v>51</v>
      </c>
      <c r="I687" s="8" t="s">
        <v>71</v>
      </c>
      <c r="J687" s="8" t="s">
        <v>32</v>
      </c>
      <c r="K687" s="8" t="s">
        <v>19</v>
      </c>
      <c r="L687" s="8" t="s">
        <v>962</v>
      </c>
    </row>
    <row r="688" spans="1:12" x14ac:dyDescent="0.35">
      <c r="A688" s="11">
        <v>687</v>
      </c>
      <c r="B688" s="17">
        <v>45856.218275462961</v>
      </c>
      <c r="C688" s="18">
        <v>45856</v>
      </c>
      <c r="D688" s="10" t="s">
        <v>342</v>
      </c>
      <c r="E688" s="14">
        <v>500</v>
      </c>
      <c r="F688" s="5">
        <v>0</v>
      </c>
      <c r="G688" s="5">
        <v>0</v>
      </c>
      <c r="H688" s="10" t="s">
        <v>51</v>
      </c>
      <c r="I688" s="10" t="s">
        <v>52</v>
      </c>
      <c r="J688" s="10" t="s">
        <v>33</v>
      </c>
      <c r="K688" s="10" t="s">
        <v>19</v>
      </c>
      <c r="L688" s="10" t="s">
        <v>963</v>
      </c>
    </row>
    <row r="689" spans="1:12" x14ac:dyDescent="0.35">
      <c r="A689" s="9">
        <v>688</v>
      </c>
      <c r="B689" s="19">
        <v>45857.212141203701</v>
      </c>
      <c r="C689" s="20">
        <v>45857</v>
      </c>
      <c r="D689" s="8" t="s">
        <v>394</v>
      </c>
      <c r="E689" s="3">
        <v>0</v>
      </c>
      <c r="F689" s="13">
        <v>500</v>
      </c>
      <c r="G689" s="3">
        <v>500</v>
      </c>
      <c r="H689" s="8" t="s">
        <v>51</v>
      </c>
      <c r="I689" s="8" t="s">
        <v>71</v>
      </c>
      <c r="J689" s="8" t="s">
        <v>32</v>
      </c>
      <c r="K689" s="8" t="s">
        <v>19</v>
      </c>
      <c r="L689" s="8" t="s">
        <v>964</v>
      </c>
    </row>
    <row r="690" spans="1:12" x14ac:dyDescent="0.35">
      <c r="A690" s="11">
        <v>689</v>
      </c>
      <c r="B690" s="17">
        <v>45857.212141203701</v>
      </c>
      <c r="C690" s="18">
        <v>45857</v>
      </c>
      <c r="D690" s="10" t="s">
        <v>342</v>
      </c>
      <c r="E690" s="14">
        <v>500</v>
      </c>
      <c r="F690" s="5">
        <v>0</v>
      </c>
      <c r="G690" s="5">
        <v>0</v>
      </c>
      <c r="H690" s="10" t="s">
        <v>51</v>
      </c>
      <c r="I690" s="10" t="s">
        <v>52</v>
      </c>
      <c r="J690" s="10" t="s">
        <v>33</v>
      </c>
      <c r="K690" s="10" t="s">
        <v>19</v>
      </c>
      <c r="L690" s="10" t="s">
        <v>965</v>
      </c>
    </row>
    <row r="691" spans="1:12" x14ac:dyDescent="0.35">
      <c r="A691" s="9">
        <v>690</v>
      </c>
      <c r="B691" s="19">
        <v>45857.547395833331</v>
      </c>
      <c r="C691" s="20">
        <v>45857</v>
      </c>
      <c r="D691" s="8" t="s">
        <v>966</v>
      </c>
      <c r="E691" s="12">
        <v>12300</v>
      </c>
      <c r="F691" s="3">
        <v>0</v>
      </c>
      <c r="G691" s="3">
        <v>0</v>
      </c>
      <c r="H691" s="8" t="s">
        <v>51</v>
      </c>
      <c r="I691" s="8" t="s">
        <v>52</v>
      </c>
      <c r="J691" s="8" t="s">
        <v>30</v>
      </c>
      <c r="K691" s="8" t="s">
        <v>19</v>
      </c>
      <c r="L691" s="8" t="s">
        <v>967</v>
      </c>
    </row>
    <row r="692" spans="1:12" x14ac:dyDescent="0.35">
      <c r="A692" s="11">
        <v>691</v>
      </c>
      <c r="B692" s="17">
        <v>45857.547465277778</v>
      </c>
      <c r="C692" s="18">
        <v>45857</v>
      </c>
      <c r="D692" s="10" t="s">
        <v>394</v>
      </c>
      <c r="E692" s="5">
        <v>0</v>
      </c>
      <c r="F692" s="15">
        <v>12300</v>
      </c>
      <c r="G692" s="5">
        <v>12300</v>
      </c>
      <c r="H692" s="10" t="s">
        <v>51</v>
      </c>
      <c r="I692" s="10" t="s">
        <v>71</v>
      </c>
      <c r="J692" s="10" t="s">
        <v>32</v>
      </c>
      <c r="K692" s="10" t="s">
        <v>19</v>
      </c>
      <c r="L692" s="10" t="s">
        <v>968</v>
      </c>
    </row>
    <row r="693" spans="1:12" x14ac:dyDescent="0.35">
      <c r="A693" s="9">
        <v>692</v>
      </c>
      <c r="B693" s="19">
        <v>45857.563657407409</v>
      </c>
      <c r="C693" s="20">
        <v>45857</v>
      </c>
      <c r="D693" s="8" t="s">
        <v>909</v>
      </c>
      <c r="E693" s="12">
        <v>5600</v>
      </c>
      <c r="F693" s="3">
        <v>0</v>
      </c>
      <c r="G693" s="3">
        <v>0</v>
      </c>
      <c r="H693" s="8" t="s">
        <v>51</v>
      </c>
      <c r="I693" s="8" t="s">
        <v>52</v>
      </c>
      <c r="J693" s="8" t="s">
        <v>30</v>
      </c>
      <c r="K693" s="8" t="s">
        <v>19</v>
      </c>
      <c r="L693" s="8" t="s">
        <v>969</v>
      </c>
    </row>
    <row r="694" spans="1:12" x14ac:dyDescent="0.35">
      <c r="A694" s="11">
        <v>693</v>
      </c>
      <c r="B694" s="17">
        <v>45857.563715277778</v>
      </c>
      <c r="C694" s="18">
        <v>45857</v>
      </c>
      <c r="D694" s="10" t="s">
        <v>394</v>
      </c>
      <c r="E694" s="5">
        <v>0</v>
      </c>
      <c r="F694" s="15">
        <v>5600</v>
      </c>
      <c r="G694" s="5">
        <v>5600</v>
      </c>
      <c r="H694" s="10" t="s">
        <v>51</v>
      </c>
      <c r="I694" s="10" t="s">
        <v>71</v>
      </c>
      <c r="J694" s="10" t="s">
        <v>32</v>
      </c>
      <c r="K694" s="10" t="s">
        <v>19</v>
      </c>
      <c r="L694" s="10" t="s">
        <v>970</v>
      </c>
    </row>
    <row r="695" spans="1:12" x14ac:dyDescent="0.35">
      <c r="A695" s="9">
        <v>694</v>
      </c>
      <c r="B695" s="19">
        <v>45858.212141203701</v>
      </c>
      <c r="C695" s="20">
        <v>45858</v>
      </c>
      <c r="D695" s="8" t="s">
        <v>394</v>
      </c>
      <c r="E695" s="3">
        <v>0</v>
      </c>
      <c r="F695" s="13">
        <v>500</v>
      </c>
      <c r="G695" s="3">
        <v>500</v>
      </c>
      <c r="H695" s="8" t="s">
        <v>51</v>
      </c>
      <c r="I695" s="8" t="s">
        <v>71</v>
      </c>
      <c r="J695" s="8" t="s">
        <v>32</v>
      </c>
      <c r="K695" s="8" t="s">
        <v>19</v>
      </c>
      <c r="L695" s="8" t="s">
        <v>971</v>
      </c>
    </row>
    <row r="696" spans="1:12" x14ac:dyDescent="0.35">
      <c r="A696" s="11">
        <v>695</v>
      </c>
      <c r="B696" s="17">
        <v>45858.212141203701</v>
      </c>
      <c r="C696" s="18">
        <v>45858</v>
      </c>
      <c r="D696" s="10" t="s">
        <v>342</v>
      </c>
      <c r="E696" s="14">
        <v>500</v>
      </c>
      <c r="F696" s="5">
        <v>0</v>
      </c>
      <c r="G696" s="5">
        <v>0</v>
      </c>
      <c r="H696" s="10" t="s">
        <v>51</v>
      </c>
      <c r="I696" s="10" t="s">
        <v>52</v>
      </c>
      <c r="J696" s="10" t="s">
        <v>33</v>
      </c>
      <c r="K696" s="10" t="s">
        <v>19</v>
      </c>
      <c r="L696" s="10" t="s">
        <v>972</v>
      </c>
    </row>
    <row r="697" spans="1:12" x14ac:dyDescent="0.35">
      <c r="A697" s="9">
        <v>696</v>
      </c>
      <c r="B697" s="19">
        <v>45859.218912037039</v>
      </c>
      <c r="C697" s="20">
        <v>45859</v>
      </c>
      <c r="D697" s="8" t="s">
        <v>342</v>
      </c>
      <c r="E697" s="12">
        <v>500</v>
      </c>
      <c r="F697" s="3">
        <v>0</v>
      </c>
      <c r="G697" s="3">
        <v>0</v>
      </c>
      <c r="H697" s="8" t="s">
        <v>51</v>
      </c>
      <c r="I697" s="8" t="s">
        <v>52</v>
      </c>
      <c r="J697" s="8" t="s">
        <v>33</v>
      </c>
      <c r="K697" s="8" t="s">
        <v>19</v>
      </c>
      <c r="L697" s="8" t="s">
        <v>973</v>
      </c>
    </row>
    <row r="698" spans="1:12" x14ac:dyDescent="0.35">
      <c r="A698" s="11">
        <v>697</v>
      </c>
      <c r="B698" s="17">
        <v>45859.218923611108</v>
      </c>
      <c r="C698" s="18">
        <v>45859</v>
      </c>
      <c r="D698" s="10" t="s">
        <v>394</v>
      </c>
      <c r="E698" s="5">
        <v>0</v>
      </c>
      <c r="F698" s="15">
        <v>500</v>
      </c>
      <c r="G698" s="5">
        <v>500</v>
      </c>
      <c r="H698" s="10" t="s">
        <v>51</v>
      </c>
      <c r="I698" s="10" t="s">
        <v>71</v>
      </c>
      <c r="J698" s="10" t="s">
        <v>32</v>
      </c>
      <c r="K698" s="10" t="s">
        <v>19</v>
      </c>
      <c r="L698" s="10" t="s">
        <v>974</v>
      </c>
    </row>
    <row r="699" spans="1:12" x14ac:dyDescent="0.35">
      <c r="A699" s="9">
        <v>698</v>
      </c>
      <c r="B699" s="19">
        <v>45859.543634259258</v>
      </c>
      <c r="C699" s="20">
        <v>45859</v>
      </c>
      <c r="D699" s="8" t="s">
        <v>975</v>
      </c>
      <c r="E699" s="12">
        <v>1800</v>
      </c>
      <c r="F699" s="3">
        <v>0</v>
      </c>
      <c r="G699" s="3">
        <v>0</v>
      </c>
      <c r="H699" s="8" t="s">
        <v>51</v>
      </c>
      <c r="I699" s="8" t="s">
        <v>52</v>
      </c>
      <c r="J699" s="8" t="s">
        <v>30</v>
      </c>
      <c r="K699" s="8" t="s">
        <v>19</v>
      </c>
      <c r="L699" s="8" t="s">
        <v>976</v>
      </c>
    </row>
    <row r="700" spans="1:12" x14ac:dyDescent="0.35">
      <c r="A700" s="11">
        <v>699</v>
      </c>
      <c r="B700" s="17">
        <v>45859.543680555558</v>
      </c>
      <c r="C700" s="18">
        <v>45859</v>
      </c>
      <c r="D700" s="10" t="s">
        <v>394</v>
      </c>
      <c r="E700" s="5">
        <v>0</v>
      </c>
      <c r="F700" s="15">
        <v>1800</v>
      </c>
      <c r="G700" s="5">
        <v>1800</v>
      </c>
      <c r="H700" s="10" t="s">
        <v>51</v>
      </c>
      <c r="I700" s="10" t="s">
        <v>71</v>
      </c>
      <c r="J700" s="10" t="s">
        <v>32</v>
      </c>
      <c r="K700" s="10" t="s">
        <v>19</v>
      </c>
      <c r="L700" s="10" t="s">
        <v>977</v>
      </c>
    </row>
    <row r="701" spans="1:12" x14ac:dyDescent="0.35">
      <c r="A701" s="9">
        <v>700</v>
      </c>
      <c r="B701" s="19">
        <v>45859.73101851852</v>
      </c>
      <c r="C701" s="20">
        <v>45859</v>
      </c>
      <c r="D701" s="8" t="s">
        <v>978</v>
      </c>
      <c r="E701" s="12">
        <v>2300</v>
      </c>
      <c r="F701" s="3">
        <v>0</v>
      </c>
      <c r="G701" s="3">
        <v>0</v>
      </c>
      <c r="H701" s="8" t="s">
        <v>51</v>
      </c>
      <c r="I701" s="8" t="s">
        <v>52</v>
      </c>
      <c r="J701" s="8" t="s">
        <v>30</v>
      </c>
      <c r="K701" s="8" t="s">
        <v>19</v>
      </c>
      <c r="L701" s="8" t="s">
        <v>979</v>
      </c>
    </row>
    <row r="702" spans="1:12" x14ac:dyDescent="0.35">
      <c r="A702" s="11">
        <v>701</v>
      </c>
      <c r="B702" s="17">
        <v>45859.731064814812</v>
      </c>
      <c r="C702" s="18">
        <v>45859</v>
      </c>
      <c r="D702" s="10" t="s">
        <v>394</v>
      </c>
      <c r="E702" s="5">
        <v>0</v>
      </c>
      <c r="F702" s="15">
        <v>2300</v>
      </c>
      <c r="G702" s="5">
        <v>2300</v>
      </c>
      <c r="H702" s="10" t="s">
        <v>51</v>
      </c>
      <c r="I702" s="10" t="s">
        <v>71</v>
      </c>
      <c r="J702" s="10" t="s">
        <v>32</v>
      </c>
      <c r="K702" s="10" t="s">
        <v>19</v>
      </c>
      <c r="L702" s="10" t="s">
        <v>980</v>
      </c>
    </row>
    <row r="703" spans="1:12" x14ac:dyDescent="0.35">
      <c r="A703" s="9">
        <v>702</v>
      </c>
      <c r="B703" s="19">
        <v>45859.748900462961</v>
      </c>
      <c r="C703" s="20">
        <v>45859</v>
      </c>
      <c r="D703" s="8" t="s">
        <v>890</v>
      </c>
      <c r="E703" s="12">
        <v>1000</v>
      </c>
      <c r="F703" s="3">
        <v>0</v>
      </c>
      <c r="G703" s="3">
        <v>0</v>
      </c>
      <c r="H703" s="8" t="s">
        <v>51</v>
      </c>
      <c r="I703" s="8" t="s">
        <v>52</v>
      </c>
      <c r="J703" s="8" t="s">
        <v>30</v>
      </c>
      <c r="K703" s="8" t="s">
        <v>19</v>
      </c>
      <c r="L703" s="8" t="s">
        <v>981</v>
      </c>
    </row>
    <row r="704" spans="1:12" x14ac:dyDescent="0.35">
      <c r="A704" s="11">
        <v>703</v>
      </c>
      <c r="B704" s="17">
        <v>45859.74895833333</v>
      </c>
      <c r="C704" s="18">
        <v>45859</v>
      </c>
      <c r="D704" s="10" t="s">
        <v>394</v>
      </c>
      <c r="E704" s="5">
        <v>0</v>
      </c>
      <c r="F704" s="15">
        <v>1000</v>
      </c>
      <c r="G704" s="5">
        <v>1000</v>
      </c>
      <c r="H704" s="10" t="s">
        <v>51</v>
      </c>
      <c r="I704" s="10" t="s">
        <v>71</v>
      </c>
      <c r="J704" s="10" t="s">
        <v>32</v>
      </c>
      <c r="K704" s="10" t="s">
        <v>19</v>
      </c>
      <c r="L704" s="10" t="s">
        <v>982</v>
      </c>
    </row>
    <row r="705" spans="1:12" x14ac:dyDescent="0.35">
      <c r="A705" s="9">
        <v>704</v>
      </c>
      <c r="B705" s="19">
        <v>45859.753506944442</v>
      </c>
      <c r="C705" s="20">
        <v>45859</v>
      </c>
      <c r="D705" s="8" t="s">
        <v>983</v>
      </c>
      <c r="E705" s="12">
        <v>2500</v>
      </c>
      <c r="F705" s="3">
        <v>0</v>
      </c>
      <c r="G705" s="3">
        <v>0</v>
      </c>
      <c r="H705" s="8" t="s">
        <v>51</v>
      </c>
      <c r="I705" s="8" t="s">
        <v>52</v>
      </c>
      <c r="J705" s="8" t="s">
        <v>30</v>
      </c>
      <c r="K705" s="8" t="s">
        <v>19</v>
      </c>
      <c r="L705" s="8" t="s">
        <v>984</v>
      </c>
    </row>
    <row r="706" spans="1:12" x14ac:dyDescent="0.35">
      <c r="A706" s="11">
        <v>705</v>
      </c>
      <c r="B706" s="17">
        <v>45859.753634259258</v>
      </c>
      <c r="C706" s="18">
        <v>45859</v>
      </c>
      <c r="D706" s="10" t="s">
        <v>394</v>
      </c>
      <c r="E706" s="5">
        <v>0</v>
      </c>
      <c r="F706" s="15">
        <v>2500</v>
      </c>
      <c r="G706" s="5">
        <v>2500</v>
      </c>
      <c r="H706" s="10" t="s">
        <v>51</v>
      </c>
      <c r="I706" s="10" t="s">
        <v>71</v>
      </c>
      <c r="J706" s="10" t="s">
        <v>32</v>
      </c>
      <c r="K706" s="10" t="s">
        <v>19</v>
      </c>
      <c r="L706" s="10" t="s">
        <v>985</v>
      </c>
    </row>
    <row r="707" spans="1:12" x14ac:dyDescent="0.35">
      <c r="A707" s="9">
        <v>706</v>
      </c>
      <c r="B707" s="19">
        <v>45859.754745370366</v>
      </c>
      <c r="C707" s="20">
        <v>45859</v>
      </c>
      <c r="D707" s="8" t="s">
        <v>986</v>
      </c>
      <c r="E707" s="12">
        <v>2100</v>
      </c>
      <c r="F707" s="3">
        <v>0</v>
      </c>
      <c r="G707" s="3">
        <v>0</v>
      </c>
      <c r="H707" s="8" t="s">
        <v>51</v>
      </c>
      <c r="I707" s="8" t="s">
        <v>52</v>
      </c>
      <c r="J707" s="8" t="s">
        <v>30</v>
      </c>
      <c r="K707" s="8" t="s">
        <v>19</v>
      </c>
      <c r="L707" s="8" t="s">
        <v>987</v>
      </c>
    </row>
    <row r="708" spans="1:12" x14ac:dyDescent="0.35">
      <c r="A708" s="11">
        <v>707</v>
      </c>
      <c r="B708" s="17">
        <v>45859.754780092589</v>
      </c>
      <c r="C708" s="18">
        <v>45859</v>
      </c>
      <c r="D708" s="10" t="s">
        <v>394</v>
      </c>
      <c r="E708" s="5">
        <v>0</v>
      </c>
      <c r="F708" s="15">
        <v>2100</v>
      </c>
      <c r="G708" s="5">
        <v>2100</v>
      </c>
      <c r="H708" s="10" t="s">
        <v>51</v>
      </c>
      <c r="I708" s="10" t="s">
        <v>71</v>
      </c>
      <c r="J708" s="10" t="s">
        <v>32</v>
      </c>
      <c r="K708" s="10" t="s">
        <v>19</v>
      </c>
      <c r="L708" s="10" t="s">
        <v>988</v>
      </c>
    </row>
    <row r="709" spans="1:12" x14ac:dyDescent="0.35">
      <c r="A709" s="9">
        <v>708</v>
      </c>
      <c r="B709" s="19">
        <v>45860.211898148147</v>
      </c>
      <c r="C709" s="20">
        <v>45860</v>
      </c>
      <c r="D709" s="8" t="s">
        <v>342</v>
      </c>
      <c r="E709" s="12">
        <v>500</v>
      </c>
      <c r="F709" s="3">
        <v>0</v>
      </c>
      <c r="G709" s="3">
        <v>0</v>
      </c>
      <c r="H709" s="8" t="s">
        <v>51</v>
      </c>
      <c r="I709" s="8" t="s">
        <v>52</v>
      </c>
      <c r="J709" s="8" t="s">
        <v>33</v>
      </c>
      <c r="K709" s="8" t="s">
        <v>19</v>
      </c>
      <c r="L709" s="8" t="s">
        <v>989</v>
      </c>
    </row>
    <row r="710" spans="1:12" x14ac:dyDescent="0.35">
      <c r="A710" s="11">
        <v>709</v>
      </c>
      <c r="B710" s="17">
        <v>45860.211909722217</v>
      </c>
      <c r="C710" s="18">
        <v>45860</v>
      </c>
      <c r="D710" s="10" t="s">
        <v>394</v>
      </c>
      <c r="E710" s="5">
        <v>0</v>
      </c>
      <c r="F710" s="15">
        <v>500</v>
      </c>
      <c r="G710" s="5">
        <v>500</v>
      </c>
      <c r="H710" s="10" t="s">
        <v>51</v>
      </c>
      <c r="I710" s="10" t="s">
        <v>71</v>
      </c>
      <c r="J710" s="10" t="s">
        <v>32</v>
      </c>
      <c r="K710" s="10" t="s">
        <v>19</v>
      </c>
      <c r="L710" s="10" t="s">
        <v>990</v>
      </c>
    </row>
    <row r="711" spans="1:12" x14ac:dyDescent="0.35">
      <c r="A711" s="9">
        <v>710</v>
      </c>
      <c r="B711" s="19">
        <v>45860.526574074072</v>
      </c>
      <c r="C711" s="20">
        <v>45860</v>
      </c>
      <c r="D711" s="8" t="s">
        <v>991</v>
      </c>
      <c r="E711" s="12">
        <v>1100</v>
      </c>
      <c r="F711" s="3">
        <v>0</v>
      </c>
      <c r="G711" s="3">
        <v>0</v>
      </c>
      <c r="H711" s="8" t="s">
        <v>33</v>
      </c>
      <c r="I711" s="8" t="s">
        <v>52</v>
      </c>
      <c r="J711" s="8" t="s">
        <v>34</v>
      </c>
      <c r="K711" s="8" t="s">
        <v>19</v>
      </c>
      <c r="L711" s="8" t="s">
        <v>992</v>
      </c>
    </row>
    <row r="712" spans="1:12" x14ac:dyDescent="0.35">
      <c r="A712" s="11">
        <v>711</v>
      </c>
      <c r="B712" s="17">
        <v>45860.526574074072</v>
      </c>
      <c r="C712" s="18">
        <v>45860</v>
      </c>
      <c r="D712" s="10" t="s">
        <v>394</v>
      </c>
      <c r="E712" s="5">
        <v>0</v>
      </c>
      <c r="F712" s="15">
        <v>1100</v>
      </c>
      <c r="G712" s="5">
        <v>1100</v>
      </c>
      <c r="H712" s="10" t="s">
        <v>51</v>
      </c>
      <c r="I712" s="10" t="s">
        <v>71</v>
      </c>
      <c r="J712" s="10" t="s">
        <v>32</v>
      </c>
      <c r="K712" s="10" t="s">
        <v>19</v>
      </c>
      <c r="L712" s="10" t="s">
        <v>993</v>
      </c>
    </row>
    <row r="713" spans="1:12" x14ac:dyDescent="0.35">
      <c r="A713" s="9">
        <v>712</v>
      </c>
      <c r="B713" s="19">
        <v>45860.730555555558</v>
      </c>
      <c r="C713" s="20">
        <v>45860</v>
      </c>
      <c r="D713" s="8" t="s">
        <v>994</v>
      </c>
      <c r="E713" s="12">
        <v>2100</v>
      </c>
      <c r="F713" s="3">
        <v>0</v>
      </c>
      <c r="G713" s="3">
        <v>0</v>
      </c>
      <c r="H713" s="8" t="s">
        <v>33</v>
      </c>
      <c r="I713" s="8" t="s">
        <v>52</v>
      </c>
      <c r="J713" s="8" t="s">
        <v>34</v>
      </c>
      <c r="K713" s="8" t="s">
        <v>19</v>
      </c>
      <c r="L713" s="8" t="s">
        <v>995</v>
      </c>
    </row>
    <row r="714" spans="1:12" x14ac:dyDescent="0.35">
      <c r="A714" s="11">
        <v>713</v>
      </c>
      <c r="B714" s="17">
        <v>45860.730555555558</v>
      </c>
      <c r="C714" s="18">
        <v>45860</v>
      </c>
      <c r="D714" s="10" t="s">
        <v>394</v>
      </c>
      <c r="E714" s="5">
        <v>0</v>
      </c>
      <c r="F714" s="15">
        <v>2100</v>
      </c>
      <c r="G714" s="5">
        <v>2100</v>
      </c>
      <c r="H714" s="10" t="s">
        <v>51</v>
      </c>
      <c r="I714" s="10" t="s">
        <v>71</v>
      </c>
      <c r="J714" s="10" t="s">
        <v>32</v>
      </c>
      <c r="K714" s="10" t="s">
        <v>19</v>
      </c>
      <c r="L714" s="10" t="s">
        <v>996</v>
      </c>
    </row>
    <row r="715" spans="1:12" x14ac:dyDescent="0.35">
      <c r="A715" s="9">
        <v>714</v>
      </c>
      <c r="B715" s="19">
        <v>45861.211793981478</v>
      </c>
      <c r="C715" s="20">
        <v>45861</v>
      </c>
      <c r="D715" s="8" t="s">
        <v>394</v>
      </c>
      <c r="E715" s="3">
        <v>0</v>
      </c>
      <c r="F715" s="13">
        <v>500</v>
      </c>
      <c r="G715" s="3">
        <v>500</v>
      </c>
      <c r="H715" s="8" t="s">
        <v>51</v>
      </c>
      <c r="I715" s="8" t="s">
        <v>71</v>
      </c>
      <c r="J715" s="8" t="s">
        <v>32</v>
      </c>
      <c r="K715" s="8" t="s">
        <v>19</v>
      </c>
      <c r="L715" s="8" t="s">
        <v>997</v>
      </c>
    </row>
    <row r="716" spans="1:12" x14ac:dyDescent="0.35">
      <c r="A716" s="11">
        <v>715</v>
      </c>
      <c r="B716" s="17">
        <v>45861.211793981478</v>
      </c>
      <c r="C716" s="18">
        <v>45861</v>
      </c>
      <c r="D716" s="10" t="s">
        <v>342</v>
      </c>
      <c r="E716" s="14">
        <v>500</v>
      </c>
      <c r="F716" s="5">
        <v>0</v>
      </c>
      <c r="G716" s="5">
        <v>0</v>
      </c>
      <c r="H716" s="10" t="s">
        <v>51</v>
      </c>
      <c r="I716" s="10" t="s">
        <v>52</v>
      </c>
      <c r="J716" s="10" t="s">
        <v>33</v>
      </c>
      <c r="K716" s="10" t="s">
        <v>19</v>
      </c>
      <c r="L716" s="10" t="s">
        <v>998</v>
      </c>
    </row>
    <row r="717" spans="1:12" x14ac:dyDescent="0.35">
      <c r="A717" s="9">
        <v>716</v>
      </c>
      <c r="B717" s="19">
        <v>45861.37296296296</v>
      </c>
      <c r="C717" s="20">
        <v>45861</v>
      </c>
      <c r="D717" s="8" t="s">
        <v>999</v>
      </c>
      <c r="E717" s="12">
        <v>1000</v>
      </c>
      <c r="F717" s="3">
        <v>0</v>
      </c>
      <c r="G717" s="3">
        <v>0</v>
      </c>
      <c r="H717" s="8" t="s">
        <v>33</v>
      </c>
      <c r="I717" s="8" t="s">
        <v>52</v>
      </c>
      <c r="J717" s="8" t="s">
        <v>34</v>
      </c>
      <c r="K717" s="8" t="s">
        <v>19</v>
      </c>
      <c r="L717" s="8" t="s">
        <v>1000</v>
      </c>
    </row>
    <row r="718" spans="1:12" x14ac:dyDescent="0.35">
      <c r="A718" s="11">
        <v>717</v>
      </c>
      <c r="B718" s="17">
        <v>45861.37296296296</v>
      </c>
      <c r="C718" s="18">
        <v>45861</v>
      </c>
      <c r="D718" s="10" t="s">
        <v>394</v>
      </c>
      <c r="E718" s="5">
        <v>0</v>
      </c>
      <c r="F718" s="15">
        <v>1000</v>
      </c>
      <c r="G718" s="5">
        <v>1000</v>
      </c>
      <c r="H718" s="10" t="s">
        <v>51</v>
      </c>
      <c r="I718" s="10" t="s">
        <v>71</v>
      </c>
      <c r="J718" s="10" t="s">
        <v>32</v>
      </c>
      <c r="K718" s="10" t="s">
        <v>19</v>
      </c>
      <c r="L718" s="10" t="s">
        <v>1001</v>
      </c>
    </row>
    <row r="719" spans="1:12" x14ac:dyDescent="0.35">
      <c r="A719" s="9">
        <v>718</v>
      </c>
      <c r="B719" s="19">
        <v>45862.211712962962</v>
      </c>
      <c r="C719" s="20">
        <v>45862</v>
      </c>
      <c r="D719" s="8" t="s">
        <v>394</v>
      </c>
      <c r="E719" s="3">
        <v>0</v>
      </c>
      <c r="F719" s="13">
        <v>500</v>
      </c>
      <c r="G719" s="3">
        <v>500</v>
      </c>
      <c r="H719" s="8" t="s">
        <v>51</v>
      </c>
      <c r="I719" s="8" t="s">
        <v>71</v>
      </c>
      <c r="J719" s="8" t="s">
        <v>32</v>
      </c>
      <c r="K719" s="8" t="s">
        <v>19</v>
      </c>
      <c r="L719" s="8" t="s">
        <v>1002</v>
      </c>
    </row>
    <row r="720" spans="1:12" x14ac:dyDescent="0.35">
      <c r="A720" s="11">
        <v>719</v>
      </c>
      <c r="B720" s="17">
        <v>45862.211712962962</v>
      </c>
      <c r="C720" s="18">
        <v>45862</v>
      </c>
      <c r="D720" s="10" t="s">
        <v>342</v>
      </c>
      <c r="E720" s="14">
        <v>500</v>
      </c>
      <c r="F720" s="5">
        <v>0</v>
      </c>
      <c r="G720" s="5">
        <v>0</v>
      </c>
      <c r="H720" s="10" t="s">
        <v>51</v>
      </c>
      <c r="I720" s="10" t="s">
        <v>52</v>
      </c>
      <c r="J720" s="10" t="s">
        <v>33</v>
      </c>
      <c r="K720" s="10" t="s">
        <v>19</v>
      </c>
      <c r="L720" s="10" t="s">
        <v>1003</v>
      </c>
    </row>
    <row r="721" spans="1:12" x14ac:dyDescent="0.35">
      <c r="A721" s="9">
        <v>720</v>
      </c>
      <c r="B721" s="19">
        <v>45862.369988425933</v>
      </c>
      <c r="C721" s="20">
        <v>45862</v>
      </c>
      <c r="D721" s="8" t="s">
        <v>450</v>
      </c>
      <c r="E721" s="3">
        <v>0</v>
      </c>
      <c r="F721" s="13">
        <v>2000</v>
      </c>
      <c r="G721" s="3">
        <v>2000</v>
      </c>
      <c r="H721" s="8" t="s">
        <v>51</v>
      </c>
      <c r="I721" s="8" t="s">
        <v>71</v>
      </c>
      <c r="J721" s="8" t="s">
        <v>31</v>
      </c>
      <c r="K721" s="8" t="s">
        <v>19</v>
      </c>
      <c r="L721" s="8" t="s">
        <v>1004</v>
      </c>
    </row>
    <row r="722" spans="1:12" x14ac:dyDescent="0.35">
      <c r="A722" s="11">
        <v>721</v>
      </c>
      <c r="B722" s="17">
        <v>45862.37164351852</v>
      </c>
      <c r="C722" s="18">
        <v>45862</v>
      </c>
      <c r="D722" s="10" t="s">
        <v>551</v>
      </c>
      <c r="E722" s="5">
        <v>0</v>
      </c>
      <c r="F722" s="15">
        <v>1000</v>
      </c>
      <c r="G722" s="5">
        <v>3000</v>
      </c>
      <c r="H722" s="10" t="s">
        <v>51</v>
      </c>
      <c r="I722" s="10" t="s">
        <v>71</v>
      </c>
      <c r="J722" s="10" t="s">
        <v>31</v>
      </c>
      <c r="K722" s="10" t="s">
        <v>19</v>
      </c>
      <c r="L722" s="10" t="s">
        <v>1005</v>
      </c>
    </row>
    <row r="723" spans="1:12" x14ac:dyDescent="0.35">
      <c r="A723" s="9">
        <v>722</v>
      </c>
      <c r="B723" s="19">
        <v>45862.372071759259</v>
      </c>
      <c r="C723" s="20">
        <v>45862</v>
      </c>
      <c r="D723" s="8" t="s">
        <v>1006</v>
      </c>
      <c r="E723" s="12">
        <v>20250</v>
      </c>
      <c r="F723" s="3">
        <v>0</v>
      </c>
      <c r="G723" s="3">
        <v>0</v>
      </c>
      <c r="H723" s="8" t="s">
        <v>51</v>
      </c>
      <c r="I723" s="8" t="s">
        <v>52</v>
      </c>
      <c r="J723" s="8" t="s">
        <v>30</v>
      </c>
      <c r="K723" s="8" t="s">
        <v>19</v>
      </c>
      <c r="L723" s="8" t="s">
        <v>1007</v>
      </c>
    </row>
    <row r="724" spans="1:12" x14ac:dyDescent="0.35">
      <c r="A724" s="11">
        <v>723</v>
      </c>
      <c r="B724" s="17">
        <v>45862.372118055559</v>
      </c>
      <c r="C724" s="18">
        <v>45862</v>
      </c>
      <c r="D724" s="10" t="s">
        <v>394</v>
      </c>
      <c r="E724" s="5">
        <v>0</v>
      </c>
      <c r="F724" s="15">
        <v>17250</v>
      </c>
      <c r="G724" s="5">
        <v>20250</v>
      </c>
      <c r="H724" s="10" t="s">
        <v>51</v>
      </c>
      <c r="I724" s="10" t="s">
        <v>71</v>
      </c>
      <c r="J724" s="10" t="s">
        <v>32</v>
      </c>
      <c r="K724" s="10" t="s">
        <v>19</v>
      </c>
      <c r="L724" s="10" t="s">
        <v>1008</v>
      </c>
    </row>
    <row r="725" spans="1:12" x14ac:dyDescent="0.35">
      <c r="A725" s="9">
        <v>724</v>
      </c>
      <c r="B725" s="19">
        <v>45862.421446759261</v>
      </c>
      <c r="C725" s="20">
        <v>45862</v>
      </c>
      <c r="D725" s="8" t="s">
        <v>1009</v>
      </c>
      <c r="E725" s="3">
        <v>0</v>
      </c>
      <c r="F725" s="13">
        <v>50000</v>
      </c>
      <c r="G725" s="3">
        <v>50000</v>
      </c>
      <c r="H725" s="8" t="s">
        <v>51</v>
      </c>
      <c r="I725" s="8" t="s">
        <v>71</v>
      </c>
      <c r="J725" s="8" t="s">
        <v>31</v>
      </c>
      <c r="K725" s="8" t="s">
        <v>19</v>
      </c>
      <c r="L725" s="8" t="s">
        <v>1010</v>
      </c>
    </row>
    <row r="726" spans="1:12" x14ac:dyDescent="0.35">
      <c r="A726" s="11">
        <v>725</v>
      </c>
      <c r="B726" s="17">
        <v>45862.421469907407</v>
      </c>
      <c r="C726" s="18">
        <v>45862</v>
      </c>
      <c r="D726" s="10" t="s">
        <v>79</v>
      </c>
      <c r="E726" s="14">
        <v>50</v>
      </c>
      <c r="F726" s="5">
        <v>0</v>
      </c>
      <c r="G726" s="5">
        <v>49950</v>
      </c>
      <c r="H726" s="10" t="s">
        <v>51</v>
      </c>
      <c r="I726" s="10" t="s">
        <v>52</v>
      </c>
      <c r="J726" s="10" t="s">
        <v>36</v>
      </c>
      <c r="K726" s="10" t="s">
        <v>19</v>
      </c>
      <c r="L726" s="10" t="s">
        <v>1011</v>
      </c>
    </row>
    <row r="727" spans="1:12" x14ac:dyDescent="0.35">
      <c r="A727" s="9">
        <v>726</v>
      </c>
      <c r="B727" s="19">
        <v>45862.437650462962</v>
      </c>
      <c r="C727" s="20">
        <v>45862</v>
      </c>
      <c r="D727" s="8" t="s">
        <v>1012</v>
      </c>
      <c r="E727" s="12">
        <v>17400</v>
      </c>
      <c r="F727" s="3">
        <v>0</v>
      </c>
      <c r="G727" s="3">
        <v>32550</v>
      </c>
      <c r="H727" s="8" t="s">
        <v>33</v>
      </c>
      <c r="I727" s="8" t="s">
        <v>52</v>
      </c>
      <c r="J727" s="8" t="s">
        <v>34</v>
      </c>
      <c r="K727" s="8" t="s">
        <v>19</v>
      </c>
      <c r="L727" s="8" t="s">
        <v>1013</v>
      </c>
    </row>
    <row r="728" spans="1:12" x14ac:dyDescent="0.35">
      <c r="A728" s="11">
        <v>727</v>
      </c>
      <c r="B728" s="17">
        <v>45862.447280092587</v>
      </c>
      <c r="C728" s="18">
        <v>45862</v>
      </c>
      <c r="D728" s="10" t="s">
        <v>1014</v>
      </c>
      <c r="E728" s="14">
        <v>5500</v>
      </c>
      <c r="F728" s="5">
        <v>0</v>
      </c>
      <c r="G728" s="5">
        <v>27050</v>
      </c>
      <c r="H728" s="10" t="s">
        <v>33</v>
      </c>
      <c r="I728" s="10" t="s">
        <v>52</v>
      </c>
      <c r="J728" s="10" t="s">
        <v>34</v>
      </c>
      <c r="K728" s="10" t="s">
        <v>19</v>
      </c>
      <c r="L728" s="10" t="s">
        <v>1015</v>
      </c>
    </row>
    <row r="729" spans="1:12" x14ac:dyDescent="0.35">
      <c r="A729" s="9">
        <v>728</v>
      </c>
      <c r="B729" s="19">
        <v>45862.492789351847</v>
      </c>
      <c r="C729" s="20">
        <v>45862</v>
      </c>
      <c r="D729" s="8" t="s">
        <v>1016</v>
      </c>
      <c r="E729" s="12">
        <v>2000</v>
      </c>
      <c r="F729" s="3">
        <v>0</v>
      </c>
      <c r="G729" s="3">
        <v>25050</v>
      </c>
      <c r="H729" s="8" t="s">
        <v>51</v>
      </c>
      <c r="I729" s="8" t="s">
        <v>52</v>
      </c>
      <c r="J729" s="8" t="s">
        <v>30</v>
      </c>
      <c r="K729" s="8" t="s">
        <v>19</v>
      </c>
      <c r="L729" s="8" t="s">
        <v>1017</v>
      </c>
    </row>
    <row r="730" spans="1:12" x14ac:dyDescent="0.35">
      <c r="A730" s="11">
        <v>729</v>
      </c>
      <c r="B730" s="17">
        <v>45862.640972222223</v>
      </c>
      <c r="C730" s="18">
        <v>45862</v>
      </c>
      <c r="D730" s="10" t="s">
        <v>382</v>
      </c>
      <c r="E730" s="14">
        <v>6000</v>
      </c>
      <c r="F730" s="5">
        <v>0</v>
      </c>
      <c r="G730" s="5">
        <v>19050</v>
      </c>
      <c r="H730" s="10" t="s">
        <v>51</v>
      </c>
      <c r="I730" s="10" t="s">
        <v>52</v>
      </c>
      <c r="J730" s="10" t="s">
        <v>30</v>
      </c>
      <c r="K730" s="10" t="s">
        <v>19</v>
      </c>
      <c r="L730" s="10" t="s">
        <v>1018</v>
      </c>
    </row>
    <row r="731" spans="1:12" x14ac:dyDescent="0.35">
      <c r="A731" s="9">
        <v>730</v>
      </c>
      <c r="B731" s="19">
        <v>45862.926076388889</v>
      </c>
      <c r="C731" s="20">
        <v>45862</v>
      </c>
      <c r="D731" s="8" t="s">
        <v>426</v>
      </c>
      <c r="E731" s="12">
        <v>19050</v>
      </c>
      <c r="F731" s="3">
        <v>0</v>
      </c>
      <c r="G731" s="3">
        <v>0</v>
      </c>
      <c r="H731" s="8" t="s">
        <v>51</v>
      </c>
      <c r="I731" s="8" t="s">
        <v>52</v>
      </c>
      <c r="J731" s="8" t="s">
        <v>32</v>
      </c>
      <c r="K731" s="8" t="s">
        <v>19</v>
      </c>
      <c r="L731" s="8" t="s">
        <v>1019</v>
      </c>
    </row>
    <row r="732" spans="1:12" x14ac:dyDescent="0.35">
      <c r="A732" s="11">
        <v>731</v>
      </c>
      <c r="B732" s="17">
        <v>45863.211597222216</v>
      </c>
      <c r="C732" s="18">
        <v>45863</v>
      </c>
      <c r="D732" s="10" t="s">
        <v>394</v>
      </c>
      <c r="E732" s="5">
        <v>0</v>
      </c>
      <c r="F732" s="15">
        <v>500</v>
      </c>
      <c r="G732" s="5">
        <v>500</v>
      </c>
      <c r="H732" s="10" t="s">
        <v>51</v>
      </c>
      <c r="I732" s="10" t="s">
        <v>71</v>
      </c>
      <c r="J732" s="10" t="s">
        <v>32</v>
      </c>
      <c r="K732" s="10" t="s">
        <v>19</v>
      </c>
      <c r="L732" s="10" t="s">
        <v>1020</v>
      </c>
    </row>
    <row r="733" spans="1:12" x14ac:dyDescent="0.35">
      <c r="A733" s="9">
        <v>732</v>
      </c>
      <c r="B733" s="19">
        <v>45863.211597222216</v>
      </c>
      <c r="C733" s="20">
        <v>45863</v>
      </c>
      <c r="D733" s="8" t="s">
        <v>342</v>
      </c>
      <c r="E733" s="12">
        <v>500</v>
      </c>
      <c r="F733" s="3">
        <v>0</v>
      </c>
      <c r="G733" s="3">
        <v>0</v>
      </c>
      <c r="H733" s="8" t="s">
        <v>51</v>
      </c>
      <c r="I733" s="8" t="s">
        <v>52</v>
      </c>
      <c r="J733" s="8" t="s">
        <v>33</v>
      </c>
      <c r="K733" s="8" t="s">
        <v>19</v>
      </c>
      <c r="L733" s="8" t="s">
        <v>1021</v>
      </c>
    </row>
    <row r="734" spans="1:12" x14ac:dyDescent="0.35">
      <c r="A734" s="11">
        <v>733</v>
      </c>
      <c r="B734" s="17">
        <v>45863.355416666673</v>
      </c>
      <c r="C734" s="18">
        <v>45863</v>
      </c>
      <c r="D734" s="10" t="s">
        <v>1022</v>
      </c>
      <c r="E734" s="14">
        <v>1000</v>
      </c>
      <c r="F734" s="5">
        <v>0</v>
      </c>
      <c r="G734" s="5">
        <v>0</v>
      </c>
      <c r="H734" s="10" t="s">
        <v>33</v>
      </c>
      <c r="I734" s="10" t="s">
        <v>52</v>
      </c>
      <c r="J734" s="10" t="s">
        <v>34</v>
      </c>
      <c r="K734" s="10" t="s">
        <v>19</v>
      </c>
      <c r="L734" s="10" t="s">
        <v>1023</v>
      </c>
    </row>
    <row r="735" spans="1:12" x14ac:dyDescent="0.35">
      <c r="A735" s="9">
        <v>734</v>
      </c>
      <c r="B735" s="19">
        <v>45863.355416666673</v>
      </c>
      <c r="C735" s="20">
        <v>45863</v>
      </c>
      <c r="D735" s="8" t="s">
        <v>394</v>
      </c>
      <c r="E735" s="3">
        <v>0</v>
      </c>
      <c r="F735" s="13">
        <v>1000</v>
      </c>
      <c r="G735" s="3">
        <v>1000</v>
      </c>
      <c r="H735" s="8" t="s">
        <v>51</v>
      </c>
      <c r="I735" s="8" t="s">
        <v>71</v>
      </c>
      <c r="J735" s="8" t="s">
        <v>32</v>
      </c>
      <c r="K735" s="8" t="s">
        <v>19</v>
      </c>
      <c r="L735" s="8" t="s">
        <v>1024</v>
      </c>
    </row>
    <row r="736" spans="1:12" x14ac:dyDescent="0.35">
      <c r="A736" s="11">
        <v>735</v>
      </c>
      <c r="B736" s="17">
        <v>45863.739328703698</v>
      </c>
      <c r="C736" s="18">
        <v>45863</v>
      </c>
      <c r="D736" s="10" t="s">
        <v>339</v>
      </c>
      <c r="E736" s="14">
        <v>472.5</v>
      </c>
      <c r="F736" s="5">
        <v>0</v>
      </c>
      <c r="G736" s="5">
        <v>0</v>
      </c>
      <c r="H736" s="10" t="s">
        <v>51</v>
      </c>
      <c r="I736" s="10" t="s">
        <v>52</v>
      </c>
      <c r="J736" s="10" t="s">
        <v>36</v>
      </c>
      <c r="K736" s="10" t="s">
        <v>19</v>
      </c>
      <c r="L736" s="10" t="s">
        <v>1025</v>
      </c>
    </row>
    <row r="737" spans="1:12" x14ac:dyDescent="0.35">
      <c r="A737" s="9">
        <v>736</v>
      </c>
      <c r="B737" s="19">
        <v>45863.739398148151</v>
      </c>
      <c r="C737" s="20">
        <v>45863</v>
      </c>
      <c r="D737" s="8" t="s">
        <v>394</v>
      </c>
      <c r="E737" s="3">
        <v>0</v>
      </c>
      <c r="F737" s="13">
        <v>472.5</v>
      </c>
      <c r="G737" s="3">
        <v>472.5</v>
      </c>
      <c r="H737" s="8" t="s">
        <v>51</v>
      </c>
      <c r="I737" s="8" t="s">
        <v>71</v>
      </c>
      <c r="J737" s="8" t="s">
        <v>32</v>
      </c>
      <c r="K737" s="8" t="s">
        <v>19</v>
      </c>
      <c r="L737" s="8" t="s">
        <v>1026</v>
      </c>
    </row>
    <row r="738" spans="1:12" x14ac:dyDescent="0.35">
      <c r="A738" s="11">
        <v>737</v>
      </c>
      <c r="B738" s="17">
        <v>45863.764513888891</v>
      </c>
      <c r="C738" s="18">
        <v>45863</v>
      </c>
      <c r="D738" s="10" t="s">
        <v>1027</v>
      </c>
      <c r="E738" s="14">
        <v>2100</v>
      </c>
      <c r="F738" s="5">
        <v>0</v>
      </c>
      <c r="G738" s="5">
        <v>0</v>
      </c>
      <c r="H738" s="10" t="s">
        <v>33</v>
      </c>
      <c r="I738" s="10" t="s">
        <v>52</v>
      </c>
      <c r="J738" s="10" t="s">
        <v>34</v>
      </c>
      <c r="K738" s="10" t="s">
        <v>19</v>
      </c>
      <c r="L738" s="10" t="s">
        <v>1028</v>
      </c>
    </row>
    <row r="739" spans="1:12" x14ac:dyDescent="0.35">
      <c r="A739" s="9">
        <v>738</v>
      </c>
      <c r="B739" s="19">
        <v>45863.764513888891</v>
      </c>
      <c r="C739" s="20">
        <v>45863</v>
      </c>
      <c r="D739" s="8" t="s">
        <v>394</v>
      </c>
      <c r="E739" s="3">
        <v>0</v>
      </c>
      <c r="F739" s="13">
        <v>2100</v>
      </c>
      <c r="G739" s="3">
        <v>2100</v>
      </c>
      <c r="H739" s="8" t="s">
        <v>51</v>
      </c>
      <c r="I739" s="8" t="s">
        <v>71</v>
      </c>
      <c r="J739" s="8" t="s">
        <v>32</v>
      </c>
      <c r="K739" s="8" t="s">
        <v>19</v>
      </c>
      <c r="L739" s="8" t="s">
        <v>1029</v>
      </c>
    </row>
    <row r="740" spans="1:12" x14ac:dyDescent="0.35">
      <c r="A740" s="11">
        <v>739</v>
      </c>
      <c r="B740" s="17">
        <v>45864.211388888893</v>
      </c>
      <c r="C740" s="18">
        <v>45864</v>
      </c>
      <c r="D740" s="10" t="s">
        <v>394</v>
      </c>
      <c r="E740" s="5">
        <v>0</v>
      </c>
      <c r="F740" s="15">
        <v>500</v>
      </c>
      <c r="G740" s="5">
        <v>500</v>
      </c>
      <c r="H740" s="10" t="s">
        <v>51</v>
      </c>
      <c r="I740" s="10" t="s">
        <v>71</v>
      </c>
      <c r="J740" s="10" t="s">
        <v>32</v>
      </c>
      <c r="K740" s="10" t="s">
        <v>19</v>
      </c>
      <c r="L740" s="10" t="s">
        <v>1030</v>
      </c>
    </row>
    <row r="741" spans="1:12" x14ac:dyDescent="0.35">
      <c r="A741" s="9">
        <v>740</v>
      </c>
      <c r="B741" s="19">
        <v>45864.211388888893</v>
      </c>
      <c r="C741" s="20">
        <v>45864</v>
      </c>
      <c r="D741" s="8" t="s">
        <v>342</v>
      </c>
      <c r="E741" s="12">
        <v>500</v>
      </c>
      <c r="F741" s="3">
        <v>0</v>
      </c>
      <c r="G741" s="3">
        <v>0</v>
      </c>
      <c r="H741" s="8" t="s">
        <v>51</v>
      </c>
      <c r="I741" s="8" t="s">
        <v>52</v>
      </c>
      <c r="J741" s="8" t="s">
        <v>33</v>
      </c>
      <c r="K741" s="8" t="s">
        <v>19</v>
      </c>
      <c r="L741" s="8" t="s">
        <v>1031</v>
      </c>
    </row>
    <row r="742" spans="1:12" x14ac:dyDescent="0.35">
      <c r="A742" s="11">
        <v>741</v>
      </c>
      <c r="B742" s="17">
        <v>45864.571342592593</v>
      </c>
      <c r="C742" s="18">
        <v>45864</v>
      </c>
      <c r="D742" s="10" t="s">
        <v>1032</v>
      </c>
      <c r="E742" s="14">
        <v>3000</v>
      </c>
      <c r="F742" s="5">
        <v>0</v>
      </c>
      <c r="G742" s="5">
        <v>0</v>
      </c>
      <c r="H742" s="10" t="s">
        <v>51</v>
      </c>
      <c r="I742" s="10" t="s">
        <v>52</v>
      </c>
      <c r="J742" s="10" t="s">
        <v>30</v>
      </c>
      <c r="K742" s="10" t="s">
        <v>19</v>
      </c>
      <c r="L742" s="10" t="s">
        <v>1033</v>
      </c>
    </row>
    <row r="743" spans="1:12" x14ac:dyDescent="0.35">
      <c r="A743" s="9">
        <v>742</v>
      </c>
      <c r="B743" s="19">
        <v>45864.571388888893</v>
      </c>
      <c r="C743" s="20">
        <v>45864</v>
      </c>
      <c r="D743" s="8" t="s">
        <v>394</v>
      </c>
      <c r="E743" s="3">
        <v>0</v>
      </c>
      <c r="F743" s="13">
        <v>3000</v>
      </c>
      <c r="G743" s="3">
        <v>3000</v>
      </c>
      <c r="H743" s="8" t="s">
        <v>51</v>
      </c>
      <c r="I743" s="8" t="s">
        <v>71</v>
      </c>
      <c r="J743" s="8" t="s">
        <v>32</v>
      </c>
      <c r="K743" s="8" t="s">
        <v>19</v>
      </c>
      <c r="L743" s="8" t="s">
        <v>1034</v>
      </c>
    </row>
    <row r="744" spans="1:12" x14ac:dyDescent="0.35">
      <c r="A744" s="11">
        <v>743</v>
      </c>
      <c r="B744" s="17">
        <v>45864.587870370371</v>
      </c>
      <c r="C744" s="18">
        <v>45864</v>
      </c>
      <c r="D744" s="10" t="s">
        <v>1035</v>
      </c>
      <c r="E744" s="14">
        <v>3000</v>
      </c>
      <c r="F744" s="5">
        <v>0</v>
      </c>
      <c r="G744" s="5">
        <v>0</v>
      </c>
      <c r="H744" s="10" t="s">
        <v>51</v>
      </c>
      <c r="I744" s="10" t="s">
        <v>52</v>
      </c>
      <c r="J744" s="10" t="s">
        <v>30</v>
      </c>
      <c r="K744" s="10" t="s">
        <v>19</v>
      </c>
      <c r="L744" s="10" t="s">
        <v>1036</v>
      </c>
    </row>
    <row r="745" spans="1:12" x14ac:dyDescent="0.35">
      <c r="A745" s="9">
        <v>744</v>
      </c>
      <c r="B745" s="19">
        <v>45864.58792824074</v>
      </c>
      <c r="C745" s="20">
        <v>45864</v>
      </c>
      <c r="D745" s="8" t="s">
        <v>394</v>
      </c>
      <c r="E745" s="3">
        <v>0</v>
      </c>
      <c r="F745" s="13">
        <v>3000</v>
      </c>
      <c r="G745" s="3">
        <v>3000</v>
      </c>
      <c r="H745" s="8" t="s">
        <v>51</v>
      </c>
      <c r="I745" s="8" t="s">
        <v>71</v>
      </c>
      <c r="J745" s="8" t="s">
        <v>32</v>
      </c>
      <c r="K745" s="8" t="s">
        <v>19</v>
      </c>
      <c r="L745" s="8" t="s">
        <v>1037</v>
      </c>
    </row>
    <row r="746" spans="1:12" x14ac:dyDescent="0.35">
      <c r="A746" s="11">
        <v>745</v>
      </c>
      <c r="B746" s="17">
        <v>45864.66814814815</v>
      </c>
      <c r="C746" s="18">
        <v>45864</v>
      </c>
      <c r="D746" s="10" t="s">
        <v>1038</v>
      </c>
      <c r="E746" s="14">
        <v>7680</v>
      </c>
      <c r="F746" s="5">
        <v>0</v>
      </c>
      <c r="G746" s="5">
        <v>0</v>
      </c>
      <c r="H746" s="10" t="s">
        <v>33</v>
      </c>
      <c r="I746" s="10" t="s">
        <v>52</v>
      </c>
      <c r="J746" s="10" t="s">
        <v>34</v>
      </c>
      <c r="K746" s="10" t="s">
        <v>19</v>
      </c>
      <c r="L746" s="10" t="s">
        <v>1039</v>
      </c>
    </row>
    <row r="747" spans="1:12" x14ac:dyDescent="0.35">
      <c r="A747" s="9">
        <v>746</v>
      </c>
      <c r="B747" s="19">
        <v>45864.66814814815</v>
      </c>
      <c r="C747" s="20">
        <v>45864</v>
      </c>
      <c r="D747" s="8" t="s">
        <v>394</v>
      </c>
      <c r="E747" s="3">
        <v>0</v>
      </c>
      <c r="F747" s="13">
        <v>7680</v>
      </c>
      <c r="G747" s="3">
        <v>7680</v>
      </c>
      <c r="H747" s="8" t="s">
        <v>51</v>
      </c>
      <c r="I747" s="8" t="s">
        <v>71</v>
      </c>
      <c r="J747" s="8" t="s">
        <v>32</v>
      </c>
      <c r="K747" s="8" t="s">
        <v>19</v>
      </c>
      <c r="L747" s="8" t="s">
        <v>1040</v>
      </c>
    </row>
    <row r="748" spans="1:12" x14ac:dyDescent="0.35">
      <c r="A748" s="11">
        <v>747</v>
      </c>
      <c r="B748" s="17">
        <v>45865.211423611108</v>
      </c>
      <c r="C748" s="18">
        <v>45865</v>
      </c>
      <c r="D748" s="10" t="s">
        <v>394</v>
      </c>
      <c r="E748" s="5">
        <v>0</v>
      </c>
      <c r="F748" s="15">
        <v>500</v>
      </c>
      <c r="G748" s="5">
        <v>500</v>
      </c>
      <c r="H748" s="10" t="s">
        <v>51</v>
      </c>
      <c r="I748" s="10" t="s">
        <v>71</v>
      </c>
      <c r="J748" s="10" t="s">
        <v>32</v>
      </c>
      <c r="K748" s="10" t="s">
        <v>19</v>
      </c>
      <c r="L748" s="10" t="s">
        <v>1041</v>
      </c>
    </row>
    <row r="749" spans="1:12" x14ac:dyDescent="0.35">
      <c r="A749" s="9">
        <v>748</v>
      </c>
      <c r="B749" s="19">
        <v>45865.211423611108</v>
      </c>
      <c r="C749" s="20">
        <v>45865</v>
      </c>
      <c r="D749" s="8" t="s">
        <v>342</v>
      </c>
      <c r="E749" s="12">
        <v>500</v>
      </c>
      <c r="F749" s="3">
        <v>0</v>
      </c>
      <c r="G749" s="3">
        <v>0</v>
      </c>
      <c r="H749" s="8" t="s">
        <v>51</v>
      </c>
      <c r="I749" s="8" t="s">
        <v>52</v>
      </c>
      <c r="J749" s="8" t="s">
        <v>33</v>
      </c>
      <c r="K749" s="8" t="s">
        <v>19</v>
      </c>
      <c r="L749" s="8" t="s">
        <v>1042</v>
      </c>
    </row>
    <row r="750" spans="1:12" x14ac:dyDescent="0.35">
      <c r="A750" s="11">
        <v>749</v>
      </c>
      <c r="B750" s="17">
        <v>45865.697743055563</v>
      </c>
      <c r="C750" s="18">
        <v>45865</v>
      </c>
      <c r="D750" s="10" t="s">
        <v>551</v>
      </c>
      <c r="E750" s="5">
        <v>0</v>
      </c>
      <c r="F750" s="15">
        <v>10000</v>
      </c>
      <c r="G750" s="5">
        <v>10000</v>
      </c>
      <c r="H750" s="10" t="s">
        <v>51</v>
      </c>
      <c r="I750" s="10" t="s">
        <v>71</v>
      </c>
      <c r="J750" s="10" t="s">
        <v>31</v>
      </c>
      <c r="K750" s="10" t="s">
        <v>19</v>
      </c>
      <c r="L750" s="10" t="s">
        <v>1043</v>
      </c>
    </row>
    <row r="751" spans="1:12" x14ac:dyDescent="0.35">
      <c r="A751" s="9">
        <v>750</v>
      </c>
      <c r="B751" s="19">
        <v>45865.697766203702</v>
      </c>
      <c r="C751" s="20">
        <v>45865</v>
      </c>
      <c r="D751" s="8" t="s">
        <v>79</v>
      </c>
      <c r="E751" s="12">
        <v>50</v>
      </c>
      <c r="F751" s="3">
        <v>0</v>
      </c>
      <c r="G751" s="3">
        <v>9950</v>
      </c>
      <c r="H751" s="8" t="s">
        <v>51</v>
      </c>
      <c r="I751" s="8" t="s">
        <v>52</v>
      </c>
      <c r="J751" s="8" t="s">
        <v>36</v>
      </c>
      <c r="K751" s="8" t="s">
        <v>19</v>
      </c>
      <c r="L751" s="8" t="s">
        <v>1044</v>
      </c>
    </row>
    <row r="752" spans="1:12" x14ac:dyDescent="0.35">
      <c r="A752" s="11">
        <v>751</v>
      </c>
      <c r="B752" s="17">
        <v>45865.702581018522</v>
      </c>
      <c r="C752" s="18">
        <v>45865</v>
      </c>
      <c r="D752" s="10" t="s">
        <v>890</v>
      </c>
      <c r="E752" s="14">
        <v>3000</v>
      </c>
      <c r="F752" s="5">
        <v>0</v>
      </c>
      <c r="G752" s="5">
        <v>6950</v>
      </c>
      <c r="H752" s="10" t="s">
        <v>51</v>
      </c>
      <c r="I752" s="10" t="s">
        <v>52</v>
      </c>
      <c r="J752" s="10" t="s">
        <v>30</v>
      </c>
      <c r="K752" s="10" t="s">
        <v>19</v>
      </c>
      <c r="L752" s="10" t="s">
        <v>1045</v>
      </c>
    </row>
    <row r="753" spans="1:12" x14ac:dyDescent="0.35">
      <c r="A753" s="9">
        <v>752</v>
      </c>
      <c r="B753" s="19">
        <v>45865.70548611111</v>
      </c>
      <c r="C753" s="20">
        <v>45865</v>
      </c>
      <c r="D753" s="8" t="s">
        <v>1046</v>
      </c>
      <c r="E753" s="12">
        <v>2100</v>
      </c>
      <c r="F753" s="3">
        <v>0</v>
      </c>
      <c r="G753" s="3">
        <v>4850</v>
      </c>
      <c r="H753" s="8" t="s">
        <v>51</v>
      </c>
      <c r="I753" s="8" t="s">
        <v>52</v>
      </c>
      <c r="J753" s="8" t="s">
        <v>30</v>
      </c>
      <c r="K753" s="8" t="s">
        <v>19</v>
      </c>
      <c r="L753" s="8" t="s">
        <v>1047</v>
      </c>
    </row>
    <row r="754" spans="1:12" x14ac:dyDescent="0.35">
      <c r="A754" s="11">
        <v>753</v>
      </c>
      <c r="B754" s="17">
        <v>45865.925162037027</v>
      </c>
      <c r="C754" s="18">
        <v>45865</v>
      </c>
      <c r="D754" s="10" t="s">
        <v>426</v>
      </c>
      <c r="E754" s="14">
        <v>4850</v>
      </c>
      <c r="F754" s="5">
        <v>0</v>
      </c>
      <c r="G754" s="5">
        <v>0</v>
      </c>
      <c r="H754" s="10" t="s">
        <v>51</v>
      </c>
      <c r="I754" s="10" t="s">
        <v>52</v>
      </c>
      <c r="J754" s="10" t="s">
        <v>32</v>
      </c>
      <c r="K754" s="10" t="s">
        <v>19</v>
      </c>
      <c r="L754" s="10" t="s">
        <v>1048</v>
      </c>
    </row>
    <row r="755" spans="1:12" x14ac:dyDescent="0.35">
      <c r="A755" s="9">
        <v>754</v>
      </c>
      <c r="B755" s="19">
        <v>45866.211331018523</v>
      </c>
      <c r="C755" s="20">
        <v>45866</v>
      </c>
      <c r="D755" s="8" t="s">
        <v>394</v>
      </c>
      <c r="E755" s="3">
        <v>0</v>
      </c>
      <c r="F755" s="13">
        <v>500</v>
      </c>
      <c r="G755" s="3">
        <v>500</v>
      </c>
      <c r="H755" s="8" t="s">
        <v>51</v>
      </c>
      <c r="I755" s="8" t="s">
        <v>71</v>
      </c>
      <c r="J755" s="8" t="s">
        <v>32</v>
      </c>
      <c r="K755" s="8" t="s">
        <v>19</v>
      </c>
      <c r="L755" s="8" t="s">
        <v>1049</v>
      </c>
    </row>
    <row r="756" spans="1:12" x14ac:dyDescent="0.35">
      <c r="A756" s="11">
        <v>755</v>
      </c>
      <c r="B756" s="17">
        <v>45866.211331018523</v>
      </c>
      <c r="C756" s="18">
        <v>45866</v>
      </c>
      <c r="D756" s="10" t="s">
        <v>342</v>
      </c>
      <c r="E756" s="14">
        <v>500</v>
      </c>
      <c r="F756" s="5">
        <v>0</v>
      </c>
      <c r="G756" s="5">
        <v>0</v>
      </c>
      <c r="H756" s="10" t="s">
        <v>51</v>
      </c>
      <c r="I756" s="10" t="s">
        <v>52</v>
      </c>
      <c r="J756" s="10" t="s">
        <v>33</v>
      </c>
      <c r="K756" s="10" t="s">
        <v>19</v>
      </c>
      <c r="L756" s="10" t="s">
        <v>1050</v>
      </c>
    </row>
    <row r="757" spans="1:12" x14ac:dyDescent="0.35">
      <c r="A757" s="9">
        <v>756</v>
      </c>
      <c r="B757" s="19">
        <v>45866.407789351862</v>
      </c>
      <c r="C757" s="20">
        <v>45866</v>
      </c>
      <c r="D757" s="8" t="s">
        <v>339</v>
      </c>
      <c r="E757" s="12">
        <v>490</v>
      </c>
      <c r="F757" s="3">
        <v>0</v>
      </c>
      <c r="G757" s="3">
        <v>0</v>
      </c>
      <c r="H757" s="8" t="s">
        <v>51</v>
      </c>
      <c r="I757" s="8" t="s">
        <v>52</v>
      </c>
      <c r="J757" s="8" t="s">
        <v>36</v>
      </c>
      <c r="K757" s="8" t="s">
        <v>19</v>
      </c>
      <c r="L757" s="8" t="s">
        <v>1051</v>
      </c>
    </row>
    <row r="758" spans="1:12" x14ac:dyDescent="0.35">
      <c r="A758" s="11">
        <v>757</v>
      </c>
      <c r="B758" s="17">
        <v>45866.407847222217</v>
      </c>
      <c r="C758" s="18">
        <v>45866</v>
      </c>
      <c r="D758" s="10" t="s">
        <v>394</v>
      </c>
      <c r="E758" s="5">
        <v>0</v>
      </c>
      <c r="F758" s="15">
        <v>490</v>
      </c>
      <c r="G758" s="5">
        <v>490</v>
      </c>
      <c r="H758" s="10" t="s">
        <v>51</v>
      </c>
      <c r="I758" s="10" t="s">
        <v>71</v>
      </c>
      <c r="J758" s="10" t="s">
        <v>32</v>
      </c>
      <c r="K758" s="10" t="s">
        <v>19</v>
      </c>
      <c r="L758" s="10" t="s">
        <v>1052</v>
      </c>
    </row>
    <row r="759" spans="1:12" x14ac:dyDescent="0.35">
      <c r="A759" s="9">
        <v>758</v>
      </c>
      <c r="B759" s="19">
        <v>45866.558437500003</v>
      </c>
      <c r="C759" s="20">
        <v>45866</v>
      </c>
      <c r="D759" s="8" t="s">
        <v>1053</v>
      </c>
      <c r="E759" s="12">
        <v>1500</v>
      </c>
      <c r="F759" s="3">
        <v>0</v>
      </c>
      <c r="G759" s="3">
        <v>0</v>
      </c>
      <c r="H759" s="8" t="s">
        <v>33</v>
      </c>
      <c r="I759" s="8" t="s">
        <v>52</v>
      </c>
      <c r="J759" s="8" t="s">
        <v>34</v>
      </c>
      <c r="K759" s="8" t="s">
        <v>19</v>
      </c>
      <c r="L759" s="8" t="s">
        <v>1054</v>
      </c>
    </row>
    <row r="760" spans="1:12" x14ac:dyDescent="0.35">
      <c r="A760" s="11">
        <v>759</v>
      </c>
      <c r="B760" s="17">
        <v>45866.558437500003</v>
      </c>
      <c r="C760" s="18">
        <v>45866</v>
      </c>
      <c r="D760" s="10" t="s">
        <v>394</v>
      </c>
      <c r="E760" s="5">
        <v>0</v>
      </c>
      <c r="F760" s="15">
        <v>1500</v>
      </c>
      <c r="G760" s="5">
        <v>1500</v>
      </c>
      <c r="H760" s="10" t="s">
        <v>51</v>
      </c>
      <c r="I760" s="10" t="s">
        <v>71</v>
      </c>
      <c r="J760" s="10" t="s">
        <v>32</v>
      </c>
      <c r="K760" s="10" t="s">
        <v>19</v>
      </c>
      <c r="L760" s="10" t="s">
        <v>1055</v>
      </c>
    </row>
    <row r="761" spans="1:12" x14ac:dyDescent="0.35">
      <c r="A761" s="9">
        <v>760</v>
      </c>
      <c r="B761" s="19">
        <v>45867.211261574077</v>
      </c>
      <c r="C761" s="20">
        <v>45867</v>
      </c>
      <c r="D761" s="8" t="s">
        <v>394</v>
      </c>
      <c r="E761" s="3">
        <v>0</v>
      </c>
      <c r="F761" s="13">
        <v>500</v>
      </c>
      <c r="G761" s="3">
        <v>500</v>
      </c>
      <c r="H761" s="8" t="s">
        <v>51</v>
      </c>
      <c r="I761" s="8" t="s">
        <v>71</v>
      </c>
      <c r="J761" s="8" t="s">
        <v>32</v>
      </c>
      <c r="K761" s="8" t="s">
        <v>19</v>
      </c>
      <c r="L761" s="8" t="s">
        <v>1056</v>
      </c>
    </row>
    <row r="762" spans="1:12" x14ac:dyDescent="0.35">
      <c r="A762" s="11">
        <v>761</v>
      </c>
      <c r="B762" s="17">
        <v>45867.211261574077</v>
      </c>
      <c r="C762" s="18">
        <v>45867</v>
      </c>
      <c r="D762" s="10" t="s">
        <v>342</v>
      </c>
      <c r="E762" s="14">
        <v>500</v>
      </c>
      <c r="F762" s="5">
        <v>0</v>
      </c>
      <c r="G762" s="5">
        <v>0</v>
      </c>
      <c r="H762" s="10" t="s">
        <v>51</v>
      </c>
      <c r="I762" s="10" t="s">
        <v>52</v>
      </c>
      <c r="J762" s="10" t="s">
        <v>33</v>
      </c>
      <c r="K762" s="10" t="s">
        <v>19</v>
      </c>
      <c r="L762" s="10" t="s">
        <v>1057</v>
      </c>
    </row>
    <row r="763" spans="1:12" x14ac:dyDescent="0.35">
      <c r="A763" s="9">
        <v>762</v>
      </c>
      <c r="B763" s="19">
        <v>45867.569513888891</v>
      </c>
      <c r="C763" s="20">
        <v>45867</v>
      </c>
      <c r="D763" s="8" t="s">
        <v>339</v>
      </c>
      <c r="E763" s="12">
        <v>500</v>
      </c>
      <c r="F763" s="3">
        <v>0</v>
      </c>
      <c r="G763" s="3">
        <v>0</v>
      </c>
      <c r="H763" s="8" t="s">
        <v>51</v>
      </c>
      <c r="I763" s="8" t="s">
        <v>52</v>
      </c>
      <c r="J763" s="8" t="s">
        <v>36</v>
      </c>
      <c r="K763" s="8" t="s">
        <v>19</v>
      </c>
      <c r="L763" s="8" t="s">
        <v>1058</v>
      </c>
    </row>
    <row r="764" spans="1:12" x14ac:dyDescent="0.35">
      <c r="A764" s="11">
        <v>763</v>
      </c>
      <c r="B764" s="17">
        <v>45867.569560185177</v>
      </c>
      <c r="C764" s="18">
        <v>45867</v>
      </c>
      <c r="D764" s="10" t="s">
        <v>394</v>
      </c>
      <c r="E764" s="5">
        <v>0</v>
      </c>
      <c r="F764" s="15">
        <v>500</v>
      </c>
      <c r="G764" s="5">
        <v>500</v>
      </c>
      <c r="H764" s="10" t="s">
        <v>51</v>
      </c>
      <c r="I764" s="10" t="s">
        <v>71</v>
      </c>
      <c r="J764" s="10" t="s">
        <v>32</v>
      </c>
      <c r="K764" s="10" t="s">
        <v>19</v>
      </c>
      <c r="L764" s="10" t="s">
        <v>1059</v>
      </c>
    </row>
    <row r="765" spans="1:12" x14ac:dyDescent="0.35">
      <c r="A765" s="9">
        <v>764</v>
      </c>
      <c r="B765" s="19">
        <v>45868.211226851847</v>
      </c>
      <c r="C765" s="20">
        <v>45868</v>
      </c>
      <c r="D765" s="8" t="s">
        <v>394</v>
      </c>
      <c r="E765" s="3">
        <v>0</v>
      </c>
      <c r="F765" s="13">
        <v>500</v>
      </c>
      <c r="G765" s="3">
        <v>500</v>
      </c>
      <c r="H765" s="8" t="s">
        <v>51</v>
      </c>
      <c r="I765" s="8" t="s">
        <v>71</v>
      </c>
      <c r="J765" s="8" t="s">
        <v>32</v>
      </c>
      <c r="K765" s="8" t="s">
        <v>19</v>
      </c>
      <c r="L765" s="8" t="s">
        <v>1060</v>
      </c>
    </row>
    <row r="766" spans="1:12" x14ac:dyDescent="0.35">
      <c r="A766" s="11">
        <v>765</v>
      </c>
      <c r="B766" s="17">
        <v>45868.211226851847</v>
      </c>
      <c r="C766" s="18">
        <v>45868</v>
      </c>
      <c r="D766" s="10" t="s">
        <v>342</v>
      </c>
      <c r="E766" s="14">
        <v>500</v>
      </c>
      <c r="F766" s="5">
        <v>0</v>
      </c>
      <c r="G766" s="5">
        <v>0</v>
      </c>
      <c r="H766" s="10" t="s">
        <v>51</v>
      </c>
      <c r="I766" s="10" t="s">
        <v>52</v>
      </c>
      <c r="J766" s="10" t="s">
        <v>33</v>
      </c>
      <c r="K766" s="10" t="s">
        <v>19</v>
      </c>
      <c r="L766" s="10" t="s">
        <v>1061</v>
      </c>
    </row>
    <row r="767" spans="1:12" x14ac:dyDescent="0.35">
      <c r="A767" s="9">
        <v>766</v>
      </c>
      <c r="B767" s="19">
        <v>45869.210752314822</v>
      </c>
      <c r="C767" s="20">
        <v>45869</v>
      </c>
      <c r="D767" s="8" t="s">
        <v>394</v>
      </c>
      <c r="E767" s="3">
        <v>0</v>
      </c>
      <c r="F767" s="13">
        <v>500</v>
      </c>
      <c r="G767" s="3">
        <v>500</v>
      </c>
      <c r="H767" s="8" t="s">
        <v>51</v>
      </c>
      <c r="I767" s="8" t="s">
        <v>71</v>
      </c>
      <c r="J767" s="8" t="s">
        <v>32</v>
      </c>
      <c r="K767" s="8" t="s">
        <v>19</v>
      </c>
      <c r="L767" s="8" t="s">
        <v>1062</v>
      </c>
    </row>
    <row r="768" spans="1:12" x14ac:dyDescent="0.35">
      <c r="A768" s="11">
        <v>767</v>
      </c>
      <c r="B768" s="17">
        <v>45869.210752314822</v>
      </c>
      <c r="C768" s="18">
        <v>45869</v>
      </c>
      <c r="D768" s="10" t="s">
        <v>342</v>
      </c>
      <c r="E768" s="14">
        <v>500</v>
      </c>
      <c r="F768" s="5">
        <v>0</v>
      </c>
      <c r="G768" s="5">
        <v>0</v>
      </c>
      <c r="H768" s="10" t="s">
        <v>51</v>
      </c>
      <c r="I768" s="10" t="s">
        <v>52</v>
      </c>
      <c r="J768" s="10" t="s">
        <v>33</v>
      </c>
      <c r="K768" s="10" t="s">
        <v>19</v>
      </c>
      <c r="L768" s="10" t="s">
        <v>1063</v>
      </c>
    </row>
    <row r="769" spans="1:12" x14ac:dyDescent="0.35">
      <c r="A769" s="9">
        <v>768</v>
      </c>
      <c r="B769" s="19">
        <v>45870.211215277777</v>
      </c>
      <c r="C769" s="20">
        <v>45870</v>
      </c>
      <c r="D769" s="8" t="s">
        <v>394</v>
      </c>
      <c r="E769" s="3">
        <v>0</v>
      </c>
      <c r="F769" s="13">
        <v>500</v>
      </c>
      <c r="G769" s="3">
        <v>500</v>
      </c>
      <c r="H769" s="8" t="s">
        <v>51</v>
      </c>
      <c r="I769" s="8" t="s">
        <v>71</v>
      </c>
      <c r="J769" s="8" t="s">
        <v>32</v>
      </c>
      <c r="K769" s="8" t="s">
        <v>20</v>
      </c>
      <c r="L769" s="8" t="s">
        <v>1064</v>
      </c>
    </row>
    <row r="770" spans="1:12" x14ac:dyDescent="0.35">
      <c r="A770" s="11">
        <v>769</v>
      </c>
      <c r="B770" s="17">
        <v>45870.211215277777</v>
      </c>
      <c r="C770" s="18">
        <v>45870</v>
      </c>
      <c r="D770" s="10" t="s">
        <v>342</v>
      </c>
      <c r="E770" s="14">
        <v>500</v>
      </c>
      <c r="F770" s="5">
        <v>0</v>
      </c>
      <c r="G770" s="5">
        <v>0</v>
      </c>
      <c r="H770" s="10" t="s">
        <v>51</v>
      </c>
      <c r="I770" s="10" t="s">
        <v>52</v>
      </c>
      <c r="J770" s="10" t="s">
        <v>33</v>
      </c>
      <c r="K770" s="10" t="s">
        <v>20</v>
      </c>
      <c r="L770" s="10" t="s">
        <v>1065</v>
      </c>
    </row>
    <row r="771" spans="1:12" x14ac:dyDescent="0.35">
      <c r="A771" s="9">
        <v>770</v>
      </c>
      <c r="B771" s="19">
        <v>45871.210972222223</v>
      </c>
      <c r="C771" s="20">
        <v>45871</v>
      </c>
      <c r="D771" s="8" t="s">
        <v>394</v>
      </c>
      <c r="E771" s="3">
        <v>0</v>
      </c>
      <c r="F771" s="13">
        <v>500</v>
      </c>
      <c r="G771" s="3">
        <v>500</v>
      </c>
      <c r="H771" s="8" t="s">
        <v>51</v>
      </c>
      <c r="I771" s="8" t="s">
        <v>71</v>
      </c>
      <c r="J771" s="8" t="s">
        <v>32</v>
      </c>
      <c r="K771" s="8" t="s">
        <v>20</v>
      </c>
      <c r="L771" s="8" t="s">
        <v>1066</v>
      </c>
    </row>
    <row r="772" spans="1:12" x14ac:dyDescent="0.35">
      <c r="A772" s="11">
        <v>771</v>
      </c>
      <c r="B772" s="17">
        <v>45871.210972222223</v>
      </c>
      <c r="C772" s="18">
        <v>45871</v>
      </c>
      <c r="D772" s="10" t="s">
        <v>342</v>
      </c>
      <c r="E772" s="14">
        <v>500</v>
      </c>
      <c r="F772" s="5">
        <v>0</v>
      </c>
      <c r="G772" s="5">
        <v>0</v>
      </c>
      <c r="H772" s="10" t="s">
        <v>51</v>
      </c>
      <c r="I772" s="10" t="s">
        <v>52</v>
      </c>
      <c r="J772" s="10" t="s">
        <v>33</v>
      </c>
      <c r="K772" s="10" t="s">
        <v>20</v>
      </c>
      <c r="L772" s="10" t="s">
        <v>1067</v>
      </c>
    </row>
    <row r="773" spans="1:12" x14ac:dyDescent="0.35">
      <c r="A773" s="9">
        <v>772</v>
      </c>
      <c r="B773" s="19">
        <v>45872.362569444442</v>
      </c>
      <c r="C773" s="20">
        <v>45872</v>
      </c>
      <c r="D773" s="8" t="s">
        <v>551</v>
      </c>
      <c r="E773" s="3">
        <v>0</v>
      </c>
      <c r="F773" s="13">
        <v>6000</v>
      </c>
      <c r="G773" s="3">
        <v>6000</v>
      </c>
      <c r="H773" s="8" t="s">
        <v>51</v>
      </c>
      <c r="I773" s="8" t="s">
        <v>71</v>
      </c>
      <c r="J773" s="8" t="s">
        <v>31</v>
      </c>
      <c r="K773" s="8" t="s">
        <v>20</v>
      </c>
      <c r="L773" s="8" t="s">
        <v>1068</v>
      </c>
    </row>
    <row r="774" spans="1:12" x14ac:dyDescent="0.35">
      <c r="A774" s="11">
        <v>773</v>
      </c>
      <c r="B774" s="17">
        <v>45872.682222222233</v>
      </c>
      <c r="C774" s="18">
        <v>45872</v>
      </c>
      <c r="D774" s="10" t="s">
        <v>342</v>
      </c>
      <c r="E774" s="14">
        <v>500</v>
      </c>
      <c r="F774" s="5">
        <v>0</v>
      </c>
      <c r="G774" s="5">
        <v>5500</v>
      </c>
      <c r="H774" s="10" t="s">
        <v>51</v>
      </c>
      <c r="I774" s="10" t="s">
        <v>52</v>
      </c>
      <c r="J774" s="10" t="s">
        <v>33</v>
      </c>
      <c r="K774" s="10" t="s">
        <v>20</v>
      </c>
      <c r="L774" s="10" t="s">
        <v>1069</v>
      </c>
    </row>
    <row r="775" spans="1:12" x14ac:dyDescent="0.35">
      <c r="A775" s="9">
        <v>774</v>
      </c>
      <c r="B775" s="19">
        <v>45872.924780092602</v>
      </c>
      <c r="C775" s="20">
        <v>45872</v>
      </c>
      <c r="D775" s="8" t="s">
        <v>426</v>
      </c>
      <c r="E775" s="12">
        <v>5500</v>
      </c>
      <c r="F775" s="3">
        <v>0</v>
      </c>
      <c r="G775" s="3">
        <v>0</v>
      </c>
      <c r="H775" s="8" t="s">
        <v>51</v>
      </c>
      <c r="I775" s="8" t="s">
        <v>52</v>
      </c>
      <c r="J775" s="8" t="s">
        <v>32</v>
      </c>
      <c r="K775" s="8" t="s">
        <v>20</v>
      </c>
      <c r="L775" s="8" t="s">
        <v>1070</v>
      </c>
    </row>
    <row r="776" spans="1:12" x14ac:dyDescent="0.35">
      <c r="A776" s="11">
        <v>775</v>
      </c>
      <c r="B776" s="17">
        <v>45873.210486111107</v>
      </c>
      <c r="C776" s="18">
        <v>45873</v>
      </c>
      <c r="D776" s="10" t="s">
        <v>394</v>
      </c>
      <c r="E776" s="5">
        <v>0</v>
      </c>
      <c r="F776" s="15">
        <v>500</v>
      </c>
      <c r="G776" s="5">
        <v>500</v>
      </c>
      <c r="H776" s="10" t="s">
        <v>51</v>
      </c>
      <c r="I776" s="10" t="s">
        <v>71</v>
      </c>
      <c r="J776" s="10" t="s">
        <v>32</v>
      </c>
      <c r="K776" s="10" t="s">
        <v>20</v>
      </c>
      <c r="L776" s="10" t="s">
        <v>1071</v>
      </c>
    </row>
    <row r="777" spans="1:12" x14ac:dyDescent="0.35">
      <c r="A777" s="9">
        <v>776</v>
      </c>
      <c r="B777" s="19">
        <v>45873.210486111107</v>
      </c>
      <c r="C777" s="20">
        <v>45873</v>
      </c>
      <c r="D777" s="8" t="s">
        <v>342</v>
      </c>
      <c r="E777" s="12">
        <v>500</v>
      </c>
      <c r="F777" s="3">
        <v>0</v>
      </c>
      <c r="G777" s="3">
        <v>0</v>
      </c>
      <c r="H777" s="8" t="s">
        <v>51</v>
      </c>
      <c r="I777" s="8" t="s">
        <v>52</v>
      </c>
      <c r="J777" s="8" t="s">
        <v>33</v>
      </c>
      <c r="K777" s="8" t="s">
        <v>20</v>
      </c>
      <c r="L777" s="8" t="s">
        <v>1072</v>
      </c>
    </row>
    <row r="778" spans="1:12" x14ac:dyDescent="0.35">
      <c r="A778" s="11">
        <v>777</v>
      </c>
      <c r="B778" s="17">
        <v>45874.210706018523</v>
      </c>
      <c r="C778" s="18">
        <v>45874</v>
      </c>
      <c r="D778" s="10" t="s">
        <v>394</v>
      </c>
      <c r="E778" s="5">
        <v>0</v>
      </c>
      <c r="F778" s="15">
        <v>500</v>
      </c>
      <c r="G778" s="5">
        <v>500</v>
      </c>
      <c r="H778" s="10" t="s">
        <v>51</v>
      </c>
      <c r="I778" s="10" t="s">
        <v>71</v>
      </c>
      <c r="J778" s="10" t="s">
        <v>32</v>
      </c>
      <c r="K778" s="10" t="s">
        <v>20</v>
      </c>
      <c r="L778" s="10" t="s">
        <v>1073</v>
      </c>
    </row>
    <row r="779" spans="1:12" x14ac:dyDescent="0.35">
      <c r="A779" s="9">
        <v>778</v>
      </c>
      <c r="B779" s="19">
        <v>45874.210706018523</v>
      </c>
      <c r="C779" s="20">
        <v>45874</v>
      </c>
      <c r="D779" s="8" t="s">
        <v>342</v>
      </c>
      <c r="E779" s="12">
        <v>500</v>
      </c>
      <c r="F779" s="3">
        <v>0</v>
      </c>
      <c r="G779" s="3">
        <v>0</v>
      </c>
      <c r="H779" s="8" t="s">
        <v>51</v>
      </c>
      <c r="I779" s="8" t="s">
        <v>52</v>
      </c>
      <c r="J779" s="8" t="s">
        <v>33</v>
      </c>
      <c r="K779" s="8" t="s">
        <v>20</v>
      </c>
      <c r="L779" s="8" t="s">
        <v>1074</v>
      </c>
    </row>
    <row r="780" spans="1:12" x14ac:dyDescent="0.35">
      <c r="A780" s="11">
        <v>779</v>
      </c>
      <c r="B780" s="17">
        <v>45874.354930555557</v>
      </c>
      <c r="C780" s="18">
        <v>45874</v>
      </c>
      <c r="D780" s="10" t="s">
        <v>276</v>
      </c>
      <c r="E780" s="14">
        <v>900</v>
      </c>
      <c r="F780" s="5">
        <v>0</v>
      </c>
      <c r="G780" s="5">
        <v>0</v>
      </c>
      <c r="H780" s="10" t="s">
        <v>51</v>
      </c>
      <c r="I780" s="10" t="s">
        <v>52</v>
      </c>
      <c r="J780" s="10" t="s">
        <v>36</v>
      </c>
      <c r="K780" s="10" t="s">
        <v>20</v>
      </c>
      <c r="L780" s="10" t="s">
        <v>1075</v>
      </c>
    </row>
    <row r="781" spans="1:12" x14ac:dyDescent="0.35">
      <c r="A781" s="9">
        <v>780</v>
      </c>
      <c r="B781" s="19">
        <v>45874.35497685185</v>
      </c>
      <c r="C781" s="20">
        <v>45874</v>
      </c>
      <c r="D781" s="8" t="s">
        <v>394</v>
      </c>
      <c r="E781" s="3">
        <v>0</v>
      </c>
      <c r="F781" s="13">
        <v>900</v>
      </c>
      <c r="G781" s="3">
        <v>900</v>
      </c>
      <c r="H781" s="8" t="s">
        <v>51</v>
      </c>
      <c r="I781" s="8" t="s">
        <v>71</v>
      </c>
      <c r="J781" s="8" t="s">
        <v>32</v>
      </c>
      <c r="K781" s="8" t="s">
        <v>20</v>
      </c>
      <c r="L781" s="8" t="s">
        <v>1076</v>
      </c>
    </row>
    <row r="782" spans="1:12" x14ac:dyDescent="0.35">
      <c r="A782" s="11">
        <v>781</v>
      </c>
      <c r="B782" s="17">
        <v>45874.373935185176</v>
      </c>
      <c r="C782" s="18">
        <v>45874</v>
      </c>
      <c r="D782" s="10" t="s">
        <v>1077</v>
      </c>
      <c r="E782" s="14">
        <v>1000</v>
      </c>
      <c r="F782" s="5">
        <v>0</v>
      </c>
      <c r="G782" s="5">
        <v>0</v>
      </c>
      <c r="H782" s="10" t="s">
        <v>51</v>
      </c>
      <c r="I782" s="10" t="s">
        <v>52</v>
      </c>
      <c r="J782" s="10" t="s">
        <v>30</v>
      </c>
      <c r="K782" s="10" t="s">
        <v>20</v>
      </c>
      <c r="L782" s="10" t="s">
        <v>1078</v>
      </c>
    </row>
    <row r="783" spans="1:12" x14ac:dyDescent="0.35">
      <c r="A783" s="9">
        <v>782</v>
      </c>
      <c r="B783" s="19">
        <v>45874.374039351853</v>
      </c>
      <c r="C783" s="20">
        <v>45874</v>
      </c>
      <c r="D783" s="8" t="s">
        <v>394</v>
      </c>
      <c r="E783" s="3">
        <v>0</v>
      </c>
      <c r="F783" s="13">
        <v>1000</v>
      </c>
      <c r="G783" s="3">
        <v>1000</v>
      </c>
      <c r="H783" s="8" t="s">
        <v>51</v>
      </c>
      <c r="I783" s="8" t="s">
        <v>71</v>
      </c>
      <c r="J783" s="8" t="s">
        <v>32</v>
      </c>
      <c r="K783" s="8" t="s">
        <v>20</v>
      </c>
      <c r="L783" s="8" t="s">
        <v>1079</v>
      </c>
    </row>
    <row r="784" spans="1:12" x14ac:dyDescent="0.35">
      <c r="A784" s="11">
        <v>783</v>
      </c>
      <c r="B784" s="17">
        <v>45875.210416666669</v>
      </c>
      <c r="C784" s="18">
        <v>45875</v>
      </c>
      <c r="D784" s="10" t="s">
        <v>394</v>
      </c>
      <c r="E784" s="5">
        <v>0</v>
      </c>
      <c r="F784" s="15">
        <v>500</v>
      </c>
      <c r="G784" s="5">
        <v>500</v>
      </c>
      <c r="H784" s="10" t="s">
        <v>51</v>
      </c>
      <c r="I784" s="10" t="s">
        <v>71</v>
      </c>
      <c r="J784" s="10" t="s">
        <v>32</v>
      </c>
      <c r="K784" s="10" t="s">
        <v>20</v>
      </c>
      <c r="L784" s="10" t="s">
        <v>1080</v>
      </c>
    </row>
    <row r="785" spans="1:12" x14ac:dyDescent="0.35">
      <c r="A785" s="9">
        <v>784</v>
      </c>
      <c r="B785" s="19">
        <v>45875.210416666669</v>
      </c>
      <c r="C785" s="20">
        <v>45875</v>
      </c>
      <c r="D785" s="8" t="s">
        <v>342</v>
      </c>
      <c r="E785" s="12">
        <v>500</v>
      </c>
      <c r="F785" s="3">
        <v>0</v>
      </c>
      <c r="G785" s="3">
        <v>0</v>
      </c>
      <c r="H785" s="8" t="s">
        <v>51</v>
      </c>
      <c r="I785" s="8" t="s">
        <v>52</v>
      </c>
      <c r="J785" s="8" t="s">
        <v>33</v>
      </c>
      <c r="K785" s="8" t="s">
        <v>20</v>
      </c>
      <c r="L785" s="8" t="s">
        <v>1081</v>
      </c>
    </row>
    <row r="786" spans="1:12" x14ac:dyDescent="0.35">
      <c r="A786" s="11">
        <v>785</v>
      </c>
      <c r="B786" s="17">
        <v>45875.611493055563</v>
      </c>
      <c r="C786" s="18">
        <v>45875</v>
      </c>
      <c r="D786" s="10" t="s">
        <v>188</v>
      </c>
      <c r="E786" s="14">
        <v>500</v>
      </c>
      <c r="F786" s="5">
        <v>0</v>
      </c>
      <c r="G786" s="5">
        <v>0</v>
      </c>
      <c r="H786" s="10" t="s">
        <v>51</v>
      </c>
      <c r="I786" s="10" t="s">
        <v>52</v>
      </c>
      <c r="J786" s="10" t="s">
        <v>37</v>
      </c>
      <c r="K786" s="10" t="s">
        <v>20</v>
      </c>
      <c r="L786" s="10" t="s">
        <v>1082</v>
      </c>
    </row>
    <row r="787" spans="1:12" x14ac:dyDescent="0.35">
      <c r="A787" s="9">
        <v>786</v>
      </c>
      <c r="B787" s="19">
        <v>45875.611539351848</v>
      </c>
      <c r="C787" s="20">
        <v>45875</v>
      </c>
      <c r="D787" s="8" t="s">
        <v>394</v>
      </c>
      <c r="E787" s="3">
        <v>0</v>
      </c>
      <c r="F787" s="13">
        <v>500</v>
      </c>
      <c r="G787" s="3">
        <v>500</v>
      </c>
      <c r="H787" s="8" t="s">
        <v>51</v>
      </c>
      <c r="I787" s="8" t="s">
        <v>71</v>
      </c>
      <c r="J787" s="8" t="s">
        <v>32</v>
      </c>
      <c r="K787" s="8" t="s">
        <v>20</v>
      </c>
      <c r="L787" s="8" t="s">
        <v>1083</v>
      </c>
    </row>
    <row r="788" spans="1:12" x14ac:dyDescent="0.35">
      <c r="A788" s="11">
        <v>787</v>
      </c>
      <c r="B788" s="17">
        <v>45875.612476851849</v>
      </c>
      <c r="C788" s="18">
        <v>45875</v>
      </c>
      <c r="D788" s="10" t="s">
        <v>188</v>
      </c>
      <c r="E788" s="14">
        <v>452</v>
      </c>
      <c r="F788" s="5">
        <v>0</v>
      </c>
      <c r="G788" s="5">
        <v>0</v>
      </c>
      <c r="H788" s="10" t="s">
        <v>51</v>
      </c>
      <c r="I788" s="10" t="s">
        <v>52</v>
      </c>
      <c r="J788" s="10" t="s">
        <v>37</v>
      </c>
      <c r="K788" s="10" t="s">
        <v>20</v>
      </c>
      <c r="L788" s="10" t="s">
        <v>1084</v>
      </c>
    </row>
    <row r="789" spans="1:12" x14ac:dyDescent="0.35">
      <c r="A789" s="9">
        <v>788</v>
      </c>
      <c r="B789" s="19">
        <v>45875.612534722219</v>
      </c>
      <c r="C789" s="20">
        <v>45875</v>
      </c>
      <c r="D789" s="8" t="s">
        <v>394</v>
      </c>
      <c r="E789" s="3">
        <v>0</v>
      </c>
      <c r="F789" s="13">
        <v>452</v>
      </c>
      <c r="G789" s="3">
        <v>452</v>
      </c>
      <c r="H789" s="8" t="s">
        <v>51</v>
      </c>
      <c r="I789" s="8" t="s">
        <v>71</v>
      </c>
      <c r="J789" s="8" t="s">
        <v>32</v>
      </c>
      <c r="K789" s="8" t="s">
        <v>20</v>
      </c>
      <c r="L789" s="8" t="s">
        <v>1085</v>
      </c>
    </row>
    <row r="790" spans="1:12" x14ac:dyDescent="0.35">
      <c r="A790" s="11">
        <v>789</v>
      </c>
      <c r="B790" s="17">
        <v>45875.613657407397</v>
      </c>
      <c r="C790" s="18">
        <v>45875</v>
      </c>
      <c r="D790" s="10" t="s">
        <v>188</v>
      </c>
      <c r="E790" s="14">
        <v>500</v>
      </c>
      <c r="F790" s="5">
        <v>0</v>
      </c>
      <c r="G790" s="5">
        <v>0</v>
      </c>
      <c r="H790" s="10" t="s">
        <v>51</v>
      </c>
      <c r="I790" s="10" t="s">
        <v>52</v>
      </c>
      <c r="J790" s="10" t="s">
        <v>37</v>
      </c>
      <c r="K790" s="10" t="s">
        <v>20</v>
      </c>
      <c r="L790" s="10" t="s">
        <v>1086</v>
      </c>
    </row>
    <row r="791" spans="1:12" x14ac:dyDescent="0.35">
      <c r="A791" s="9">
        <v>790</v>
      </c>
      <c r="B791" s="19">
        <v>45875.613692129627</v>
      </c>
      <c r="C791" s="20">
        <v>45875</v>
      </c>
      <c r="D791" s="8" t="s">
        <v>394</v>
      </c>
      <c r="E791" s="3">
        <v>0</v>
      </c>
      <c r="F791" s="13">
        <v>500</v>
      </c>
      <c r="G791" s="3">
        <v>500</v>
      </c>
      <c r="H791" s="8" t="s">
        <v>51</v>
      </c>
      <c r="I791" s="8" t="s">
        <v>71</v>
      </c>
      <c r="J791" s="8" t="s">
        <v>32</v>
      </c>
      <c r="K791" s="8" t="s">
        <v>20</v>
      </c>
      <c r="L791" s="8" t="s">
        <v>1087</v>
      </c>
    </row>
    <row r="792" spans="1:12" x14ac:dyDescent="0.35">
      <c r="A792" s="11">
        <v>791</v>
      </c>
      <c r="B792" s="17">
        <v>45875.883217592593</v>
      </c>
      <c r="C792" s="18">
        <v>45875</v>
      </c>
      <c r="D792" s="10" t="s">
        <v>276</v>
      </c>
      <c r="E792" s="14">
        <v>900</v>
      </c>
      <c r="F792" s="5">
        <v>0</v>
      </c>
      <c r="G792" s="5">
        <v>0</v>
      </c>
      <c r="H792" s="10" t="s">
        <v>51</v>
      </c>
      <c r="I792" s="10" t="s">
        <v>52</v>
      </c>
      <c r="J792" s="10" t="s">
        <v>36</v>
      </c>
      <c r="K792" s="10" t="s">
        <v>20</v>
      </c>
      <c r="L792" s="10" t="s">
        <v>1088</v>
      </c>
    </row>
    <row r="793" spans="1:12" x14ac:dyDescent="0.35">
      <c r="A793" s="9">
        <v>792</v>
      </c>
      <c r="B793" s="19">
        <v>45875.883263888893</v>
      </c>
      <c r="C793" s="20">
        <v>45875</v>
      </c>
      <c r="D793" s="8" t="s">
        <v>394</v>
      </c>
      <c r="E793" s="3">
        <v>0</v>
      </c>
      <c r="F793" s="13">
        <v>900</v>
      </c>
      <c r="G793" s="3">
        <v>900</v>
      </c>
      <c r="H793" s="8" t="s">
        <v>51</v>
      </c>
      <c r="I793" s="8" t="s">
        <v>71</v>
      </c>
      <c r="J793" s="8" t="s">
        <v>32</v>
      </c>
      <c r="K793" s="8" t="s">
        <v>20</v>
      </c>
      <c r="L793" s="8" t="s">
        <v>1089</v>
      </c>
    </row>
    <row r="794" spans="1:12" x14ac:dyDescent="0.35">
      <c r="A794" s="11">
        <v>793</v>
      </c>
      <c r="B794" s="17">
        <v>45876.218275462961</v>
      </c>
      <c r="C794" s="18">
        <v>45876</v>
      </c>
      <c r="D794" s="10" t="s">
        <v>450</v>
      </c>
      <c r="E794" s="5">
        <v>0</v>
      </c>
      <c r="F794" s="15">
        <v>3000</v>
      </c>
      <c r="G794" s="5">
        <v>3000</v>
      </c>
      <c r="H794" s="10" t="s">
        <v>51</v>
      </c>
      <c r="I794" s="10" t="s">
        <v>71</v>
      </c>
      <c r="J794" s="10" t="s">
        <v>31</v>
      </c>
      <c r="K794" s="10" t="s">
        <v>20</v>
      </c>
      <c r="L794" s="10" t="s">
        <v>1090</v>
      </c>
    </row>
    <row r="795" spans="1:12" x14ac:dyDescent="0.35">
      <c r="A795" s="9">
        <v>794</v>
      </c>
      <c r="B795" s="19">
        <v>45876.925949074073</v>
      </c>
      <c r="C795" s="20">
        <v>45876</v>
      </c>
      <c r="D795" s="8" t="s">
        <v>426</v>
      </c>
      <c r="E795" s="12">
        <v>3000</v>
      </c>
      <c r="F795" s="3">
        <v>0</v>
      </c>
      <c r="G795" s="3">
        <v>0</v>
      </c>
      <c r="H795" s="8" t="s">
        <v>51</v>
      </c>
      <c r="I795" s="8" t="s">
        <v>52</v>
      </c>
      <c r="J795" s="8" t="s">
        <v>32</v>
      </c>
      <c r="K795" s="8" t="s">
        <v>20</v>
      </c>
      <c r="L795" s="8" t="s">
        <v>1091</v>
      </c>
    </row>
    <row r="796" spans="1:12" x14ac:dyDescent="0.35">
      <c r="A796" s="11">
        <v>795</v>
      </c>
      <c r="B796" s="17">
        <v>45877.210428240738</v>
      </c>
      <c r="C796" s="18">
        <v>45877</v>
      </c>
      <c r="D796" s="10" t="s">
        <v>394</v>
      </c>
      <c r="E796" s="5">
        <v>0</v>
      </c>
      <c r="F796" s="15">
        <v>500</v>
      </c>
      <c r="G796" s="5">
        <v>500</v>
      </c>
      <c r="H796" s="10" t="s">
        <v>51</v>
      </c>
      <c r="I796" s="10" t="s">
        <v>71</v>
      </c>
      <c r="J796" s="10" t="s">
        <v>32</v>
      </c>
      <c r="K796" s="10" t="s">
        <v>20</v>
      </c>
      <c r="L796" s="10" t="s">
        <v>1092</v>
      </c>
    </row>
    <row r="797" spans="1:12" x14ac:dyDescent="0.35">
      <c r="A797" s="9">
        <v>796</v>
      </c>
      <c r="B797" s="19">
        <v>45877.210428240738</v>
      </c>
      <c r="C797" s="20">
        <v>45877</v>
      </c>
      <c r="D797" s="8" t="s">
        <v>342</v>
      </c>
      <c r="E797" s="12">
        <v>500</v>
      </c>
      <c r="F797" s="3">
        <v>0</v>
      </c>
      <c r="G797" s="3">
        <v>0</v>
      </c>
      <c r="H797" s="8" t="s">
        <v>51</v>
      </c>
      <c r="I797" s="8" t="s">
        <v>52</v>
      </c>
      <c r="J797" s="8" t="s">
        <v>33</v>
      </c>
      <c r="K797" s="8" t="s">
        <v>20</v>
      </c>
      <c r="L797" s="8" t="s">
        <v>1093</v>
      </c>
    </row>
    <row r="798" spans="1:12" x14ac:dyDescent="0.35">
      <c r="A798" s="11">
        <v>797</v>
      </c>
      <c r="B798" s="17">
        <v>45878.210428240738</v>
      </c>
      <c r="C798" s="18">
        <v>45878</v>
      </c>
      <c r="D798" s="10" t="s">
        <v>394</v>
      </c>
      <c r="E798" s="5">
        <v>0</v>
      </c>
      <c r="F798" s="15">
        <v>500</v>
      </c>
      <c r="G798" s="5">
        <v>500</v>
      </c>
      <c r="H798" s="10" t="s">
        <v>51</v>
      </c>
      <c r="I798" s="10" t="s">
        <v>71</v>
      </c>
      <c r="J798" s="10" t="s">
        <v>32</v>
      </c>
      <c r="K798" s="10" t="s">
        <v>20</v>
      </c>
      <c r="L798" s="10" t="s">
        <v>1094</v>
      </c>
    </row>
    <row r="799" spans="1:12" x14ac:dyDescent="0.35">
      <c r="A799" s="9">
        <v>798</v>
      </c>
      <c r="B799" s="19">
        <v>45878.210428240738</v>
      </c>
      <c r="C799" s="20">
        <v>45878</v>
      </c>
      <c r="D799" s="8" t="s">
        <v>342</v>
      </c>
      <c r="E799" s="12">
        <v>500</v>
      </c>
      <c r="F799" s="3">
        <v>0</v>
      </c>
      <c r="G799" s="3">
        <v>0</v>
      </c>
      <c r="H799" s="8" t="s">
        <v>51</v>
      </c>
      <c r="I799" s="8" t="s">
        <v>52</v>
      </c>
      <c r="J799" s="8" t="s">
        <v>33</v>
      </c>
      <c r="K799" s="8" t="s">
        <v>20</v>
      </c>
      <c r="L799" s="8" t="s">
        <v>1095</v>
      </c>
    </row>
    <row r="800" spans="1:12" x14ac:dyDescent="0.35">
      <c r="A800" s="11">
        <v>799</v>
      </c>
      <c r="B800" s="17">
        <v>45879.210497685177</v>
      </c>
      <c r="C800" s="18">
        <v>45879</v>
      </c>
      <c r="D800" s="10" t="s">
        <v>342</v>
      </c>
      <c r="E800" s="14">
        <v>500</v>
      </c>
      <c r="F800" s="5">
        <v>0</v>
      </c>
      <c r="G800" s="5">
        <v>0</v>
      </c>
      <c r="H800" s="10" t="s">
        <v>51</v>
      </c>
      <c r="I800" s="10" t="s">
        <v>52</v>
      </c>
      <c r="J800" s="10" t="s">
        <v>33</v>
      </c>
      <c r="K800" s="10" t="s">
        <v>20</v>
      </c>
      <c r="L800" s="10" t="s">
        <v>1096</v>
      </c>
    </row>
    <row r="801" spans="1:12" x14ac:dyDescent="0.35">
      <c r="A801" s="9">
        <v>800</v>
      </c>
      <c r="B801" s="19">
        <v>45879.210509259261</v>
      </c>
      <c r="C801" s="20">
        <v>45879</v>
      </c>
      <c r="D801" s="8" t="s">
        <v>394</v>
      </c>
      <c r="E801" s="3">
        <v>0</v>
      </c>
      <c r="F801" s="13">
        <v>500</v>
      </c>
      <c r="G801" s="3">
        <v>500</v>
      </c>
      <c r="H801" s="8" t="s">
        <v>51</v>
      </c>
      <c r="I801" s="8" t="s">
        <v>71</v>
      </c>
      <c r="J801" s="8" t="s">
        <v>32</v>
      </c>
      <c r="K801" s="8" t="s">
        <v>20</v>
      </c>
      <c r="L801" s="8" t="s">
        <v>1097</v>
      </c>
    </row>
    <row r="802" spans="1:12" x14ac:dyDescent="0.35">
      <c r="A802" s="11">
        <v>801</v>
      </c>
      <c r="B802" s="17">
        <v>45880.210428240738</v>
      </c>
      <c r="C802" s="18">
        <v>45880</v>
      </c>
      <c r="D802" s="10" t="s">
        <v>394</v>
      </c>
      <c r="E802" s="5">
        <v>0</v>
      </c>
      <c r="F802" s="15">
        <v>500</v>
      </c>
      <c r="G802" s="5">
        <v>500</v>
      </c>
      <c r="H802" s="10" t="s">
        <v>51</v>
      </c>
      <c r="I802" s="10" t="s">
        <v>71</v>
      </c>
      <c r="J802" s="10" t="s">
        <v>32</v>
      </c>
      <c r="K802" s="10" t="s">
        <v>20</v>
      </c>
      <c r="L802" s="10" t="s">
        <v>1098</v>
      </c>
    </row>
    <row r="803" spans="1:12" x14ac:dyDescent="0.35">
      <c r="A803" s="9">
        <v>802</v>
      </c>
      <c r="B803" s="19">
        <v>45880.210428240738</v>
      </c>
      <c r="C803" s="20">
        <v>45880</v>
      </c>
      <c r="D803" s="8" t="s">
        <v>342</v>
      </c>
      <c r="E803" s="12">
        <v>500</v>
      </c>
      <c r="F803" s="3">
        <v>0</v>
      </c>
      <c r="G803" s="3">
        <v>0</v>
      </c>
      <c r="H803" s="8" t="s">
        <v>51</v>
      </c>
      <c r="I803" s="8" t="s">
        <v>52</v>
      </c>
      <c r="J803" s="8" t="s">
        <v>33</v>
      </c>
      <c r="K803" s="8" t="s">
        <v>20</v>
      </c>
      <c r="L803" s="8" t="s">
        <v>1099</v>
      </c>
    </row>
    <row r="804" spans="1:12" x14ac:dyDescent="0.35">
      <c r="A804" s="11">
        <v>803</v>
      </c>
      <c r="B804" s="17">
        <v>45881.210335648153</v>
      </c>
      <c r="C804" s="18">
        <v>45881</v>
      </c>
      <c r="D804" s="10" t="s">
        <v>394</v>
      </c>
      <c r="E804" s="5">
        <v>0</v>
      </c>
      <c r="F804" s="15">
        <v>500</v>
      </c>
      <c r="G804" s="5">
        <v>500</v>
      </c>
      <c r="H804" s="10" t="s">
        <v>51</v>
      </c>
      <c r="I804" s="10" t="s">
        <v>71</v>
      </c>
      <c r="J804" s="10" t="s">
        <v>32</v>
      </c>
      <c r="K804" s="10" t="s">
        <v>20</v>
      </c>
      <c r="L804" s="10" t="s">
        <v>1100</v>
      </c>
    </row>
    <row r="805" spans="1:12" x14ac:dyDescent="0.35">
      <c r="A805" s="9">
        <v>804</v>
      </c>
      <c r="B805" s="19">
        <v>45881.210335648153</v>
      </c>
      <c r="C805" s="20">
        <v>45881</v>
      </c>
      <c r="D805" s="8" t="s">
        <v>342</v>
      </c>
      <c r="E805" s="12">
        <v>500</v>
      </c>
      <c r="F805" s="3">
        <v>0</v>
      </c>
      <c r="G805" s="3">
        <v>0</v>
      </c>
      <c r="H805" s="8" t="s">
        <v>51</v>
      </c>
      <c r="I805" s="8" t="s">
        <v>52</v>
      </c>
      <c r="J805" s="8" t="s">
        <v>33</v>
      </c>
      <c r="K805" s="8" t="s">
        <v>20</v>
      </c>
      <c r="L805" s="8" t="s">
        <v>1101</v>
      </c>
    </row>
    <row r="806" spans="1:12" x14ac:dyDescent="0.35">
      <c r="A806" s="11">
        <v>805</v>
      </c>
      <c r="B806" s="17">
        <v>45881.379444444443</v>
      </c>
      <c r="C806" s="18">
        <v>45881</v>
      </c>
      <c r="D806" s="10" t="s">
        <v>551</v>
      </c>
      <c r="E806" s="5">
        <v>0</v>
      </c>
      <c r="F806" s="15">
        <v>6000</v>
      </c>
      <c r="G806" s="5">
        <v>6000</v>
      </c>
      <c r="H806" s="10" t="s">
        <v>51</v>
      </c>
      <c r="I806" s="10" t="s">
        <v>71</v>
      </c>
      <c r="J806" s="10" t="s">
        <v>31</v>
      </c>
      <c r="K806" s="10" t="s">
        <v>20</v>
      </c>
      <c r="L806" s="10" t="s">
        <v>1102</v>
      </c>
    </row>
    <row r="807" spans="1:12" x14ac:dyDescent="0.35">
      <c r="A807" s="9">
        <v>806</v>
      </c>
      <c r="B807" s="19">
        <v>45881.386377314811</v>
      </c>
      <c r="C807" s="20">
        <v>45881</v>
      </c>
      <c r="D807" s="8" t="s">
        <v>1103</v>
      </c>
      <c r="E807" s="12">
        <v>1900</v>
      </c>
      <c r="F807" s="3">
        <v>0</v>
      </c>
      <c r="G807" s="3">
        <v>4100</v>
      </c>
      <c r="H807" s="8" t="s">
        <v>51</v>
      </c>
      <c r="I807" s="8" t="s">
        <v>52</v>
      </c>
      <c r="J807" s="8" t="s">
        <v>30</v>
      </c>
      <c r="K807" s="8" t="s">
        <v>20</v>
      </c>
      <c r="L807" s="8" t="s">
        <v>1104</v>
      </c>
    </row>
    <row r="808" spans="1:12" x14ac:dyDescent="0.35">
      <c r="A808" s="11">
        <v>807</v>
      </c>
      <c r="B808" s="17">
        <v>45881.546238425923</v>
      </c>
      <c r="C808" s="18">
        <v>45881</v>
      </c>
      <c r="D808" s="10" t="s">
        <v>551</v>
      </c>
      <c r="E808" s="5">
        <v>0</v>
      </c>
      <c r="F808" s="15">
        <v>9000</v>
      </c>
      <c r="G808" s="5">
        <v>13100</v>
      </c>
      <c r="H808" s="10" t="s">
        <v>51</v>
      </c>
      <c r="I808" s="10" t="s">
        <v>71</v>
      </c>
      <c r="J808" s="10" t="s">
        <v>31</v>
      </c>
      <c r="K808" s="10" t="s">
        <v>20</v>
      </c>
      <c r="L808" s="10" t="s">
        <v>1105</v>
      </c>
    </row>
    <row r="809" spans="1:12" x14ac:dyDescent="0.35">
      <c r="A809" s="9">
        <v>808</v>
      </c>
      <c r="B809" s="19">
        <v>45881.54891203704</v>
      </c>
      <c r="C809" s="20">
        <v>45881</v>
      </c>
      <c r="D809" s="8" t="s">
        <v>1106</v>
      </c>
      <c r="E809" s="12">
        <v>8500</v>
      </c>
      <c r="F809" s="3">
        <v>0</v>
      </c>
      <c r="G809" s="3">
        <v>4600</v>
      </c>
      <c r="H809" s="8" t="s">
        <v>51</v>
      </c>
      <c r="I809" s="8" t="s">
        <v>52</v>
      </c>
      <c r="J809" s="8" t="s">
        <v>30</v>
      </c>
      <c r="K809" s="8" t="s">
        <v>20</v>
      </c>
      <c r="L809" s="8" t="s">
        <v>1107</v>
      </c>
    </row>
    <row r="810" spans="1:12" x14ac:dyDescent="0.35">
      <c r="A810" s="11">
        <v>809</v>
      </c>
      <c r="B810" s="17">
        <v>45881.925833333327</v>
      </c>
      <c r="C810" s="18">
        <v>45881</v>
      </c>
      <c r="D810" s="10" t="s">
        <v>426</v>
      </c>
      <c r="E810" s="14">
        <v>4600</v>
      </c>
      <c r="F810" s="5">
        <v>0</v>
      </c>
      <c r="G810" s="5">
        <v>0</v>
      </c>
      <c r="H810" s="10" t="s">
        <v>51</v>
      </c>
      <c r="I810" s="10" t="s">
        <v>52</v>
      </c>
      <c r="J810" s="10" t="s">
        <v>32</v>
      </c>
      <c r="K810" s="10" t="s">
        <v>20</v>
      </c>
      <c r="L810" s="10" t="s">
        <v>1108</v>
      </c>
    </row>
    <row r="811" spans="1:12" x14ac:dyDescent="0.35">
      <c r="A811" s="9">
        <v>810</v>
      </c>
      <c r="B811" s="19">
        <v>45882.210347222222</v>
      </c>
      <c r="C811" s="20">
        <v>45882</v>
      </c>
      <c r="D811" s="8" t="s">
        <v>394</v>
      </c>
      <c r="E811" s="3">
        <v>0</v>
      </c>
      <c r="F811" s="13">
        <v>500</v>
      </c>
      <c r="G811" s="3">
        <v>500</v>
      </c>
      <c r="H811" s="8" t="s">
        <v>51</v>
      </c>
      <c r="I811" s="8" t="s">
        <v>71</v>
      </c>
      <c r="J811" s="8" t="s">
        <v>32</v>
      </c>
      <c r="K811" s="8" t="s">
        <v>20</v>
      </c>
      <c r="L811" s="8" t="s">
        <v>1109</v>
      </c>
    </row>
    <row r="812" spans="1:12" x14ac:dyDescent="0.35">
      <c r="A812" s="11">
        <v>811</v>
      </c>
      <c r="B812" s="17">
        <v>45882.210347222222</v>
      </c>
      <c r="C812" s="18">
        <v>45882</v>
      </c>
      <c r="D812" s="10" t="s">
        <v>342</v>
      </c>
      <c r="E812" s="14">
        <v>500</v>
      </c>
      <c r="F812" s="5">
        <v>0</v>
      </c>
      <c r="G812" s="5">
        <v>0</v>
      </c>
      <c r="H812" s="10" t="s">
        <v>51</v>
      </c>
      <c r="I812" s="10" t="s">
        <v>52</v>
      </c>
      <c r="J812" s="10" t="s">
        <v>33</v>
      </c>
      <c r="K812" s="10" t="s">
        <v>20</v>
      </c>
      <c r="L812" s="10" t="s">
        <v>1110</v>
      </c>
    </row>
    <row r="813" spans="1:12" x14ac:dyDescent="0.35">
      <c r="A813" s="9">
        <v>812</v>
      </c>
      <c r="B813" s="19">
        <v>45882.759791666656</v>
      </c>
      <c r="C813" s="20">
        <v>45882</v>
      </c>
      <c r="D813" s="8" t="s">
        <v>1111</v>
      </c>
      <c r="E813" s="12">
        <v>4000</v>
      </c>
      <c r="F813" s="3">
        <v>0</v>
      </c>
      <c r="G813" s="3">
        <v>0</v>
      </c>
      <c r="H813" s="8" t="s">
        <v>51</v>
      </c>
      <c r="I813" s="8" t="s">
        <v>52</v>
      </c>
      <c r="J813" s="8" t="s">
        <v>30</v>
      </c>
      <c r="K813" s="8" t="s">
        <v>20</v>
      </c>
      <c r="L813" s="8" t="s">
        <v>1112</v>
      </c>
    </row>
    <row r="814" spans="1:12" x14ac:dyDescent="0.35">
      <c r="A814" s="11">
        <v>813</v>
      </c>
      <c r="B814" s="17">
        <v>45882.75984953704</v>
      </c>
      <c r="C814" s="18">
        <v>45882</v>
      </c>
      <c r="D814" s="10" t="s">
        <v>394</v>
      </c>
      <c r="E814" s="5">
        <v>0</v>
      </c>
      <c r="F814" s="15">
        <v>4000</v>
      </c>
      <c r="G814" s="5">
        <v>4000</v>
      </c>
      <c r="H814" s="10" t="s">
        <v>51</v>
      </c>
      <c r="I814" s="10" t="s">
        <v>71</v>
      </c>
      <c r="J814" s="10" t="s">
        <v>32</v>
      </c>
      <c r="K814" s="10" t="s">
        <v>20</v>
      </c>
      <c r="L814" s="10" t="s">
        <v>1113</v>
      </c>
    </row>
    <row r="815" spans="1:12" x14ac:dyDescent="0.35">
      <c r="A815" s="9">
        <v>814</v>
      </c>
      <c r="B815" s="19">
        <v>45883.210405092592</v>
      </c>
      <c r="C815" s="20">
        <v>45883</v>
      </c>
      <c r="D815" s="8" t="s">
        <v>394</v>
      </c>
      <c r="E815" s="3">
        <v>0</v>
      </c>
      <c r="F815" s="13">
        <v>500</v>
      </c>
      <c r="G815" s="3">
        <v>500</v>
      </c>
      <c r="H815" s="8" t="s">
        <v>51</v>
      </c>
      <c r="I815" s="8" t="s">
        <v>71</v>
      </c>
      <c r="J815" s="8" t="s">
        <v>32</v>
      </c>
      <c r="K815" s="8" t="s">
        <v>20</v>
      </c>
      <c r="L815" s="8" t="s">
        <v>1114</v>
      </c>
    </row>
    <row r="816" spans="1:12" x14ac:dyDescent="0.35">
      <c r="A816" s="11">
        <v>815</v>
      </c>
      <c r="B816" s="17">
        <v>45883.210405092592</v>
      </c>
      <c r="C816" s="18">
        <v>45883</v>
      </c>
      <c r="D816" s="10" t="s">
        <v>342</v>
      </c>
      <c r="E816" s="14">
        <v>500</v>
      </c>
      <c r="F816" s="5">
        <v>0</v>
      </c>
      <c r="G816" s="5">
        <v>0</v>
      </c>
      <c r="H816" s="10" t="s">
        <v>51</v>
      </c>
      <c r="I816" s="10" t="s">
        <v>52</v>
      </c>
      <c r="J816" s="10" t="s">
        <v>33</v>
      </c>
      <c r="K816" s="10" t="s">
        <v>20</v>
      </c>
      <c r="L816" s="10" t="s">
        <v>1115</v>
      </c>
    </row>
    <row r="817" spans="1:12" x14ac:dyDescent="0.35">
      <c r="A817" s="9">
        <v>816</v>
      </c>
      <c r="B817" s="19">
        <v>45883.34578703704</v>
      </c>
      <c r="C817" s="20">
        <v>45883</v>
      </c>
      <c r="D817" s="8" t="s">
        <v>551</v>
      </c>
      <c r="E817" s="3">
        <v>0</v>
      </c>
      <c r="F817" s="13">
        <v>5000</v>
      </c>
      <c r="G817" s="3">
        <v>5000</v>
      </c>
      <c r="H817" s="8" t="s">
        <v>51</v>
      </c>
      <c r="I817" s="8" t="s">
        <v>71</v>
      </c>
      <c r="J817" s="8" t="s">
        <v>31</v>
      </c>
      <c r="K817" s="8" t="s">
        <v>20</v>
      </c>
      <c r="L817" s="8" t="s">
        <v>1116</v>
      </c>
    </row>
    <row r="818" spans="1:12" x14ac:dyDescent="0.35">
      <c r="A818" s="11">
        <v>817</v>
      </c>
      <c r="B818" s="17">
        <v>45883.346180555563</v>
      </c>
      <c r="C818" s="18">
        <v>45883</v>
      </c>
      <c r="D818" s="10" t="s">
        <v>339</v>
      </c>
      <c r="E818" s="14">
        <v>462</v>
      </c>
      <c r="F818" s="5">
        <v>0</v>
      </c>
      <c r="G818" s="5">
        <v>4538</v>
      </c>
      <c r="H818" s="10" t="s">
        <v>51</v>
      </c>
      <c r="I818" s="10" t="s">
        <v>52</v>
      </c>
      <c r="J818" s="10" t="s">
        <v>36</v>
      </c>
      <c r="K818" s="10" t="s">
        <v>20</v>
      </c>
      <c r="L818" s="10" t="s">
        <v>1117</v>
      </c>
    </row>
    <row r="819" spans="1:12" x14ac:dyDescent="0.35">
      <c r="A819" s="9">
        <v>818</v>
      </c>
      <c r="B819" s="19">
        <v>45883.363865740743</v>
      </c>
      <c r="C819" s="20">
        <v>45883</v>
      </c>
      <c r="D819" s="8" t="s">
        <v>1118</v>
      </c>
      <c r="E819" s="12">
        <v>2100</v>
      </c>
      <c r="F819" s="3">
        <v>0</v>
      </c>
      <c r="G819" s="3">
        <v>2438</v>
      </c>
      <c r="H819" s="8" t="s">
        <v>51</v>
      </c>
      <c r="I819" s="8" t="s">
        <v>52</v>
      </c>
      <c r="J819" s="8" t="s">
        <v>30</v>
      </c>
      <c r="K819" s="8" t="s">
        <v>20</v>
      </c>
      <c r="L819" s="8" t="s">
        <v>1119</v>
      </c>
    </row>
    <row r="820" spans="1:12" x14ac:dyDescent="0.35">
      <c r="A820" s="11">
        <v>819</v>
      </c>
      <c r="B820" s="17">
        <v>45883.381886574083</v>
      </c>
      <c r="C820" s="18">
        <v>45883</v>
      </c>
      <c r="D820" s="10" t="s">
        <v>461</v>
      </c>
      <c r="E820" s="14">
        <v>1000</v>
      </c>
      <c r="F820" s="5">
        <v>0</v>
      </c>
      <c r="G820" s="5">
        <v>1438</v>
      </c>
      <c r="H820" s="10" t="s">
        <v>51</v>
      </c>
      <c r="I820" s="10" t="s">
        <v>52</v>
      </c>
      <c r="J820" s="10" t="s">
        <v>30</v>
      </c>
      <c r="K820" s="10" t="s">
        <v>20</v>
      </c>
      <c r="L820" s="10" t="s">
        <v>1120</v>
      </c>
    </row>
    <row r="821" spans="1:12" x14ac:dyDescent="0.35">
      <c r="A821" s="9">
        <v>820</v>
      </c>
      <c r="B821" s="19">
        <v>45883.773657407408</v>
      </c>
      <c r="C821" s="20">
        <v>45883</v>
      </c>
      <c r="D821" s="8" t="s">
        <v>1121</v>
      </c>
      <c r="E821" s="12">
        <v>1000</v>
      </c>
      <c r="F821" s="3">
        <v>0</v>
      </c>
      <c r="G821" s="3">
        <v>438</v>
      </c>
      <c r="H821" s="8" t="s">
        <v>51</v>
      </c>
      <c r="I821" s="8" t="s">
        <v>52</v>
      </c>
      <c r="J821" s="8" t="s">
        <v>30</v>
      </c>
      <c r="K821" s="8" t="s">
        <v>20</v>
      </c>
      <c r="L821" s="8" t="s">
        <v>1122</v>
      </c>
    </row>
    <row r="822" spans="1:12" x14ac:dyDescent="0.35">
      <c r="A822" s="11">
        <v>821</v>
      </c>
      <c r="B822" s="17">
        <v>45883.926030092603</v>
      </c>
      <c r="C822" s="18">
        <v>45883</v>
      </c>
      <c r="D822" s="10" t="s">
        <v>426</v>
      </c>
      <c r="E822" s="14">
        <v>438</v>
      </c>
      <c r="F822" s="5">
        <v>0</v>
      </c>
      <c r="G822" s="5">
        <v>0</v>
      </c>
      <c r="H822" s="10" t="s">
        <v>51</v>
      </c>
      <c r="I822" s="10" t="s">
        <v>52</v>
      </c>
      <c r="J822" s="10" t="s">
        <v>32</v>
      </c>
      <c r="K822" s="10" t="s">
        <v>20</v>
      </c>
      <c r="L822" s="10" t="s">
        <v>1123</v>
      </c>
    </row>
    <row r="823" spans="1:12" x14ac:dyDescent="0.35">
      <c r="A823" s="9">
        <v>822</v>
      </c>
      <c r="B823" s="19">
        <v>45884.210358796299</v>
      </c>
      <c r="C823" s="20">
        <v>45884</v>
      </c>
      <c r="D823" s="8" t="s">
        <v>342</v>
      </c>
      <c r="E823" s="12">
        <v>500</v>
      </c>
      <c r="F823" s="3">
        <v>0</v>
      </c>
      <c r="G823" s="3">
        <v>0</v>
      </c>
      <c r="H823" s="8" t="s">
        <v>51</v>
      </c>
      <c r="I823" s="8" t="s">
        <v>52</v>
      </c>
      <c r="J823" s="8" t="s">
        <v>33</v>
      </c>
      <c r="K823" s="8" t="s">
        <v>20</v>
      </c>
      <c r="L823" s="8" t="s">
        <v>1124</v>
      </c>
    </row>
    <row r="824" spans="1:12" x14ac:dyDescent="0.35">
      <c r="A824" s="11">
        <v>823</v>
      </c>
      <c r="B824" s="17">
        <v>45884.210370370369</v>
      </c>
      <c r="C824" s="18">
        <v>45884</v>
      </c>
      <c r="D824" s="10" t="s">
        <v>394</v>
      </c>
      <c r="E824" s="5">
        <v>0</v>
      </c>
      <c r="F824" s="15">
        <v>500</v>
      </c>
      <c r="G824" s="5">
        <v>500</v>
      </c>
      <c r="H824" s="10" t="s">
        <v>51</v>
      </c>
      <c r="I824" s="10" t="s">
        <v>71</v>
      </c>
      <c r="J824" s="10" t="s">
        <v>32</v>
      </c>
      <c r="K824" s="10" t="s">
        <v>20</v>
      </c>
      <c r="L824" s="10" t="s">
        <v>1125</v>
      </c>
    </row>
    <row r="825" spans="1:12" x14ac:dyDescent="0.35">
      <c r="A825" s="9">
        <v>824</v>
      </c>
      <c r="B825" s="19">
        <v>45885.412083333344</v>
      </c>
      <c r="C825" s="20">
        <v>45885</v>
      </c>
      <c r="D825" s="8" t="s">
        <v>551</v>
      </c>
      <c r="E825" s="3">
        <v>0</v>
      </c>
      <c r="F825" s="13">
        <v>8500</v>
      </c>
      <c r="G825" s="3">
        <v>8500</v>
      </c>
      <c r="H825" s="8" t="s">
        <v>51</v>
      </c>
      <c r="I825" s="8" t="s">
        <v>71</v>
      </c>
      <c r="J825" s="8" t="s">
        <v>31</v>
      </c>
      <c r="K825" s="8" t="s">
        <v>20</v>
      </c>
      <c r="L825" s="8" t="s">
        <v>1126</v>
      </c>
    </row>
    <row r="826" spans="1:12" x14ac:dyDescent="0.35">
      <c r="A826" s="11">
        <v>825</v>
      </c>
      <c r="B826" s="17">
        <v>45885.412951388891</v>
      </c>
      <c r="C826" s="18">
        <v>45885</v>
      </c>
      <c r="D826" s="10" t="s">
        <v>1127</v>
      </c>
      <c r="E826" s="14">
        <v>500</v>
      </c>
      <c r="F826" s="5">
        <v>0</v>
      </c>
      <c r="G826" s="5">
        <v>8000</v>
      </c>
      <c r="H826" s="10" t="s">
        <v>51</v>
      </c>
      <c r="I826" s="10" t="s">
        <v>52</v>
      </c>
      <c r="J826" s="10" t="s">
        <v>30</v>
      </c>
      <c r="K826" s="10" t="s">
        <v>20</v>
      </c>
      <c r="L826" s="10" t="s">
        <v>1128</v>
      </c>
    </row>
    <row r="827" spans="1:12" x14ac:dyDescent="0.35">
      <c r="A827" s="9">
        <v>826</v>
      </c>
      <c r="B827" s="19">
        <v>45885.424814814818</v>
      </c>
      <c r="C827" s="20">
        <v>45885</v>
      </c>
      <c r="D827" s="8" t="s">
        <v>1129</v>
      </c>
      <c r="E827" s="3">
        <v>0</v>
      </c>
      <c r="F827" s="13">
        <v>50000</v>
      </c>
      <c r="G827" s="3">
        <v>58000</v>
      </c>
      <c r="H827" s="8" t="s">
        <v>51</v>
      </c>
      <c r="I827" s="8" t="s">
        <v>71</v>
      </c>
      <c r="J827" s="8" t="s">
        <v>31</v>
      </c>
      <c r="K827" s="8" t="s">
        <v>20</v>
      </c>
      <c r="L827" s="8" t="s">
        <v>1130</v>
      </c>
    </row>
    <row r="828" spans="1:12" x14ac:dyDescent="0.35">
      <c r="A828" s="11">
        <v>827</v>
      </c>
      <c r="B828" s="17">
        <v>45885.424837962957</v>
      </c>
      <c r="C828" s="18">
        <v>45885</v>
      </c>
      <c r="D828" s="10" t="s">
        <v>79</v>
      </c>
      <c r="E828" s="14">
        <v>50</v>
      </c>
      <c r="F828" s="5">
        <v>0</v>
      </c>
      <c r="G828" s="5">
        <v>57950</v>
      </c>
      <c r="H828" s="10" t="s">
        <v>51</v>
      </c>
      <c r="I828" s="10" t="s">
        <v>52</v>
      </c>
      <c r="J828" s="10" t="s">
        <v>36</v>
      </c>
      <c r="K828" s="10" t="s">
        <v>20</v>
      </c>
      <c r="L828" s="10" t="s">
        <v>1131</v>
      </c>
    </row>
    <row r="829" spans="1:12" x14ac:dyDescent="0.35">
      <c r="A829" s="9">
        <v>828</v>
      </c>
      <c r="B829" s="19">
        <v>45885.426134259258</v>
      </c>
      <c r="C829" s="20">
        <v>45885</v>
      </c>
      <c r="D829" s="8" t="s">
        <v>1132</v>
      </c>
      <c r="E829" s="12">
        <v>17500</v>
      </c>
      <c r="F829" s="3">
        <v>0</v>
      </c>
      <c r="G829" s="3">
        <v>40450</v>
      </c>
      <c r="H829" s="8" t="s">
        <v>51</v>
      </c>
      <c r="I829" s="8" t="s">
        <v>52</v>
      </c>
      <c r="J829" s="8" t="s">
        <v>30</v>
      </c>
      <c r="K829" s="8" t="s">
        <v>20</v>
      </c>
      <c r="L829" s="8" t="s">
        <v>1133</v>
      </c>
    </row>
    <row r="830" spans="1:12" x14ac:dyDescent="0.35">
      <c r="A830" s="11">
        <v>829</v>
      </c>
      <c r="B830" s="17">
        <v>45885.430520833332</v>
      </c>
      <c r="C830" s="18">
        <v>45885</v>
      </c>
      <c r="D830" s="10" t="s">
        <v>1134</v>
      </c>
      <c r="E830" s="14">
        <v>3900</v>
      </c>
      <c r="F830" s="5">
        <v>0</v>
      </c>
      <c r="G830" s="5">
        <v>36550</v>
      </c>
      <c r="H830" s="10" t="s">
        <v>51</v>
      </c>
      <c r="I830" s="10" t="s">
        <v>52</v>
      </c>
      <c r="J830" s="10" t="s">
        <v>30</v>
      </c>
      <c r="K830" s="10" t="s">
        <v>20</v>
      </c>
      <c r="L830" s="10" t="s">
        <v>1135</v>
      </c>
    </row>
    <row r="831" spans="1:12" x14ac:dyDescent="0.35">
      <c r="A831" s="9">
        <v>830</v>
      </c>
      <c r="B831" s="19">
        <v>45885.436111111107</v>
      </c>
      <c r="C831" s="20">
        <v>45885</v>
      </c>
      <c r="D831" s="8" t="s">
        <v>1136</v>
      </c>
      <c r="E831" s="12">
        <v>3000</v>
      </c>
      <c r="F831" s="3">
        <v>0</v>
      </c>
      <c r="G831" s="3">
        <v>33550</v>
      </c>
      <c r="H831" s="8" t="s">
        <v>51</v>
      </c>
      <c r="I831" s="8" t="s">
        <v>52</v>
      </c>
      <c r="J831" s="8" t="s">
        <v>30</v>
      </c>
      <c r="K831" s="8" t="s">
        <v>20</v>
      </c>
      <c r="L831" s="8" t="s">
        <v>1137</v>
      </c>
    </row>
    <row r="832" spans="1:12" x14ac:dyDescent="0.35">
      <c r="A832" s="11">
        <v>831</v>
      </c>
      <c r="B832" s="17">
        <v>45885.437245370369</v>
      </c>
      <c r="C832" s="18">
        <v>45885</v>
      </c>
      <c r="D832" s="10" t="s">
        <v>1136</v>
      </c>
      <c r="E832" s="14">
        <v>1500</v>
      </c>
      <c r="F832" s="5">
        <v>0</v>
      </c>
      <c r="G832" s="5">
        <v>32050</v>
      </c>
      <c r="H832" s="10" t="s">
        <v>51</v>
      </c>
      <c r="I832" s="10" t="s">
        <v>52</v>
      </c>
      <c r="J832" s="10" t="s">
        <v>30</v>
      </c>
      <c r="K832" s="10" t="s">
        <v>20</v>
      </c>
      <c r="L832" s="10" t="s">
        <v>1138</v>
      </c>
    </row>
    <row r="833" spans="1:12" x14ac:dyDescent="0.35">
      <c r="A833" s="9">
        <v>832</v>
      </c>
      <c r="B833" s="19">
        <v>45885.44358796296</v>
      </c>
      <c r="C833" s="20">
        <v>45885</v>
      </c>
      <c r="D833" s="8" t="s">
        <v>1139</v>
      </c>
      <c r="E833" s="12">
        <v>7500</v>
      </c>
      <c r="F833" s="3">
        <v>0</v>
      </c>
      <c r="G833" s="3">
        <v>24550</v>
      </c>
      <c r="H833" s="8" t="s">
        <v>33</v>
      </c>
      <c r="I833" s="8" t="s">
        <v>52</v>
      </c>
      <c r="J833" s="8" t="s">
        <v>33</v>
      </c>
      <c r="K833" s="8" t="s">
        <v>20</v>
      </c>
      <c r="L833" s="8" t="s">
        <v>1140</v>
      </c>
    </row>
    <row r="834" spans="1:12" x14ac:dyDescent="0.35">
      <c r="A834" s="11">
        <v>833</v>
      </c>
      <c r="B834" s="17">
        <v>45885.454224537039</v>
      </c>
      <c r="C834" s="18">
        <v>45885</v>
      </c>
      <c r="D834" s="10" t="s">
        <v>1141</v>
      </c>
      <c r="E834" s="14">
        <v>1000</v>
      </c>
      <c r="F834" s="5">
        <v>0</v>
      </c>
      <c r="G834" s="5">
        <v>23550</v>
      </c>
      <c r="H834" s="10" t="s">
        <v>51</v>
      </c>
      <c r="I834" s="10" t="s">
        <v>52</v>
      </c>
      <c r="J834" s="10" t="s">
        <v>30</v>
      </c>
      <c r="K834" s="10" t="s">
        <v>20</v>
      </c>
      <c r="L834" s="10" t="s">
        <v>1142</v>
      </c>
    </row>
    <row r="835" spans="1:12" x14ac:dyDescent="0.35">
      <c r="A835" s="9">
        <v>834</v>
      </c>
      <c r="B835" s="19">
        <v>45885.461539351847</v>
      </c>
      <c r="C835" s="20">
        <v>45885</v>
      </c>
      <c r="D835" s="8" t="s">
        <v>1143</v>
      </c>
      <c r="E835" s="12">
        <v>1000</v>
      </c>
      <c r="F835" s="3">
        <v>0</v>
      </c>
      <c r="G835" s="3">
        <v>22550</v>
      </c>
      <c r="H835" s="8" t="s">
        <v>33</v>
      </c>
      <c r="I835" s="8" t="s">
        <v>52</v>
      </c>
      <c r="J835" s="8" t="s">
        <v>34</v>
      </c>
      <c r="K835" s="8" t="s">
        <v>20</v>
      </c>
      <c r="L835" s="8" t="s">
        <v>1144</v>
      </c>
    </row>
    <row r="836" spans="1:12" x14ac:dyDescent="0.35">
      <c r="A836" s="11">
        <v>835</v>
      </c>
      <c r="B836" s="17">
        <v>45885.792199074072</v>
      </c>
      <c r="C836" s="18">
        <v>45885</v>
      </c>
      <c r="D836" s="10" t="s">
        <v>1145</v>
      </c>
      <c r="E836" s="14">
        <v>2000</v>
      </c>
      <c r="F836" s="5">
        <v>0</v>
      </c>
      <c r="G836" s="5">
        <v>20550</v>
      </c>
      <c r="H836" s="10" t="s">
        <v>33</v>
      </c>
      <c r="I836" s="10" t="s">
        <v>52</v>
      </c>
      <c r="J836" s="10" t="s">
        <v>34</v>
      </c>
      <c r="K836" s="10" t="s">
        <v>20</v>
      </c>
      <c r="L836" s="10" t="s">
        <v>1146</v>
      </c>
    </row>
    <row r="837" spans="1:12" x14ac:dyDescent="0.35">
      <c r="A837" s="9">
        <v>836</v>
      </c>
      <c r="B837" s="19">
        <v>45885.798078703701</v>
      </c>
      <c r="C837" s="20">
        <v>45885</v>
      </c>
      <c r="D837" s="8" t="s">
        <v>1147</v>
      </c>
      <c r="E837" s="12">
        <v>1510</v>
      </c>
      <c r="F837" s="3">
        <v>0</v>
      </c>
      <c r="G837" s="3">
        <v>19040</v>
      </c>
      <c r="H837" s="8" t="s">
        <v>51</v>
      </c>
      <c r="I837" s="8" t="s">
        <v>52</v>
      </c>
      <c r="J837" s="8" t="s">
        <v>30</v>
      </c>
      <c r="K837" s="8" t="s">
        <v>20</v>
      </c>
      <c r="L837" s="8" t="s">
        <v>1148</v>
      </c>
    </row>
    <row r="838" spans="1:12" x14ac:dyDescent="0.35">
      <c r="A838" s="11">
        <v>837</v>
      </c>
      <c r="B838" s="17">
        <v>45885.926296296297</v>
      </c>
      <c r="C838" s="18">
        <v>45885</v>
      </c>
      <c r="D838" s="10" t="s">
        <v>426</v>
      </c>
      <c r="E838" s="14">
        <v>19040</v>
      </c>
      <c r="F838" s="5">
        <v>0</v>
      </c>
      <c r="G838" s="5">
        <v>0</v>
      </c>
      <c r="H838" s="10" t="s">
        <v>51</v>
      </c>
      <c r="I838" s="10" t="s">
        <v>52</v>
      </c>
      <c r="J838" s="10" t="s">
        <v>32</v>
      </c>
      <c r="K838" s="10" t="s">
        <v>20</v>
      </c>
      <c r="L838" s="10" t="s">
        <v>1149</v>
      </c>
    </row>
    <row r="839" spans="1:12" x14ac:dyDescent="0.35">
      <c r="A839" s="9">
        <v>838</v>
      </c>
      <c r="B839" s="19">
        <v>45886.210381944453</v>
      </c>
      <c r="C839" s="20">
        <v>45886</v>
      </c>
      <c r="D839" s="8" t="s">
        <v>342</v>
      </c>
      <c r="E839" s="12">
        <v>500</v>
      </c>
      <c r="F839" s="3">
        <v>0</v>
      </c>
      <c r="G839" s="3">
        <v>0</v>
      </c>
      <c r="H839" s="8" t="s">
        <v>51</v>
      </c>
      <c r="I839" s="8" t="s">
        <v>52</v>
      </c>
      <c r="J839" s="8" t="s">
        <v>33</v>
      </c>
      <c r="K839" s="8" t="s">
        <v>20</v>
      </c>
      <c r="L839" s="8" t="s">
        <v>1150</v>
      </c>
    </row>
    <row r="840" spans="1:12" x14ac:dyDescent="0.35">
      <c r="A840" s="11">
        <v>839</v>
      </c>
      <c r="B840" s="17">
        <v>45886.210393518522</v>
      </c>
      <c r="C840" s="18">
        <v>45886</v>
      </c>
      <c r="D840" s="10" t="s">
        <v>394</v>
      </c>
      <c r="E840" s="5">
        <v>0</v>
      </c>
      <c r="F840" s="15">
        <v>500</v>
      </c>
      <c r="G840" s="5">
        <v>500</v>
      </c>
      <c r="H840" s="10" t="s">
        <v>51</v>
      </c>
      <c r="I840" s="10" t="s">
        <v>71</v>
      </c>
      <c r="J840" s="10" t="s">
        <v>32</v>
      </c>
      <c r="K840" s="10" t="s">
        <v>20</v>
      </c>
      <c r="L840" s="10" t="s">
        <v>1151</v>
      </c>
    </row>
    <row r="841" spans="1:12" x14ac:dyDescent="0.35">
      <c r="A841" s="9">
        <v>840</v>
      </c>
      <c r="B841" s="19">
        <v>45887.210324074083</v>
      </c>
      <c r="C841" s="20">
        <v>45887</v>
      </c>
      <c r="D841" s="8" t="s">
        <v>394</v>
      </c>
      <c r="E841" s="3">
        <v>0</v>
      </c>
      <c r="F841" s="13">
        <v>500</v>
      </c>
      <c r="G841" s="3">
        <v>500</v>
      </c>
      <c r="H841" s="8" t="s">
        <v>51</v>
      </c>
      <c r="I841" s="8" t="s">
        <v>71</v>
      </c>
      <c r="J841" s="8" t="s">
        <v>32</v>
      </c>
      <c r="K841" s="8" t="s">
        <v>20</v>
      </c>
      <c r="L841" s="8" t="s">
        <v>1152</v>
      </c>
    </row>
    <row r="842" spans="1:12" x14ac:dyDescent="0.35">
      <c r="A842" s="11">
        <v>841</v>
      </c>
      <c r="B842" s="17">
        <v>45887.210324074083</v>
      </c>
      <c r="C842" s="18">
        <v>45887</v>
      </c>
      <c r="D842" s="10" t="s">
        <v>342</v>
      </c>
      <c r="E842" s="14">
        <v>500</v>
      </c>
      <c r="F842" s="5">
        <v>0</v>
      </c>
      <c r="G842" s="5">
        <v>0</v>
      </c>
      <c r="H842" s="10" t="s">
        <v>51</v>
      </c>
      <c r="I842" s="10" t="s">
        <v>52</v>
      </c>
      <c r="J842" s="10" t="s">
        <v>33</v>
      </c>
      <c r="K842" s="10" t="s">
        <v>20</v>
      </c>
      <c r="L842" s="10" t="s">
        <v>1153</v>
      </c>
    </row>
    <row r="843" spans="1:12" x14ac:dyDescent="0.35">
      <c r="A843" s="9">
        <v>842</v>
      </c>
      <c r="B843" s="19">
        <v>45887.551516203697</v>
      </c>
      <c r="C843" s="20">
        <v>45887</v>
      </c>
      <c r="D843" s="8" t="s">
        <v>1154</v>
      </c>
      <c r="E843" s="12">
        <v>8100</v>
      </c>
      <c r="F843" s="3">
        <v>0</v>
      </c>
      <c r="G843" s="3">
        <v>0</v>
      </c>
      <c r="H843" s="8" t="s">
        <v>51</v>
      </c>
      <c r="I843" s="8" t="s">
        <v>52</v>
      </c>
      <c r="J843" s="8" t="s">
        <v>30</v>
      </c>
      <c r="K843" s="8" t="s">
        <v>20</v>
      </c>
      <c r="L843" s="8" t="s">
        <v>1155</v>
      </c>
    </row>
    <row r="844" spans="1:12" x14ac:dyDescent="0.35">
      <c r="A844" s="11">
        <v>843</v>
      </c>
      <c r="B844" s="17">
        <v>45887.551562499997</v>
      </c>
      <c r="C844" s="18">
        <v>45887</v>
      </c>
      <c r="D844" s="10" t="s">
        <v>394</v>
      </c>
      <c r="E844" s="5">
        <v>0</v>
      </c>
      <c r="F844" s="15">
        <v>8100</v>
      </c>
      <c r="G844" s="5">
        <v>8100</v>
      </c>
      <c r="H844" s="10" t="s">
        <v>51</v>
      </c>
      <c r="I844" s="10" t="s">
        <v>71</v>
      </c>
      <c r="J844" s="10" t="s">
        <v>32</v>
      </c>
      <c r="K844" s="10" t="s">
        <v>20</v>
      </c>
      <c r="L844" s="10" t="s">
        <v>1156</v>
      </c>
    </row>
    <row r="845" spans="1:12" x14ac:dyDescent="0.35">
      <c r="A845" s="9">
        <v>844</v>
      </c>
      <c r="B845" s="19">
        <v>45887.729768518519</v>
      </c>
      <c r="C845" s="20">
        <v>45887</v>
      </c>
      <c r="D845" s="8" t="s">
        <v>1157</v>
      </c>
      <c r="E845" s="12">
        <v>2100</v>
      </c>
      <c r="F845" s="3">
        <v>0</v>
      </c>
      <c r="G845" s="3">
        <v>0</v>
      </c>
      <c r="H845" s="8" t="s">
        <v>33</v>
      </c>
      <c r="I845" s="8" t="s">
        <v>52</v>
      </c>
      <c r="J845" s="8" t="s">
        <v>34</v>
      </c>
      <c r="K845" s="8" t="s">
        <v>20</v>
      </c>
      <c r="L845" s="8" t="s">
        <v>1158</v>
      </c>
    </row>
    <row r="846" spans="1:12" x14ac:dyDescent="0.35">
      <c r="A846" s="11">
        <v>845</v>
      </c>
      <c r="B846" s="17">
        <v>45887.729768518519</v>
      </c>
      <c r="C846" s="18">
        <v>45887</v>
      </c>
      <c r="D846" s="10" t="s">
        <v>394</v>
      </c>
      <c r="E846" s="5">
        <v>0</v>
      </c>
      <c r="F846" s="15">
        <v>2100</v>
      </c>
      <c r="G846" s="5">
        <v>2100</v>
      </c>
      <c r="H846" s="10" t="s">
        <v>51</v>
      </c>
      <c r="I846" s="10" t="s">
        <v>71</v>
      </c>
      <c r="J846" s="10" t="s">
        <v>32</v>
      </c>
      <c r="K846" s="10" t="s">
        <v>20</v>
      </c>
      <c r="L846" s="10" t="s">
        <v>1159</v>
      </c>
    </row>
    <row r="847" spans="1:12" x14ac:dyDescent="0.35">
      <c r="A847" s="9">
        <v>846</v>
      </c>
      <c r="B847" s="19">
        <v>45888.21025462963</v>
      </c>
      <c r="C847" s="20">
        <v>45888</v>
      </c>
      <c r="D847" s="8" t="s">
        <v>394</v>
      </c>
      <c r="E847" s="3">
        <v>0</v>
      </c>
      <c r="F847" s="13">
        <v>500</v>
      </c>
      <c r="G847" s="3">
        <v>500</v>
      </c>
      <c r="H847" s="8" t="s">
        <v>51</v>
      </c>
      <c r="I847" s="8" t="s">
        <v>71</v>
      </c>
      <c r="J847" s="8" t="s">
        <v>32</v>
      </c>
      <c r="K847" s="8" t="s">
        <v>20</v>
      </c>
      <c r="L847" s="8" t="s">
        <v>1160</v>
      </c>
    </row>
    <row r="848" spans="1:12" x14ac:dyDescent="0.35">
      <c r="A848" s="11">
        <v>847</v>
      </c>
      <c r="B848" s="17">
        <v>45888.21025462963</v>
      </c>
      <c r="C848" s="18">
        <v>45888</v>
      </c>
      <c r="D848" s="10" t="s">
        <v>342</v>
      </c>
      <c r="E848" s="14">
        <v>500</v>
      </c>
      <c r="F848" s="5">
        <v>0</v>
      </c>
      <c r="G848" s="5">
        <v>0</v>
      </c>
      <c r="H848" s="10" t="s">
        <v>51</v>
      </c>
      <c r="I848" s="10" t="s">
        <v>52</v>
      </c>
      <c r="J848" s="10" t="s">
        <v>33</v>
      </c>
      <c r="K848" s="10" t="s">
        <v>20</v>
      </c>
      <c r="L848" s="10" t="s">
        <v>1161</v>
      </c>
    </row>
    <row r="849" spans="1:12" x14ac:dyDescent="0.35">
      <c r="A849" s="9">
        <v>848</v>
      </c>
      <c r="B849" s="19">
        <v>45889.210231481477</v>
      </c>
      <c r="C849" s="20">
        <v>45889</v>
      </c>
      <c r="D849" s="8" t="s">
        <v>394</v>
      </c>
      <c r="E849" s="3">
        <v>0</v>
      </c>
      <c r="F849" s="13">
        <v>500</v>
      </c>
      <c r="G849" s="3">
        <v>500</v>
      </c>
      <c r="H849" s="8" t="s">
        <v>51</v>
      </c>
      <c r="I849" s="8" t="s">
        <v>71</v>
      </c>
      <c r="J849" s="8" t="s">
        <v>32</v>
      </c>
      <c r="K849" s="8" t="s">
        <v>20</v>
      </c>
      <c r="L849" s="8" t="s">
        <v>1162</v>
      </c>
    </row>
    <row r="850" spans="1:12" x14ac:dyDescent="0.35">
      <c r="A850" s="11">
        <v>849</v>
      </c>
      <c r="B850" s="17">
        <v>45889.210231481477</v>
      </c>
      <c r="C850" s="18">
        <v>45889</v>
      </c>
      <c r="D850" s="10" t="s">
        <v>342</v>
      </c>
      <c r="E850" s="14">
        <v>500</v>
      </c>
      <c r="F850" s="5">
        <v>0</v>
      </c>
      <c r="G850" s="5">
        <v>0</v>
      </c>
      <c r="H850" s="10" t="s">
        <v>51</v>
      </c>
      <c r="I850" s="10" t="s">
        <v>52</v>
      </c>
      <c r="J850" s="10" t="s">
        <v>33</v>
      </c>
      <c r="K850" s="10" t="s">
        <v>20</v>
      </c>
      <c r="L850" s="10" t="s">
        <v>1163</v>
      </c>
    </row>
    <row r="851" spans="1:12" x14ac:dyDescent="0.35">
      <c r="A851" s="9">
        <v>850</v>
      </c>
      <c r="B851" s="19">
        <v>45889.350405092591</v>
      </c>
      <c r="C851" s="20">
        <v>45889</v>
      </c>
      <c r="D851" s="8" t="s">
        <v>1164</v>
      </c>
      <c r="E851" s="12">
        <v>2100</v>
      </c>
      <c r="F851" s="3">
        <v>0</v>
      </c>
      <c r="G851" s="3">
        <v>0</v>
      </c>
      <c r="H851" s="8" t="s">
        <v>51</v>
      </c>
      <c r="I851" s="8" t="s">
        <v>52</v>
      </c>
      <c r="J851" s="8" t="s">
        <v>30</v>
      </c>
      <c r="K851" s="8" t="s">
        <v>20</v>
      </c>
      <c r="L851" s="8" t="s">
        <v>1165</v>
      </c>
    </row>
    <row r="852" spans="1:12" x14ac:dyDescent="0.35">
      <c r="A852" s="11">
        <v>851</v>
      </c>
      <c r="B852" s="17">
        <v>45889.350451388891</v>
      </c>
      <c r="C852" s="18">
        <v>45889</v>
      </c>
      <c r="D852" s="10" t="s">
        <v>394</v>
      </c>
      <c r="E852" s="5">
        <v>0</v>
      </c>
      <c r="F852" s="15">
        <v>2100</v>
      </c>
      <c r="G852" s="5">
        <v>2100</v>
      </c>
      <c r="H852" s="10" t="s">
        <v>51</v>
      </c>
      <c r="I852" s="10" t="s">
        <v>71</v>
      </c>
      <c r="J852" s="10" t="s">
        <v>32</v>
      </c>
      <c r="K852" s="10" t="s">
        <v>20</v>
      </c>
      <c r="L852" s="10" t="s">
        <v>1166</v>
      </c>
    </row>
    <row r="853" spans="1:12" x14ac:dyDescent="0.35">
      <c r="A853" s="9">
        <v>852</v>
      </c>
      <c r="B853" s="19">
        <v>45889.583368055559</v>
      </c>
      <c r="C853" s="20">
        <v>45889</v>
      </c>
      <c r="D853" s="8" t="s">
        <v>1167</v>
      </c>
      <c r="E853" s="12">
        <v>1300</v>
      </c>
      <c r="F853" s="3">
        <v>0</v>
      </c>
      <c r="G853" s="3">
        <v>0</v>
      </c>
      <c r="H853" s="8" t="s">
        <v>51</v>
      </c>
      <c r="I853" s="8" t="s">
        <v>52</v>
      </c>
      <c r="J853" s="8" t="s">
        <v>30</v>
      </c>
      <c r="K853" s="8" t="s">
        <v>20</v>
      </c>
      <c r="L853" s="8" t="s">
        <v>1168</v>
      </c>
    </row>
    <row r="854" spans="1:12" x14ac:dyDescent="0.35">
      <c r="A854" s="11">
        <v>853</v>
      </c>
      <c r="B854" s="17">
        <v>45889.583402777767</v>
      </c>
      <c r="C854" s="18">
        <v>45889</v>
      </c>
      <c r="D854" s="10" t="s">
        <v>394</v>
      </c>
      <c r="E854" s="5">
        <v>0</v>
      </c>
      <c r="F854" s="15">
        <v>1300</v>
      </c>
      <c r="G854" s="5">
        <v>1300</v>
      </c>
      <c r="H854" s="10" t="s">
        <v>51</v>
      </c>
      <c r="I854" s="10" t="s">
        <v>71</v>
      </c>
      <c r="J854" s="10" t="s">
        <v>32</v>
      </c>
      <c r="K854" s="10" t="s">
        <v>20</v>
      </c>
      <c r="L854" s="10" t="s">
        <v>1169</v>
      </c>
    </row>
    <row r="855" spans="1:12" x14ac:dyDescent="0.35">
      <c r="A855" s="9">
        <v>854</v>
      </c>
      <c r="B855" s="19">
        <v>45890.210219907407</v>
      </c>
      <c r="C855" s="20">
        <v>45890</v>
      </c>
      <c r="D855" s="8" t="s">
        <v>394</v>
      </c>
      <c r="E855" s="3">
        <v>0</v>
      </c>
      <c r="F855" s="13">
        <v>500</v>
      </c>
      <c r="G855" s="3">
        <v>500</v>
      </c>
      <c r="H855" s="8" t="s">
        <v>51</v>
      </c>
      <c r="I855" s="8" t="s">
        <v>71</v>
      </c>
      <c r="J855" s="8" t="s">
        <v>32</v>
      </c>
      <c r="K855" s="8" t="s">
        <v>20</v>
      </c>
      <c r="L855" s="8" t="s">
        <v>1170</v>
      </c>
    </row>
    <row r="856" spans="1:12" x14ac:dyDescent="0.35">
      <c r="A856" s="11">
        <v>855</v>
      </c>
      <c r="B856" s="17">
        <v>45890.210219907407</v>
      </c>
      <c r="C856" s="18">
        <v>45890</v>
      </c>
      <c r="D856" s="10" t="s">
        <v>342</v>
      </c>
      <c r="E856" s="14">
        <v>500</v>
      </c>
      <c r="F856" s="5">
        <v>0</v>
      </c>
      <c r="G856" s="5">
        <v>0</v>
      </c>
      <c r="H856" s="10" t="s">
        <v>51</v>
      </c>
      <c r="I856" s="10" t="s">
        <v>52</v>
      </c>
      <c r="J856" s="10" t="s">
        <v>33</v>
      </c>
      <c r="K856" s="10" t="s">
        <v>20</v>
      </c>
      <c r="L856" s="10" t="s">
        <v>1171</v>
      </c>
    </row>
    <row r="857" spans="1:12" x14ac:dyDescent="0.35">
      <c r="A857" s="9">
        <v>856</v>
      </c>
      <c r="B857" s="19">
        <v>45890.547812500001</v>
      </c>
      <c r="C857" s="20">
        <v>45890</v>
      </c>
      <c r="D857" s="8" t="s">
        <v>1172</v>
      </c>
      <c r="E857" s="3">
        <v>0</v>
      </c>
      <c r="F857" s="13">
        <v>20000</v>
      </c>
      <c r="G857" s="3">
        <v>20000</v>
      </c>
      <c r="H857" s="8" t="s">
        <v>51</v>
      </c>
      <c r="I857" s="8" t="s">
        <v>71</v>
      </c>
      <c r="J857" s="8" t="s">
        <v>31</v>
      </c>
      <c r="K857" s="8" t="s">
        <v>20</v>
      </c>
      <c r="L857" s="8" t="s">
        <v>1173</v>
      </c>
    </row>
    <row r="858" spans="1:12" x14ac:dyDescent="0.35">
      <c r="A858" s="11">
        <v>857</v>
      </c>
      <c r="B858" s="17">
        <v>45890.547824074078</v>
      </c>
      <c r="C858" s="18">
        <v>45890</v>
      </c>
      <c r="D858" s="10" t="s">
        <v>79</v>
      </c>
      <c r="E858" s="14">
        <v>50</v>
      </c>
      <c r="F858" s="5">
        <v>0</v>
      </c>
      <c r="G858" s="5">
        <v>19950</v>
      </c>
      <c r="H858" s="10" t="s">
        <v>51</v>
      </c>
      <c r="I858" s="10" t="s">
        <v>52</v>
      </c>
      <c r="J858" s="10" t="s">
        <v>36</v>
      </c>
      <c r="K858" s="10" t="s">
        <v>20</v>
      </c>
      <c r="L858" s="10" t="s">
        <v>1174</v>
      </c>
    </row>
    <row r="859" spans="1:12" x14ac:dyDescent="0.35">
      <c r="A859" s="9">
        <v>858</v>
      </c>
      <c r="B859" s="19">
        <v>45890.559363425928</v>
      </c>
      <c r="C859" s="20">
        <v>45890</v>
      </c>
      <c r="D859" s="8" t="s">
        <v>1175</v>
      </c>
      <c r="E859" s="12">
        <v>11300</v>
      </c>
      <c r="F859" s="3">
        <v>0</v>
      </c>
      <c r="G859" s="3">
        <v>8650</v>
      </c>
      <c r="H859" s="8" t="s">
        <v>51</v>
      </c>
      <c r="I859" s="8" t="s">
        <v>52</v>
      </c>
      <c r="J859" s="8" t="s">
        <v>30</v>
      </c>
      <c r="K859" s="8" t="s">
        <v>20</v>
      </c>
      <c r="L859" s="8" t="s">
        <v>1176</v>
      </c>
    </row>
    <row r="860" spans="1:12" x14ac:dyDescent="0.35">
      <c r="A860" s="11">
        <v>859</v>
      </c>
      <c r="B860" s="17">
        <v>45890.794814814813</v>
      </c>
      <c r="C860" s="18">
        <v>45890</v>
      </c>
      <c r="D860" s="10" t="s">
        <v>186</v>
      </c>
      <c r="E860" s="14">
        <v>2000</v>
      </c>
      <c r="F860" s="5">
        <v>0</v>
      </c>
      <c r="G860" s="5">
        <v>8650</v>
      </c>
      <c r="H860" s="10" t="s">
        <v>51</v>
      </c>
      <c r="I860" s="10" t="s">
        <v>52</v>
      </c>
      <c r="J860" s="10" t="s">
        <v>37</v>
      </c>
      <c r="K860" s="10" t="s">
        <v>20</v>
      </c>
      <c r="L860" s="10" t="s">
        <v>1177</v>
      </c>
    </row>
    <row r="861" spans="1:12" x14ac:dyDescent="0.35">
      <c r="A861" s="9">
        <v>860</v>
      </c>
      <c r="B861" s="19">
        <v>45890.794953703713</v>
      </c>
      <c r="C861" s="20">
        <v>45890</v>
      </c>
      <c r="D861" s="8" t="s">
        <v>186</v>
      </c>
      <c r="E861" s="12">
        <v>2000</v>
      </c>
      <c r="F861" s="3">
        <v>0</v>
      </c>
      <c r="G861" s="3">
        <v>6650</v>
      </c>
      <c r="H861" s="8" t="s">
        <v>51</v>
      </c>
      <c r="I861" s="8" t="s">
        <v>52</v>
      </c>
      <c r="J861" s="8" t="s">
        <v>37</v>
      </c>
      <c r="K861" s="8" t="s">
        <v>20</v>
      </c>
      <c r="L861" s="8" t="s">
        <v>1178</v>
      </c>
    </row>
    <row r="862" spans="1:12" x14ac:dyDescent="0.35">
      <c r="A862" s="11">
        <v>861</v>
      </c>
      <c r="B862" s="17">
        <v>45890.92597222222</v>
      </c>
      <c r="C862" s="18">
        <v>45890</v>
      </c>
      <c r="D862" s="10" t="s">
        <v>426</v>
      </c>
      <c r="E862" s="14">
        <v>6650</v>
      </c>
      <c r="F862" s="5">
        <v>0</v>
      </c>
      <c r="G862" s="5">
        <v>0</v>
      </c>
      <c r="H862" s="10" t="s">
        <v>51</v>
      </c>
      <c r="I862" s="10" t="s">
        <v>52</v>
      </c>
      <c r="J862" s="10" t="s">
        <v>32</v>
      </c>
      <c r="K862" s="10" t="s">
        <v>20</v>
      </c>
      <c r="L862" s="10" t="s">
        <v>1179</v>
      </c>
    </row>
    <row r="863" spans="1:12" x14ac:dyDescent="0.35">
      <c r="A863" s="9">
        <v>862</v>
      </c>
      <c r="B863" s="19">
        <v>45891.21020833333</v>
      </c>
      <c r="C863" s="20">
        <v>45891</v>
      </c>
      <c r="D863" s="8" t="s">
        <v>394</v>
      </c>
      <c r="E863" s="3">
        <v>0</v>
      </c>
      <c r="F863" s="13">
        <v>500</v>
      </c>
      <c r="G863" s="3">
        <v>500</v>
      </c>
      <c r="H863" s="8" t="s">
        <v>51</v>
      </c>
      <c r="I863" s="8" t="s">
        <v>71</v>
      </c>
      <c r="J863" s="8" t="s">
        <v>32</v>
      </c>
      <c r="K863" s="8" t="s">
        <v>20</v>
      </c>
      <c r="L863" s="8" t="s">
        <v>1180</v>
      </c>
    </row>
    <row r="864" spans="1:12" x14ac:dyDescent="0.35">
      <c r="A864" s="11">
        <v>863</v>
      </c>
      <c r="B864" s="17">
        <v>45891.21020833333</v>
      </c>
      <c r="C864" s="18">
        <v>45891</v>
      </c>
      <c r="D864" s="10" t="s">
        <v>342</v>
      </c>
      <c r="E864" s="14">
        <v>500</v>
      </c>
      <c r="F864" s="5">
        <v>0</v>
      </c>
      <c r="G864" s="5">
        <v>0</v>
      </c>
      <c r="H864" s="10" t="s">
        <v>51</v>
      </c>
      <c r="I864" s="10" t="s">
        <v>52</v>
      </c>
      <c r="J864" s="10" t="s">
        <v>33</v>
      </c>
      <c r="K864" s="10" t="s">
        <v>20</v>
      </c>
      <c r="L864" s="10" t="s">
        <v>1181</v>
      </c>
    </row>
    <row r="865" spans="1:12" x14ac:dyDescent="0.35">
      <c r="A865" s="9">
        <v>864</v>
      </c>
      <c r="B865" s="19">
        <v>45891.998067129629</v>
      </c>
      <c r="C865" s="20">
        <v>45891</v>
      </c>
      <c r="D865" s="8" t="s">
        <v>1182</v>
      </c>
      <c r="E865" s="12">
        <v>3000</v>
      </c>
      <c r="F865" s="3">
        <v>0</v>
      </c>
      <c r="G865" s="3">
        <v>0</v>
      </c>
      <c r="H865" s="8" t="s">
        <v>51</v>
      </c>
      <c r="I865" s="8" t="s">
        <v>52</v>
      </c>
      <c r="J865" s="8" t="s">
        <v>30</v>
      </c>
      <c r="K865" s="8" t="s">
        <v>20</v>
      </c>
      <c r="L865" s="8" t="s">
        <v>1183</v>
      </c>
    </row>
    <row r="866" spans="1:12" x14ac:dyDescent="0.35">
      <c r="A866" s="11">
        <v>865</v>
      </c>
      <c r="B866" s="17">
        <v>45891.998113425929</v>
      </c>
      <c r="C866" s="18">
        <v>45891</v>
      </c>
      <c r="D866" s="10" t="s">
        <v>394</v>
      </c>
      <c r="E866" s="5">
        <v>0</v>
      </c>
      <c r="F866" s="15">
        <v>3000</v>
      </c>
      <c r="G866" s="5">
        <v>3000</v>
      </c>
      <c r="H866" s="10" t="s">
        <v>51</v>
      </c>
      <c r="I866" s="10" t="s">
        <v>71</v>
      </c>
      <c r="J866" s="10" t="s">
        <v>32</v>
      </c>
      <c r="K866" s="10" t="s">
        <v>20</v>
      </c>
      <c r="L866" s="10" t="s">
        <v>1184</v>
      </c>
    </row>
    <row r="867" spans="1:12" x14ac:dyDescent="0.35">
      <c r="A867" s="9">
        <v>866</v>
      </c>
      <c r="B867" s="19">
        <v>45892.210196759261</v>
      </c>
      <c r="C867" s="20">
        <v>45892</v>
      </c>
      <c r="D867" s="8" t="s">
        <v>394</v>
      </c>
      <c r="E867" s="3">
        <v>0</v>
      </c>
      <c r="F867" s="13">
        <v>500</v>
      </c>
      <c r="G867" s="3">
        <v>500</v>
      </c>
      <c r="H867" s="8" t="s">
        <v>51</v>
      </c>
      <c r="I867" s="8" t="s">
        <v>71</v>
      </c>
      <c r="J867" s="8" t="s">
        <v>32</v>
      </c>
      <c r="K867" s="8" t="s">
        <v>20</v>
      </c>
      <c r="L867" s="8" t="s">
        <v>1185</v>
      </c>
    </row>
    <row r="868" spans="1:12" x14ac:dyDescent="0.35">
      <c r="A868" s="11">
        <v>867</v>
      </c>
      <c r="B868" s="17">
        <v>45892.210196759261</v>
      </c>
      <c r="C868" s="18">
        <v>45892</v>
      </c>
      <c r="D868" s="10" t="s">
        <v>342</v>
      </c>
      <c r="E868" s="14">
        <v>500</v>
      </c>
      <c r="F868" s="5">
        <v>0</v>
      </c>
      <c r="G868" s="5">
        <v>0</v>
      </c>
      <c r="H868" s="10" t="s">
        <v>51</v>
      </c>
      <c r="I868" s="10" t="s">
        <v>52</v>
      </c>
      <c r="J868" s="10" t="s">
        <v>33</v>
      </c>
      <c r="K868" s="10" t="s">
        <v>20</v>
      </c>
      <c r="L868" s="10" t="s">
        <v>1186</v>
      </c>
    </row>
    <row r="869" spans="1:12" x14ac:dyDescent="0.35">
      <c r="A869" s="9">
        <v>868</v>
      </c>
      <c r="B869" s="19">
        <v>45892.68953703704</v>
      </c>
      <c r="C869" s="20">
        <v>45892</v>
      </c>
      <c r="D869" s="8" t="s">
        <v>1187</v>
      </c>
      <c r="E869" s="12">
        <v>1500</v>
      </c>
      <c r="F869" s="3">
        <v>0</v>
      </c>
      <c r="G869" s="3">
        <v>0</v>
      </c>
      <c r="H869" s="8" t="s">
        <v>51</v>
      </c>
      <c r="I869" s="8" t="s">
        <v>52</v>
      </c>
      <c r="J869" s="8" t="s">
        <v>30</v>
      </c>
      <c r="K869" s="8" t="s">
        <v>20</v>
      </c>
      <c r="L869" s="8" t="s">
        <v>1188</v>
      </c>
    </row>
    <row r="870" spans="1:12" x14ac:dyDescent="0.35">
      <c r="A870" s="11">
        <v>869</v>
      </c>
      <c r="B870" s="17">
        <v>45892.68959490741</v>
      </c>
      <c r="C870" s="18">
        <v>45892</v>
      </c>
      <c r="D870" s="10" t="s">
        <v>394</v>
      </c>
      <c r="E870" s="5">
        <v>0</v>
      </c>
      <c r="F870" s="15">
        <v>1500</v>
      </c>
      <c r="G870" s="5">
        <v>1500</v>
      </c>
      <c r="H870" s="10" t="s">
        <v>51</v>
      </c>
      <c r="I870" s="10" t="s">
        <v>71</v>
      </c>
      <c r="J870" s="10" t="s">
        <v>32</v>
      </c>
      <c r="K870" s="10" t="s">
        <v>20</v>
      </c>
      <c r="L870" s="10" t="s">
        <v>1189</v>
      </c>
    </row>
    <row r="871" spans="1:12" x14ac:dyDescent="0.35">
      <c r="A871" s="9">
        <v>870</v>
      </c>
      <c r="B871" s="19">
        <v>45892.711192129631</v>
      </c>
      <c r="C871" s="20">
        <v>45892</v>
      </c>
      <c r="D871" s="8" t="s">
        <v>1190</v>
      </c>
      <c r="E871" s="12">
        <v>1500</v>
      </c>
      <c r="F871" s="3">
        <v>0</v>
      </c>
      <c r="G871" s="3">
        <v>0</v>
      </c>
      <c r="H871" s="8" t="s">
        <v>51</v>
      </c>
      <c r="I871" s="8" t="s">
        <v>52</v>
      </c>
      <c r="J871" s="8" t="s">
        <v>30</v>
      </c>
      <c r="K871" s="8" t="s">
        <v>20</v>
      </c>
      <c r="L871" s="8" t="s">
        <v>1191</v>
      </c>
    </row>
    <row r="872" spans="1:12" x14ac:dyDescent="0.35">
      <c r="A872" s="11">
        <v>871</v>
      </c>
      <c r="B872" s="17">
        <v>45892.711226851847</v>
      </c>
      <c r="C872" s="18">
        <v>45892</v>
      </c>
      <c r="D872" s="10" t="s">
        <v>394</v>
      </c>
      <c r="E872" s="5">
        <v>0</v>
      </c>
      <c r="F872" s="15">
        <v>1500</v>
      </c>
      <c r="G872" s="5">
        <v>1500</v>
      </c>
      <c r="H872" s="10" t="s">
        <v>51</v>
      </c>
      <c r="I872" s="10" t="s">
        <v>71</v>
      </c>
      <c r="J872" s="10" t="s">
        <v>32</v>
      </c>
      <c r="K872" s="10" t="s">
        <v>20</v>
      </c>
      <c r="L872" s="10" t="s">
        <v>1192</v>
      </c>
    </row>
    <row r="873" spans="1:12" x14ac:dyDescent="0.35">
      <c r="A873" s="9">
        <v>872</v>
      </c>
      <c r="B873" s="19">
        <v>45893.210162037038</v>
      </c>
      <c r="C873" s="20">
        <v>45893</v>
      </c>
      <c r="D873" s="8" t="s">
        <v>394</v>
      </c>
      <c r="E873" s="3">
        <v>0</v>
      </c>
      <c r="F873" s="13">
        <v>500</v>
      </c>
      <c r="G873" s="3">
        <v>500</v>
      </c>
      <c r="H873" s="8" t="s">
        <v>51</v>
      </c>
      <c r="I873" s="8" t="s">
        <v>71</v>
      </c>
      <c r="J873" s="8" t="s">
        <v>32</v>
      </c>
      <c r="K873" s="8" t="s">
        <v>20</v>
      </c>
      <c r="L873" s="8" t="s">
        <v>1193</v>
      </c>
    </row>
    <row r="874" spans="1:12" x14ac:dyDescent="0.35">
      <c r="A874" s="11">
        <v>873</v>
      </c>
      <c r="B874" s="17">
        <v>45893.210162037038</v>
      </c>
      <c r="C874" s="18">
        <v>45893</v>
      </c>
      <c r="D874" s="10" t="s">
        <v>342</v>
      </c>
      <c r="E874" s="14">
        <v>500</v>
      </c>
      <c r="F874" s="5">
        <v>0</v>
      </c>
      <c r="G874" s="5">
        <v>0</v>
      </c>
      <c r="H874" s="10" t="s">
        <v>51</v>
      </c>
      <c r="I874" s="10" t="s">
        <v>52</v>
      </c>
      <c r="J874" s="10" t="s">
        <v>33</v>
      </c>
      <c r="K874" s="10" t="s">
        <v>20</v>
      </c>
      <c r="L874" s="10" t="s">
        <v>1194</v>
      </c>
    </row>
    <row r="875" spans="1:12" x14ac:dyDescent="0.35">
      <c r="A875" s="9">
        <v>874</v>
      </c>
      <c r="B875" s="19">
        <v>45893.474814814806</v>
      </c>
      <c r="C875" s="20">
        <v>45893</v>
      </c>
      <c r="D875" s="8" t="s">
        <v>1195</v>
      </c>
      <c r="E875" s="12">
        <v>1500</v>
      </c>
      <c r="F875" s="3">
        <v>0</v>
      </c>
      <c r="G875" s="3">
        <v>0</v>
      </c>
      <c r="H875" s="8" t="s">
        <v>51</v>
      </c>
      <c r="I875" s="8" t="s">
        <v>52</v>
      </c>
      <c r="J875" s="8" t="s">
        <v>30</v>
      </c>
      <c r="K875" s="8" t="s">
        <v>20</v>
      </c>
      <c r="L875" s="8" t="s">
        <v>1196</v>
      </c>
    </row>
    <row r="876" spans="1:12" x14ac:dyDescent="0.35">
      <c r="A876" s="11">
        <v>875</v>
      </c>
      <c r="B876" s="17">
        <v>45893.474872685183</v>
      </c>
      <c r="C876" s="18">
        <v>45893</v>
      </c>
      <c r="D876" s="10" t="s">
        <v>394</v>
      </c>
      <c r="E876" s="5">
        <v>0</v>
      </c>
      <c r="F876" s="15">
        <v>1500</v>
      </c>
      <c r="G876" s="5">
        <v>1500</v>
      </c>
      <c r="H876" s="10" t="s">
        <v>51</v>
      </c>
      <c r="I876" s="10" t="s">
        <v>71</v>
      </c>
      <c r="J876" s="10" t="s">
        <v>32</v>
      </c>
      <c r="K876" s="10" t="s">
        <v>20</v>
      </c>
      <c r="L876" s="10" t="s">
        <v>1197</v>
      </c>
    </row>
    <row r="877" spans="1:12" x14ac:dyDescent="0.35">
      <c r="A877" s="9">
        <v>876</v>
      </c>
      <c r="B877" s="19">
        <v>45894.209849537037</v>
      </c>
      <c r="C877" s="20">
        <v>45894</v>
      </c>
      <c r="D877" s="8" t="s">
        <v>342</v>
      </c>
      <c r="E877" s="12">
        <v>500</v>
      </c>
      <c r="F877" s="3">
        <v>0</v>
      </c>
      <c r="G877" s="3">
        <v>0</v>
      </c>
      <c r="H877" s="8" t="s">
        <v>51</v>
      </c>
      <c r="I877" s="8" t="s">
        <v>52</v>
      </c>
      <c r="J877" s="8" t="s">
        <v>33</v>
      </c>
      <c r="K877" s="8" t="s">
        <v>20</v>
      </c>
      <c r="L877" s="8" t="s">
        <v>1198</v>
      </c>
    </row>
    <row r="878" spans="1:12" x14ac:dyDescent="0.35">
      <c r="A878" s="11">
        <v>877</v>
      </c>
      <c r="B878" s="17">
        <v>45894.209861111107</v>
      </c>
      <c r="C878" s="18">
        <v>45894</v>
      </c>
      <c r="D878" s="10" t="s">
        <v>394</v>
      </c>
      <c r="E878" s="5">
        <v>0</v>
      </c>
      <c r="F878" s="15">
        <v>500</v>
      </c>
      <c r="G878" s="5">
        <v>500</v>
      </c>
      <c r="H878" s="10" t="s">
        <v>51</v>
      </c>
      <c r="I878" s="10" t="s">
        <v>71</v>
      </c>
      <c r="J878" s="10" t="s">
        <v>32</v>
      </c>
      <c r="K878" s="10" t="s">
        <v>20</v>
      </c>
      <c r="L878" s="10" t="s">
        <v>1199</v>
      </c>
    </row>
    <row r="879" spans="1:12" x14ac:dyDescent="0.35">
      <c r="A879" s="9">
        <v>878</v>
      </c>
      <c r="B879" s="19">
        <v>45894.589328703703</v>
      </c>
      <c r="C879" s="20">
        <v>45894</v>
      </c>
      <c r="D879" s="8" t="s">
        <v>1200</v>
      </c>
      <c r="E879" s="3">
        <v>0</v>
      </c>
      <c r="F879" s="13">
        <v>35000</v>
      </c>
      <c r="G879" s="3">
        <v>35000</v>
      </c>
      <c r="H879" s="8" t="s">
        <v>51</v>
      </c>
      <c r="I879" s="8" t="s">
        <v>71</v>
      </c>
      <c r="J879" s="8" t="s">
        <v>31</v>
      </c>
      <c r="K879" s="8" t="s">
        <v>20</v>
      </c>
      <c r="L879" s="8" t="s">
        <v>1201</v>
      </c>
    </row>
    <row r="880" spans="1:12" x14ac:dyDescent="0.35">
      <c r="A880" s="11">
        <v>879</v>
      </c>
      <c r="B880" s="17">
        <v>45894.58934027778</v>
      </c>
      <c r="C880" s="18">
        <v>45894</v>
      </c>
      <c r="D880" s="10" t="s">
        <v>79</v>
      </c>
      <c r="E880" s="14">
        <v>50</v>
      </c>
      <c r="F880" s="5">
        <v>0</v>
      </c>
      <c r="G880" s="5">
        <v>34950</v>
      </c>
      <c r="H880" s="10" t="s">
        <v>51</v>
      </c>
      <c r="I880" s="10" t="s">
        <v>52</v>
      </c>
      <c r="J880" s="10" t="s">
        <v>36</v>
      </c>
      <c r="K880" s="10" t="s">
        <v>20</v>
      </c>
      <c r="L880" s="10" t="s">
        <v>1202</v>
      </c>
    </row>
    <row r="881" spans="1:12" x14ac:dyDescent="0.35">
      <c r="A881" s="9">
        <v>880</v>
      </c>
      <c r="B881" s="19">
        <v>45894.589918981481</v>
      </c>
      <c r="C881" s="20">
        <v>45894</v>
      </c>
      <c r="D881" s="8" t="s">
        <v>342</v>
      </c>
      <c r="E881" s="12">
        <v>30000</v>
      </c>
      <c r="F881" s="3">
        <v>0</v>
      </c>
      <c r="G881" s="3">
        <v>4950</v>
      </c>
      <c r="H881" s="8" t="s">
        <v>51</v>
      </c>
      <c r="I881" s="8" t="s">
        <v>52</v>
      </c>
      <c r="J881" s="8" t="s">
        <v>33</v>
      </c>
      <c r="K881" s="8" t="s">
        <v>20</v>
      </c>
      <c r="L881" s="8" t="s">
        <v>1203</v>
      </c>
    </row>
    <row r="882" spans="1:12" x14ac:dyDescent="0.35">
      <c r="A882" s="11">
        <v>881</v>
      </c>
      <c r="B882" s="17">
        <v>45894.678738425922</v>
      </c>
      <c r="C882" s="18">
        <v>45894</v>
      </c>
      <c r="D882" s="10" t="s">
        <v>339</v>
      </c>
      <c r="E882" s="14">
        <v>480</v>
      </c>
      <c r="F882" s="5">
        <v>0</v>
      </c>
      <c r="G882" s="5">
        <v>4470</v>
      </c>
      <c r="H882" s="10" t="s">
        <v>51</v>
      </c>
      <c r="I882" s="10" t="s">
        <v>52</v>
      </c>
      <c r="J882" s="10" t="s">
        <v>36</v>
      </c>
      <c r="K882" s="10" t="s">
        <v>20</v>
      </c>
      <c r="L882" s="10" t="s">
        <v>1204</v>
      </c>
    </row>
    <row r="883" spans="1:12" x14ac:dyDescent="0.35">
      <c r="A883" s="9">
        <v>882</v>
      </c>
      <c r="B883" s="19">
        <v>45894.739363425928</v>
      </c>
      <c r="C883" s="20">
        <v>45894</v>
      </c>
      <c r="D883" s="8" t="s">
        <v>1121</v>
      </c>
      <c r="E883" s="12">
        <v>2000</v>
      </c>
      <c r="F883" s="3">
        <v>0</v>
      </c>
      <c r="G883" s="3">
        <v>2470</v>
      </c>
      <c r="H883" s="8" t="s">
        <v>51</v>
      </c>
      <c r="I883" s="8" t="s">
        <v>52</v>
      </c>
      <c r="J883" s="8" t="s">
        <v>30</v>
      </c>
      <c r="K883" s="8" t="s">
        <v>20</v>
      </c>
      <c r="L883" s="8" t="s">
        <v>1205</v>
      </c>
    </row>
    <row r="884" spans="1:12" x14ac:dyDescent="0.35">
      <c r="A884" s="11">
        <v>883</v>
      </c>
      <c r="B884" s="17">
        <v>45894.885162037041</v>
      </c>
      <c r="C884" s="18">
        <v>45894</v>
      </c>
      <c r="D884" s="10" t="s">
        <v>1206</v>
      </c>
      <c r="E884" s="5">
        <v>0</v>
      </c>
      <c r="F884" s="15">
        <v>30000</v>
      </c>
      <c r="G884" s="5">
        <v>32470</v>
      </c>
      <c r="H884" s="10" t="s">
        <v>51</v>
      </c>
      <c r="I884" s="10" t="s">
        <v>71</v>
      </c>
      <c r="J884" s="10" t="s">
        <v>31</v>
      </c>
      <c r="K884" s="10" t="s">
        <v>20</v>
      </c>
      <c r="L884" s="10" t="s">
        <v>1207</v>
      </c>
    </row>
    <row r="885" spans="1:12" x14ac:dyDescent="0.35">
      <c r="A885" s="9">
        <v>884</v>
      </c>
      <c r="B885" s="19">
        <v>45894.88517361111</v>
      </c>
      <c r="C885" s="20">
        <v>45894</v>
      </c>
      <c r="D885" s="8" t="s">
        <v>79</v>
      </c>
      <c r="E885" s="12">
        <v>50</v>
      </c>
      <c r="F885" s="3">
        <v>0</v>
      </c>
      <c r="G885" s="3">
        <v>32420</v>
      </c>
      <c r="H885" s="8" t="s">
        <v>51</v>
      </c>
      <c r="I885" s="8" t="s">
        <v>52</v>
      </c>
      <c r="J885" s="8" t="s">
        <v>36</v>
      </c>
      <c r="K885" s="8" t="s">
        <v>20</v>
      </c>
      <c r="L885" s="8" t="s">
        <v>1208</v>
      </c>
    </row>
    <row r="886" spans="1:12" x14ac:dyDescent="0.35">
      <c r="A886" s="11">
        <v>885</v>
      </c>
      <c r="B886" s="17">
        <v>45894.885925925933</v>
      </c>
      <c r="C886" s="18">
        <v>45894</v>
      </c>
      <c r="D886" s="10" t="s">
        <v>488</v>
      </c>
      <c r="E886" s="14">
        <v>25000</v>
      </c>
      <c r="F886" s="5">
        <v>0</v>
      </c>
      <c r="G886" s="5">
        <v>7420</v>
      </c>
      <c r="H886" s="10" t="s">
        <v>51</v>
      </c>
      <c r="I886" s="10" t="s">
        <v>52</v>
      </c>
      <c r="J886" s="10" t="s">
        <v>30</v>
      </c>
      <c r="K886" s="10" t="s">
        <v>20</v>
      </c>
      <c r="L886" s="10" t="s">
        <v>1209</v>
      </c>
    </row>
    <row r="887" spans="1:12" x14ac:dyDescent="0.35">
      <c r="A887" s="9">
        <v>886</v>
      </c>
      <c r="B887" s="19">
        <v>45894.925995370373</v>
      </c>
      <c r="C887" s="20">
        <v>45894</v>
      </c>
      <c r="D887" s="8" t="s">
        <v>426</v>
      </c>
      <c r="E887" s="12">
        <v>7420</v>
      </c>
      <c r="F887" s="3">
        <v>0</v>
      </c>
      <c r="G887" s="3">
        <v>0</v>
      </c>
      <c r="H887" s="8" t="s">
        <v>51</v>
      </c>
      <c r="I887" s="8" t="s">
        <v>52</v>
      </c>
      <c r="J887" s="8" t="s">
        <v>32</v>
      </c>
      <c r="K887" s="8" t="s">
        <v>20</v>
      </c>
      <c r="L887" s="8" t="s">
        <v>1210</v>
      </c>
    </row>
    <row r="888" spans="1:12" x14ac:dyDescent="0.35">
      <c r="A888" s="11">
        <v>887</v>
      </c>
      <c r="B888" s="17">
        <v>45895.209768518522</v>
      </c>
      <c r="C888" s="18">
        <v>45895</v>
      </c>
      <c r="D888" s="10" t="s">
        <v>394</v>
      </c>
      <c r="E888" s="5">
        <v>0</v>
      </c>
      <c r="F888" s="15">
        <v>500</v>
      </c>
      <c r="G888" s="5">
        <v>500</v>
      </c>
      <c r="H888" s="10" t="s">
        <v>51</v>
      </c>
      <c r="I888" s="10" t="s">
        <v>71</v>
      </c>
      <c r="J888" s="10" t="s">
        <v>32</v>
      </c>
      <c r="K888" s="10" t="s">
        <v>20</v>
      </c>
      <c r="L888" s="10" t="s">
        <v>1211</v>
      </c>
    </row>
    <row r="889" spans="1:12" x14ac:dyDescent="0.35">
      <c r="A889" s="9">
        <v>888</v>
      </c>
      <c r="B889" s="19">
        <v>45895.209768518522</v>
      </c>
      <c r="C889" s="20">
        <v>45895</v>
      </c>
      <c r="D889" s="8" t="s">
        <v>342</v>
      </c>
      <c r="E889" s="12">
        <v>500</v>
      </c>
      <c r="F889" s="3">
        <v>0</v>
      </c>
      <c r="G889" s="3">
        <v>0</v>
      </c>
      <c r="H889" s="8" t="s">
        <v>51</v>
      </c>
      <c r="I889" s="8" t="s">
        <v>52</v>
      </c>
      <c r="J889" s="8" t="s">
        <v>33</v>
      </c>
      <c r="K889" s="8" t="s">
        <v>20</v>
      </c>
      <c r="L889" s="8" t="s">
        <v>1212</v>
      </c>
    </row>
    <row r="890" spans="1:12" x14ac:dyDescent="0.35">
      <c r="A890" s="11">
        <v>889</v>
      </c>
      <c r="B890" s="17">
        <v>45896.210416666669</v>
      </c>
      <c r="C890" s="18">
        <v>45896</v>
      </c>
      <c r="D890" s="10" t="s">
        <v>394</v>
      </c>
      <c r="E890" s="5">
        <v>0</v>
      </c>
      <c r="F890" s="15">
        <v>500</v>
      </c>
      <c r="G890" s="5">
        <v>500</v>
      </c>
      <c r="H890" s="10" t="s">
        <v>51</v>
      </c>
      <c r="I890" s="10" t="s">
        <v>71</v>
      </c>
      <c r="J890" s="10" t="s">
        <v>32</v>
      </c>
      <c r="K890" s="10" t="s">
        <v>20</v>
      </c>
      <c r="L890" s="10" t="s">
        <v>1213</v>
      </c>
    </row>
    <row r="891" spans="1:12" x14ac:dyDescent="0.35">
      <c r="A891" s="9">
        <v>890</v>
      </c>
      <c r="B891" s="19">
        <v>45896.210416666669</v>
      </c>
      <c r="C891" s="20">
        <v>45896</v>
      </c>
      <c r="D891" s="8" t="s">
        <v>342</v>
      </c>
      <c r="E891" s="12">
        <v>500</v>
      </c>
      <c r="F891" s="3">
        <v>0</v>
      </c>
      <c r="G891" s="3">
        <v>0</v>
      </c>
      <c r="H891" s="8" t="s">
        <v>51</v>
      </c>
      <c r="I891" s="8" t="s">
        <v>52</v>
      </c>
      <c r="J891" s="8" t="s">
        <v>33</v>
      </c>
      <c r="K891" s="8" t="s">
        <v>20</v>
      </c>
      <c r="L891" s="8" t="s">
        <v>1214</v>
      </c>
    </row>
    <row r="892" spans="1:12" x14ac:dyDescent="0.35">
      <c r="A892" s="11">
        <v>891</v>
      </c>
      <c r="B892" s="17">
        <v>45897.209745370368</v>
      </c>
      <c r="C892" s="18">
        <v>45897</v>
      </c>
      <c r="D892" s="10" t="s">
        <v>342</v>
      </c>
      <c r="E892" s="14">
        <v>500</v>
      </c>
      <c r="F892" s="5">
        <v>0</v>
      </c>
      <c r="G892" s="5">
        <v>0</v>
      </c>
      <c r="H892" s="10" t="s">
        <v>51</v>
      </c>
      <c r="I892" s="10" t="s">
        <v>52</v>
      </c>
      <c r="J892" s="10" t="s">
        <v>33</v>
      </c>
      <c r="K892" s="10" t="s">
        <v>20</v>
      </c>
      <c r="L892" s="10" t="s">
        <v>1215</v>
      </c>
    </row>
    <row r="893" spans="1:12" x14ac:dyDescent="0.35">
      <c r="A893" s="9">
        <v>892</v>
      </c>
      <c r="B893" s="19">
        <v>45897.209756944438</v>
      </c>
      <c r="C893" s="20">
        <v>45897</v>
      </c>
      <c r="D893" s="8" t="s">
        <v>394</v>
      </c>
      <c r="E893" s="3">
        <v>0</v>
      </c>
      <c r="F893" s="13">
        <v>500</v>
      </c>
      <c r="G893" s="3">
        <v>500</v>
      </c>
      <c r="H893" s="8" t="s">
        <v>51</v>
      </c>
      <c r="I893" s="8" t="s">
        <v>71</v>
      </c>
      <c r="J893" s="8" t="s">
        <v>32</v>
      </c>
      <c r="K893" s="8" t="s">
        <v>20</v>
      </c>
      <c r="L893" s="8" t="s">
        <v>1216</v>
      </c>
    </row>
    <row r="894" spans="1:12" x14ac:dyDescent="0.35">
      <c r="A894" s="11">
        <v>893</v>
      </c>
      <c r="B894" s="17">
        <v>45897.313993055563</v>
      </c>
      <c r="C894" s="18">
        <v>45897</v>
      </c>
      <c r="D894" s="10" t="s">
        <v>339</v>
      </c>
      <c r="E894" s="14">
        <v>500</v>
      </c>
      <c r="F894" s="5">
        <v>0</v>
      </c>
      <c r="G894" s="5">
        <v>0</v>
      </c>
      <c r="H894" s="10" t="s">
        <v>51</v>
      </c>
      <c r="I894" s="10" t="s">
        <v>52</v>
      </c>
      <c r="J894" s="10" t="s">
        <v>36</v>
      </c>
      <c r="K894" s="10" t="s">
        <v>20</v>
      </c>
      <c r="L894" s="10" t="s">
        <v>1217</v>
      </c>
    </row>
    <row r="895" spans="1:12" x14ac:dyDescent="0.35">
      <c r="A895" s="9">
        <v>894</v>
      </c>
      <c r="B895" s="19">
        <v>45897.314039351862</v>
      </c>
      <c r="C895" s="20">
        <v>45897</v>
      </c>
      <c r="D895" s="8" t="s">
        <v>394</v>
      </c>
      <c r="E895" s="3">
        <v>0</v>
      </c>
      <c r="F895" s="13">
        <v>500</v>
      </c>
      <c r="G895" s="3">
        <v>500</v>
      </c>
      <c r="H895" s="8" t="s">
        <v>51</v>
      </c>
      <c r="I895" s="8" t="s">
        <v>71</v>
      </c>
      <c r="J895" s="8" t="s">
        <v>32</v>
      </c>
      <c r="K895" s="8" t="s">
        <v>20</v>
      </c>
      <c r="L895" s="8" t="s">
        <v>1218</v>
      </c>
    </row>
    <row r="896" spans="1:12" x14ac:dyDescent="0.35">
      <c r="A896" s="11">
        <v>895</v>
      </c>
      <c r="B896" s="17">
        <v>45897.758414351847</v>
      </c>
      <c r="C896" s="18">
        <v>45897</v>
      </c>
      <c r="D896" s="10" t="s">
        <v>188</v>
      </c>
      <c r="E896" s="14">
        <v>2000</v>
      </c>
      <c r="F896" s="5">
        <v>0</v>
      </c>
      <c r="G896" s="5">
        <v>0</v>
      </c>
      <c r="H896" s="10" t="s">
        <v>51</v>
      </c>
      <c r="I896" s="10" t="s">
        <v>52</v>
      </c>
      <c r="J896" s="10" t="s">
        <v>37</v>
      </c>
      <c r="K896" s="10" t="s">
        <v>20</v>
      </c>
      <c r="L896" s="10" t="s">
        <v>1219</v>
      </c>
    </row>
    <row r="897" spans="1:12" x14ac:dyDescent="0.35">
      <c r="A897" s="9">
        <v>896</v>
      </c>
      <c r="B897" s="19">
        <v>45897.758460648147</v>
      </c>
      <c r="C897" s="20">
        <v>45897</v>
      </c>
      <c r="D897" s="8" t="s">
        <v>394</v>
      </c>
      <c r="E897" s="3">
        <v>0</v>
      </c>
      <c r="F897" s="13">
        <v>2000</v>
      </c>
      <c r="G897" s="3">
        <v>2000</v>
      </c>
      <c r="H897" s="8" t="s">
        <v>51</v>
      </c>
      <c r="I897" s="8" t="s">
        <v>71</v>
      </c>
      <c r="J897" s="8" t="s">
        <v>32</v>
      </c>
      <c r="K897" s="8" t="s">
        <v>20</v>
      </c>
      <c r="L897" s="8" t="s">
        <v>1220</v>
      </c>
    </row>
    <row r="898" spans="1:12" x14ac:dyDescent="0.35">
      <c r="A898" s="11">
        <v>897</v>
      </c>
      <c r="B898" s="17">
        <v>45898.210081018522</v>
      </c>
      <c r="C898" s="18">
        <v>45898</v>
      </c>
      <c r="D898" s="10" t="s">
        <v>342</v>
      </c>
      <c r="E898" s="14">
        <v>500</v>
      </c>
      <c r="F898" s="5">
        <v>0</v>
      </c>
      <c r="G898" s="5">
        <v>0</v>
      </c>
      <c r="H898" s="10" t="s">
        <v>51</v>
      </c>
      <c r="I898" s="10" t="s">
        <v>52</v>
      </c>
      <c r="J898" s="10" t="s">
        <v>33</v>
      </c>
      <c r="K898" s="10" t="s">
        <v>20</v>
      </c>
      <c r="L898" s="10" t="s">
        <v>1221</v>
      </c>
    </row>
    <row r="899" spans="1:12" x14ac:dyDescent="0.35">
      <c r="A899" s="9">
        <v>898</v>
      </c>
      <c r="B899" s="19">
        <v>45898.210092592592</v>
      </c>
      <c r="C899" s="20">
        <v>45898</v>
      </c>
      <c r="D899" s="8" t="s">
        <v>394</v>
      </c>
      <c r="E899" s="3">
        <v>0</v>
      </c>
      <c r="F899" s="13">
        <v>500</v>
      </c>
      <c r="G899" s="3">
        <v>500</v>
      </c>
      <c r="H899" s="8" t="s">
        <v>51</v>
      </c>
      <c r="I899" s="8" t="s">
        <v>71</v>
      </c>
      <c r="J899" s="8" t="s">
        <v>32</v>
      </c>
      <c r="K899" s="8" t="s">
        <v>20</v>
      </c>
      <c r="L899" s="8" t="s">
        <v>1222</v>
      </c>
    </row>
    <row r="900" spans="1:12" x14ac:dyDescent="0.35">
      <c r="A900" s="11">
        <v>899</v>
      </c>
      <c r="B900" s="17">
        <v>45899.210092592592</v>
      </c>
      <c r="C900" s="18">
        <v>45899</v>
      </c>
      <c r="D900" s="10" t="s">
        <v>394</v>
      </c>
      <c r="E900" s="5">
        <v>0</v>
      </c>
      <c r="F900" s="15">
        <v>500</v>
      </c>
      <c r="G900" s="5">
        <v>500</v>
      </c>
      <c r="H900" s="10" t="s">
        <v>51</v>
      </c>
      <c r="I900" s="10" t="s">
        <v>71</v>
      </c>
      <c r="J900" s="10" t="s">
        <v>32</v>
      </c>
      <c r="K900" s="10" t="s">
        <v>20</v>
      </c>
      <c r="L900" s="10" t="s">
        <v>1223</v>
      </c>
    </row>
    <row r="901" spans="1:12" x14ac:dyDescent="0.35">
      <c r="A901" s="9">
        <v>900</v>
      </c>
      <c r="B901" s="19">
        <v>45899.210092592592</v>
      </c>
      <c r="C901" s="20">
        <v>45899</v>
      </c>
      <c r="D901" s="8" t="s">
        <v>342</v>
      </c>
      <c r="E901" s="12">
        <v>500</v>
      </c>
      <c r="F901" s="3">
        <v>0</v>
      </c>
      <c r="G901" s="3">
        <v>0</v>
      </c>
      <c r="H901" s="8" t="s">
        <v>51</v>
      </c>
      <c r="I901" s="8" t="s">
        <v>52</v>
      </c>
      <c r="J901" s="8" t="s">
        <v>33</v>
      </c>
      <c r="K901" s="8" t="s">
        <v>20</v>
      </c>
      <c r="L901" s="8" t="s">
        <v>1224</v>
      </c>
    </row>
    <row r="902" spans="1:12" x14ac:dyDescent="0.35">
      <c r="A902" s="11">
        <v>901</v>
      </c>
      <c r="B902" s="17">
        <v>45900.20994212963</v>
      </c>
      <c r="C902" s="18">
        <v>45900</v>
      </c>
      <c r="D902" s="10" t="s">
        <v>394</v>
      </c>
      <c r="E902" s="5">
        <v>0</v>
      </c>
      <c r="F902" s="15">
        <v>500</v>
      </c>
      <c r="G902" s="5">
        <v>500</v>
      </c>
      <c r="H902" s="10" t="s">
        <v>51</v>
      </c>
      <c r="I902" s="10" t="s">
        <v>71</v>
      </c>
      <c r="J902" s="10" t="s">
        <v>32</v>
      </c>
      <c r="K902" s="10" t="s">
        <v>20</v>
      </c>
      <c r="L902" s="10" t="s">
        <v>1225</v>
      </c>
    </row>
    <row r="903" spans="1:12" x14ac:dyDescent="0.35">
      <c r="A903" s="9">
        <v>902</v>
      </c>
      <c r="B903" s="19">
        <v>45900.20994212963</v>
      </c>
      <c r="C903" s="20">
        <v>45900</v>
      </c>
      <c r="D903" s="8" t="s">
        <v>342</v>
      </c>
      <c r="E903" s="12">
        <v>500</v>
      </c>
      <c r="F903" s="3">
        <v>0</v>
      </c>
      <c r="G903" s="3">
        <v>0</v>
      </c>
      <c r="H903" s="8" t="s">
        <v>51</v>
      </c>
      <c r="I903" s="8" t="s">
        <v>52</v>
      </c>
      <c r="J903" s="8" t="s">
        <v>33</v>
      </c>
      <c r="K903" s="8" t="s">
        <v>20</v>
      </c>
      <c r="L903" s="8" t="s">
        <v>1226</v>
      </c>
    </row>
    <row r="904" spans="1:12" x14ac:dyDescent="0.35">
      <c r="A904" s="11">
        <v>903</v>
      </c>
      <c r="B904" s="17">
        <v>45901.210127314807</v>
      </c>
      <c r="C904" s="18">
        <v>45901</v>
      </c>
      <c r="D904" s="10" t="s">
        <v>342</v>
      </c>
      <c r="E904" s="14">
        <v>500</v>
      </c>
      <c r="F904" s="5">
        <v>0</v>
      </c>
      <c r="G904" s="5">
        <v>0</v>
      </c>
      <c r="H904" s="10" t="s">
        <v>51</v>
      </c>
      <c r="I904" s="10" t="s">
        <v>52</v>
      </c>
      <c r="J904" s="10" t="s">
        <v>33</v>
      </c>
      <c r="K904" s="10" t="s">
        <v>21</v>
      </c>
      <c r="L904" s="10" t="s">
        <v>1227</v>
      </c>
    </row>
    <row r="905" spans="1:12" x14ac:dyDescent="0.35">
      <c r="A905" s="9">
        <v>904</v>
      </c>
      <c r="B905" s="19">
        <v>45901.210138888891</v>
      </c>
      <c r="C905" s="20">
        <v>45901</v>
      </c>
      <c r="D905" s="8" t="s">
        <v>394</v>
      </c>
      <c r="E905" s="3">
        <v>0</v>
      </c>
      <c r="F905" s="13">
        <v>500</v>
      </c>
      <c r="G905" s="3">
        <v>500</v>
      </c>
      <c r="H905" s="8" t="s">
        <v>51</v>
      </c>
      <c r="I905" s="8" t="s">
        <v>71</v>
      </c>
      <c r="J905" s="8" t="s">
        <v>32</v>
      </c>
      <c r="K905" s="8" t="s">
        <v>21</v>
      </c>
      <c r="L905" s="8" t="s">
        <v>1228</v>
      </c>
    </row>
    <row r="906" spans="1:12" x14ac:dyDescent="0.35">
      <c r="A906" s="11">
        <v>905</v>
      </c>
      <c r="B906" s="17">
        <v>45902.209965277783</v>
      </c>
      <c r="C906" s="18">
        <v>45902</v>
      </c>
      <c r="D906" s="10" t="s">
        <v>394</v>
      </c>
      <c r="E906" s="5">
        <v>0</v>
      </c>
      <c r="F906" s="15">
        <v>500</v>
      </c>
      <c r="G906" s="5">
        <v>500</v>
      </c>
      <c r="H906" s="10" t="s">
        <v>51</v>
      </c>
      <c r="I906" s="10" t="s">
        <v>71</v>
      </c>
      <c r="J906" s="10" t="s">
        <v>32</v>
      </c>
      <c r="K906" s="10" t="s">
        <v>21</v>
      </c>
      <c r="L906" s="10" t="s">
        <v>1229</v>
      </c>
    </row>
    <row r="907" spans="1:12" x14ac:dyDescent="0.35">
      <c r="A907" s="9">
        <v>906</v>
      </c>
      <c r="B907" s="19">
        <v>45902.209965277783</v>
      </c>
      <c r="C907" s="20">
        <v>45902</v>
      </c>
      <c r="D907" s="8" t="s">
        <v>342</v>
      </c>
      <c r="E907" s="12">
        <v>500</v>
      </c>
      <c r="F907" s="3">
        <v>0</v>
      </c>
      <c r="G907" s="3">
        <v>0</v>
      </c>
      <c r="H907" s="8" t="s">
        <v>51</v>
      </c>
      <c r="I907" s="8" t="s">
        <v>52</v>
      </c>
      <c r="J907" s="8" t="s">
        <v>33</v>
      </c>
      <c r="K907" s="8" t="s">
        <v>21</v>
      </c>
      <c r="L907" s="8" t="s">
        <v>1230</v>
      </c>
    </row>
    <row r="908" spans="1:12" x14ac:dyDescent="0.35">
      <c r="A908" s="11">
        <v>907</v>
      </c>
      <c r="B908" s="17">
        <v>45902.294710648152</v>
      </c>
      <c r="C908" s="18">
        <v>45902</v>
      </c>
      <c r="D908" s="10" t="s">
        <v>450</v>
      </c>
      <c r="E908" s="5">
        <v>0</v>
      </c>
      <c r="F908" s="15">
        <v>30000</v>
      </c>
      <c r="G908" s="5">
        <v>30000</v>
      </c>
      <c r="H908" s="10" t="s">
        <v>51</v>
      </c>
      <c r="I908" s="10" t="s">
        <v>71</v>
      </c>
      <c r="J908" s="10" t="s">
        <v>31</v>
      </c>
      <c r="K908" s="10" t="s">
        <v>21</v>
      </c>
      <c r="L908" s="10" t="s">
        <v>1231</v>
      </c>
    </row>
    <row r="909" spans="1:12" x14ac:dyDescent="0.35">
      <c r="A909" s="9">
        <v>908</v>
      </c>
      <c r="B909" s="19">
        <v>45902.294733796298</v>
      </c>
      <c r="C909" s="20">
        <v>45902</v>
      </c>
      <c r="D909" s="8" t="s">
        <v>79</v>
      </c>
      <c r="E909" s="12">
        <v>50</v>
      </c>
      <c r="F909" s="3">
        <v>0</v>
      </c>
      <c r="G909" s="3">
        <v>29950</v>
      </c>
      <c r="H909" s="8" t="s">
        <v>51</v>
      </c>
      <c r="I909" s="8" t="s">
        <v>52</v>
      </c>
      <c r="J909" s="8" t="s">
        <v>36</v>
      </c>
      <c r="K909" s="8" t="s">
        <v>21</v>
      </c>
      <c r="L909" s="8" t="s">
        <v>1232</v>
      </c>
    </row>
    <row r="910" spans="1:12" x14ac:dyDescent="0.35">
      <c r="A910" s="11">
        <v>909</v>
      </c>
      <c r="B910" s="17">
        <v>45902.295115740737</v>
      </c>
      <c r="C910" s="18">
        <v>45902</v>
      </c>
      <c r="D910" s="10" t="s">
        <v>342</v>
      </c>
      <c r="E910" s="14">
        <v>20000</v>
      </c>
      <c r="F910" s="5">
        <v>0</v>
      </c>
      <c r="G910" s="5">
        <v>9950</v>
      </c>
      <c r="H910" s="10" t="s">
        <v>51</v>
      </c>
      <c r="I910" s="10" t="s">
        <v>52</v>
      </c>
      <c r="J910" s="10" t="s">
        <v>33</v>
      </c>
      <c r="K910" s="10" t="s">
        <v>21</v>
      </c>
      <c r="L910" s="10" t="s">
        <v>1233</v>
      </c>
    </row>
    <row r="911" spans="1:12" x14ac:dyDescent="0.35">
      <c r="A911" s="9">
        <v>910</v>
      </c>
      <c r="B911" s="19">
        <v>45902.764537037037</v>
      </c>
      <c r="C911" s="20">
        <v>45902</v>
      </c>
      <c r="D911" s="8" t="s">
        <v>276</v>
      </c>
      <c r="E911" s="12">
        <v>900</v>
      </c>
      <c r="F911" s="3">
        <v>0</v>
      </c>
      <c r="G911" s="3">
        <v>9050</v>
      </c>
      <c r="H911" s="8" t="s">
        <v>51</v>
      </c>
      <c r="I911" s="8" t="s">
        <v>52</v>
      </c>
      <c r="J911" s="8" t="s">
        <v>36</v>
      </c>
      <c r="K911" s="8" t="s">
        <v>21</v>
      </c>
      <c r="L911" s="8" t="s">
        <v>1234</v>
      </c>
    </row>
    <row r="912" spans="1:12" x14ac:dyDescent="0.35">
      <c r="A912" s="11">
        <v>911</v>
      </c>
      <c r="B912" s="17">
        <v>45902.775451388887</v>
      </c>
      <c r="C912" s="18">
        <v>45902</v>
      </c>
      <c r="D912" s="10" t="s">
        <v>1235</v>
      </c>
      <c r="E912" s="14">
        <v>3100</v>
      </c>
      <c r="F912" s="5">
        <v>0</v>
      </c>
      <c r="G912" s="5">
        <v>5950</v>
      </c>
      <c r="H912" s="10" t="s">
        <v>51</v>
      </c>
      <c r="I912" s="10" t="s">
        <v>52</v>
      </c>
      <c r="J912" s="10" t="s">
        <v>30</v>
      </c>
      <c r="K912" s="10" t="s">
        <v>21</v>
      </c>
      <c r="L912" s="10" t="s">
        <v>1236</v>
      </c>
    </row>
    <row r="913" spans="1:12" x14ac:dyDescent="0.35">
      <c r="A913" s="9">
        <v>912</v>
      </c>
      <c r="B913" s="19">
        <v>45902.927106481482</v>
      </c>
      <c r="C913" s="20">
        <v>45902</v>
      </c>
      <c r="D913" s="8" t="s">
        <v>426</v>
      </c>
      <c r="E913" s="12">
        <v>5950</v>
      </c>
      <c r="F913" s="3">
        <v>0</v>
      </c>
      <c r="G913" s="3">
        <v>0</v>
      </c>
      <c r="H913" s="8" t="s">
        <v>51</v>
      </c>
      <c r="I913" s="8" t="s">
        <v>52</v>
      </c>
      <c r="J913" s="8" t="s">
        <v>32</v>
      </c>
      <c r="K913" s="8" t="s">
        <v>21</v>
      </c>
      <c r="L913" s="8" t="s">
        <v>1237</v>
      </c>
    </row>
    <row r="914" spans="1:12" x14ac:dyDescent="0.35">
      <c r="A914" s="11">
        <v>913</v>
      </c>
      <c r="B914" s="17">
        <v>45903.210011574083</v>
      </c>
      <c r="C914" s="18">
        <v>45903</v>
      </c>
      <c r="D914" s="10" t="s">
        <v>394</v>
      </c>
      <c r="E914" s="5">
        <v>0</v>
      </c>
      <c r="F914" s="15">
        <v>500</v>
      </c>
      <c r="G914" s="5">
        <v>500</v>
      </c>
      <c r="H914" s="10" t="s">
        <v>51</v>
      </c>
      <c r="I914" s="10" t="s">
        <v>71</v>
      </c>
      <c r="J914" s="10" t="s">
        <v>32</v>
      </c>
      <c r="K914" s="10" t="s">
        <v>21</v>
      </c>
      <c r="L914" s="10" t="s">
        <v>1238</v>
      </c>
    </row>
    <row r="915" spans="1:12" x14ac:dyDescent="0.35">
      <c r="A915" s="9">
        <v>914</v>
      </c>
      <c r="B915" s="19">
        <v>45903.210011574083</v>
      </c>
      <c r="C915" s="20">
        <v>45903</v>
      </c>
      <c r="D915" s="8" t="s">
        <v>342</v>
      </c>
      <c r="E915" s="12">
        <v>500</v>
      </c>
      <c r="F915" s="3">
        <v>0</v>
      </c>
      <c r="G915" s="3">
        <v>0</v>
      </c>
      <c r="H915" s="8" t="s">
        <v>51</v>
      </c>
      <c r="I915" s="8" t="s">
        <v>52</v>
      </c>
      <c r="J915" s="8" t="s">
        <v>33</v>
      </c>
      <c r="K915" s="8" t="s">
        <v>21</v>
      </c>
      <c r="L915" s="8" t="s">
        <v>1239</v>
      </c>
    </row>
    <row r="916" spans="1:12" x14ac:dyDescent="0.35">
      <c r="A916" s="11">
        <v>915</v>
      </c>
      <c r="B916" s="17">
        <v>45903.369803240741</v>
      </c>
      <c r="C916" s="18">
        <v>45903</v>
      </c>
      <c r="D916" s="10" t="s">
        <v>461</v>
      </c>
      <c r="E916" s="14">
        <v>1000</v>
      </c>
      <c r="F916" s="5">
        <v>0</v>
      </c>
      <c r="G916" s="5">
        <v>0</v>
      </c>
      <c r="H916" s="10" t="s">
        <v>51</v>
      </c>
      <c r="I916" s="10" t="s">
        <v>52</v>
      </c>
      <c r="J916" s="10" t="s">
        <v>30</v>
      </c>
      <c r="K916" s="10" t="s">
        <v>21</v>
      </c>
      <c r="L916" s="10" t="s">
        <v>1240</v>
      </c>
    </row>
    <row r="917" spans="1:12" x14ac:dyDescent="0.35">
      <c r="A917" s="9">
        <v>916</v>
      </c>
      <c r="B917" s="19">
        <v>45903.36986111111</v>
      </c>
      <c r="C917" s="20">
        <v>45903</v>
      </c>
      <c r="D917" s="8" t="s">
        <v>394</v>
      </c>
      <c r="E917" s="3">
        <v>0</v>
      </c>
      <c r="F917" s="13">
        <v>1000</v>
      </c>
      <c r="G917" s="3">
        <v>1000</v>
      </c>
      <c r="H917" s="8" t="s">
        <v>51</v>
      </c>
      <c r="I917" s="8" t="s">
        <v>71</v>
      </c>
      <c r="J917" s="8" t="s">
        <v>32</v>
      </c>
      <c r="K917" s="8" t="s">
        <v>21</v>
      </c>
      <c r="L917" s="8" t="s">
        <v>1241</v>
      </c>
    </row>
    <row r="918" spans="1:12" x14ac:dyDescent="0.35">
      <c r="A918" s="11">
        <v>917</v>
      </c>
      <c r="B918" s="17">
        <v>45903.576898148152</v>
      </c>
      <c r="C918" s="18">
        <v>45903</v>
      </c>
      <c r="D918" s="10" t="s">
        <v>1167</v>
      </c>
      <c r="E918" s="14">
        <v>1300</v>
      </c>
      <c r="F918" s="5">
        <v>0</v>
      </c>
      <c r="G918" s="5">
        <v>0</v>
      </c>
      <c r="H918" s="10" t="s">
        <v>51</v>
      </c>
      <c r="I918" s="10" t="s">
        <v>52</v>
      </c>
      <c r="J918" s="10" t="s">
        <v>30</v>
      </c>
      <c r="K918" s="10" t="s">
        <v>21</v>
      </c>
      <c r="L918" s="10" t="s">
        <v>1242</v>
      </c>
    </row>
    <row r="919" spans="1:12" x14ac:dyDescent="0.35">
      <c r="A919" s="9">
        <v>918</v>
      </c>
      <c r="B919" s="19">
        <v>45903.576956018522</v>
      </c>
      <c r="C919" s="20">
        <v>45903</v>
      </c>
      <c r="D919" s="8" t="s">
        <v>394</v>
      </c>
      <c r="E919" s="3">
        <v>0</v>
      </c>
      <c r="F919" s="13">
        <v>1300</v>
      </c>
      <c r="G919" s="3">
        <v>1300</v>
      </c>
      <c r="H919" s="8" t="s">
        <v>51</v>
      </c>
      <c r="I919" s="8" t="s">
        <v>71</v>
      </c>
      <c r="J919" s="8" t="s">
        <v>32</v>
      </c>
      <c r="K919" s="8" t="s">
        <v>21</v>
      </c>
      <c r="L919" s="8" t="s">
        <v>1243</v>
      </c>
    </row>
    <row r="920" spans="1:12" x14ac:dyDescent="0.35">
      <c r="A920" s="11">
        <v>919</v>
      </c>
      <c r="B920" s="17">
        <v>45903.792094907411</v>
      </c>
      <c r="C920" s="18">
        <v>45903</v>
      </c>
      <c r="D920" s="10" t="s">
        <v>1244</v>
      </c>
      <c r="E920" s="5">
        <v>0</v>
      </c>
      <c r="F920" s="15">
        <v>80000</v>
      </c>
      <c r="G920" s="5">
        <v>80000</v>
      </c>
      <c r="H920" s="10" t="s">
        <v>51</v>
      </c>
      <c r="I920" s="10" t="s">
        <v>71</v>
      </c>
      <c r="J920" s="10" t="s">
        <v>30</v>
      </c>
      <c r="K920" s="10" t="s">
        <v>21</v>
      </c>
      <c r="L920" s="10" t="s">
        <v>1245</v>
      </c>
    </row>
    <row r="921" spans="1:12" x14ac:dyDescent="0.35">
      <c r="A921" s="9">
        <v>920</v>
      </c>
      <c r="B921" s="19">
        <v>45903.79210648148</v>
      </c>
      <c r="C921" s="20">
        <v>45903</v>
      </c>
      <c r="D921" s="8" t="s">
        <v>79</v>
      </c>
      <c r="E921" s="12">
        <v>50</v>
      </c>
      <c r="F921" s="3">
        <v>0</v>
      </c>
      <c r="G921" s="3">
        <v>79950</v>
      </c>
      <c r="H921" s="8" t="s">
        <v>51</v>
      </c>
      <c r="I921" s="8" t="s">
        <v>52</v>
      </c>
      <c r="J921" s="8" t="s">
        <v>36</v>
      </c>
      <c r="K921" s="8" t="s">
        <v>21</v>
      </c>
      <c r="L921" s="8" t="s">
        <v>1246</v>
      </c>
    </row>
    <row r="922" spans="1:12" x14ac:dyDescent="0.35">
      <c r="A922" s="11">
        <v>921</v>
      </c>
      <c r="B922" s="17">
        <v>45903.926493055558</v>
      </c>
      <c r="C922" s="18">
        <v>45903</v>
      </c>
      <c r="D922" s="10" t="s">
        <v>426</v>
      </c>
      <c r="E922" s="14">
        <v>79950</v>
      </c>
      <c r="F922" s="5">
        <v>0</v>
      </c>
      <c r="G922" s="5">
        <v>0</v>
      </c>
      <c r="H922" s="10" t="s">
        <v>51</v>
      </c>
      <c r="I922" s="10" t="s">
        <v>52</v>
      </c>
      <c r="J922" s="10" t="s">
        <v>32</v>
      </c>
      <c r="K922" s="10" t="s">
        <v>21</v>
      </c>
      <c r="L922" s="10" t="s">
        <v>1247</v>
      </c>
    </row>
    <row r="923" spans="1:12" x14ac:dyDescent="0.35">
      <c r="A923" s="9">
        <v>922</v>
      </c>
      <c r="B923" s="19">
        <v>45904.209849537037</v>
      </c>
      <c r="C923" s="20">
        <v>45904</v>
      </c>
      <c r="D923" s="8" t="s">
        <v>394</v>
      </c>
      <c r="E923" s="3">
        <v>0</v>
      </c>
      <c r="F923" s="13">
        <v>500</v>
      </c>
      <c r="G923" s="3">
        <v>500</v>
      </c>
      <c r="H923" s="8" t="s">
        <v>51</v>
      </c>
      <c r="I923" s="8" t="s">
        <v>71</v>
      </c>
      <c r="J923" s="8" t="s">
        <v>32</v>
      </c>
      <c r="K923" s="8" t="s">
        <v>21</v>
      </c>
      <c r="L923" s="8" t="s">
        <v>1248</v>
      </c>
    </row>
    <row r="924" spans="1:12" x14ac:dyDescent="0.35">
      <c r="A924" s="11">
        <v>923</v>
      </c>
      <c r="B924" s="17">
        <v>45904.209849537037</v>
      </c>
      <c r="C924" s="18">
        <v>45904</v>
      </c>
      <c r="D924" s="10" t="s">
        <v>342</v>
      </c>
      <c r="E924" s="14">
        <v>500</v>
      </c>
      <c r="F924" s="5">
        <v>0</v>
      </c>
      <c r="G924" s="5">
        <v>0</v>
      </c>
      <c r="H924" s="10" t="s">
        <v>51</v>
      </c>
      <c r="I924" s="10" t="s">
        <v>52</v>
      </c>
      <c r="J924" s="10" t="s">
        <v>33</v>
      </c>
      <c r="K924" s="10" t="s">
        <v>21</v>
      </c>
      <c r="L924" s="10" t="s">
        <v>1249</v>
      </c>
    </row>
    <row r="925" spans="1:12" x14ac:dyDescent="0.35">
      <c r="A925" s="9">
        <v>924</v>
      </c>
      <c r="B925" s="19">
        <v>45904.399918981479</v>
      </c>
      <c r="C925" s="20">
        <v>45904</v>
      </c>
      <c r="D925" s="8" t="s">
        <v>488</v>
      </c>
      <c r="E925" s="12">
        <v>10000</v>
      </c>
      <c r="F925" s="3">
        <v>0</v>
      </c>
      <c r="G925" s="3">
        <v>0</v>
      </c>
      <c r="H925" s="8" t="s">
        <v>51</v>
      </c>
      <c r="I925" s="8" t="s">
        <v>52</v>
      </c>
      <c r="J925" s="8" t="s">
        <v>30</v>
      </c>
      <c r="K925" s="8" t="s">
        <v>21</v>
      </c>
      <c r="L925" s="8" t="s">
        <v>1250</v>
      </c>
    </row>
    <row r="926" spans="1:12" x14ac:dyDescent="0.35">
      <c r="A926" s="11">
        <v>925</v>
      </c>
      <c r="B926" s="17">
        <v>45904.399965277778</v>
      </c>
      <c r="C926" s="18">
        <v>45904</v>
      </c>
      <c r="D926" s="10" t="s">
        <v>394</v>
      </c>
      <c r="E926" s="5">
        <v>0</v>
      </c>
      <c r="F926" s="15">
        <v>10000</v>
      </c>
      <c r="G926" s="5">
        <v>10000</v>
      </c>
      <c r="H926" s="10" t="s">
        <v>51</v>
      </c>
      <c r="I926" s="10" t="s">
        <v>71</v>
      </c>
      <c r="J926" s="10" t="s">
        <v>32</v>
      </c>
      <c r="K926" s="10" t="s">
        <v>21</v>
      </c>
      <c r="L926" s="10" t="s">
        <v>1251</v>
      </c>
    </row>
    <row r="927" spans="1:12" x14ac:dyDescent="0.35">
      <c r="A927" s="9">
        <v>926</v>
      </c>
      <c r="B927" s="19">
        <v>45904.542546296303</v>
      </c>
      <c r="C927" s="20">
        <v>45904</v>
      </c>
      <c r="D927" s="8" t="s">
        <v>386</v>
      </c>
      <c r="E927" s="12">
        <v>30000</v>
      </c>
      <c r="F927" s="3">
        <v>0</v>
      </c>
      <c r="G927" s="3">
        <v>0</v>
      </c>
      <c r="H927" s="8" t="s">
        <v>51</v>
      </c>
      <c r="I927" s="8" t="s">
        <v>52</v>
      </c>
      <c r="J927" s="8" t="s">
        <v>30</v>
      </c>
      <c r="K927" s="8" t="s">
        <v>21</v>
      </c>
      <c r="L927" s="8" t="s">
        <v>1252</v>
      </c>
    </row>
    <row r="928" spans="1:12" x14ac:dyDescent="0.35">
      <c r="A928" s="11">
        <v>927</v>
      </c>
      <c r="B928" s="17">
        <v>45904.542615740742</v>
      </c>
      <c r="C928" s="18">
        <v>45904</v>
      </c>
      <c r="D928" s="10" t="s">
        <v>394</v>
      </c>
      <c r="E928" s="5">
        <v>0</v>
      </c>
      <c r="F928" s="15">
        <v>30000</v>
      </c>
      <c r="G928" s="5">
        <v>30000</v>
      </c>
      <c r="H928" s="10" t="s">
        <v>51</v>
      </c>
      <c r="I928" s="10" t="s">
        <v>71</v>
      </c>
      <c r="J928" s="10" t="s">
        <v>32</v>
      </c>
      <c r="K928" s="10" t="s">
        <v>21</v>
      </c>
      <c r="L928" s="10" t="s">
        <v>1253</v>
      </c>
    </row>
    <row r="929" spans="1:12" x14ac:dyDescent="0.35">
      <c r="A929" s="9">
        <v>928</v>
      </c>
      <c r="B929" s="19">
        <v>45904.70040509259</v>
      </c>
      <c r="C929" s="20">
        <v>45904</v>
      </c>
      <c r="D929" s="8" t="s">
        <v>276</v>
      </c>
      <c r="E929" s="12">
        <v>842</v>
      </c>
      <c r="F929" s="3">
        <v>0</v>
      </c>
      <c r="G929" s="3">
        <v>0</v>
      </c>
      <c r="H929" s="8" t="s">
        <v>51</v>
      </c>
      <c r="I929" s="8" t="s">
        <v>52</v>
      </c>
      <c r="J929" s="8" t="s">
        <v>36</v>
      </c>
      <c r="K929" s="8" t="s">
        <v>21</v>
      </c>
      <c r="L929" s="8" t="s">
        <v>1254</v>
      </c>
    </row>
    <row r="930" spans="1:12" x14ac:dyDescent="0.35">
      <c r="A930" s="11">
        <v>929</v>
      </c>
      <c r="B930" s="17">
        <v>45904.700520833343</v>
      </c>
      <c r="C930" s="18">
        <v>45904</v>
      </c>
      <c r="D930" s="10" t="s">
        <v>394</v>
      </c>
      <c r="E930" s="5">
        <v>0</v>
      </c>
      <c r="F930" s="15">
        <v>842</v>
      </c>
      <c r="G930" s="5">
        <v>842</v>
      </c>
      <c r="H930" s="10" t="s">
        <v>51</v>
      </c>
      <c r="I930" s="10" t="s">
        <v>71</v>
      </c>
      <c r="J930" s="10" t="s">
        <v>32</v>
      </c>
      <c r="K930" s="10" t="s">
        <v>21</v>
      </c>
      <c r="L930" s="10" t="s">
        <v>1255</v>
      </c>
    </row>
    <row r="931" spans="1:12" x14ac:dyDescent="0.35">
      <c r="A931" s="9">
        <v>930</v>
      </c>
      <c r="B931" s="19">
        <v>45904.714756944442</v>
      </c>
      <c r="C931" s="20">
        <v>45904</v>
      </c>
      <c r="D931" s="8" t="s">
        <v>1256</v>
      </c>
      <c r="E931" s="12">
        <v>4000</v>
      </c>
      <c r="F931" s="3">
        <v>0</v>
      </c>
      <c r="G931" s="3">
        <v>0</v>
      </c>
      <c r="H931" s="8" t="s">
        <v>33</v>
      </c>
      <c r="I931" s="8" t="s">
        <v>52</v>
      </c>
      <c r="J931" s="8" t="s">
        <v>34</v>
      </c>
      <c r="K931" s="8" t="s">
        <v>21</v>
      </c>
      <c r="L931" s="8" t="s">
        <v>1257</v>
      </c>
    </row>
    <row r="932" spans="1:12" x14ac:dyDescent="0.35">
      <c r="A932" s="11">
        <v>931</v>
      </c>
      <c r="B932" s="17">
        <v>45904.714756944442</v>
      </c>
      <c r="C932" s="18">
        <v>45904</v>
      </c>
      <c r="D932" s="10" t="s">
        <v>394</v>
      </c>
      <c r="E932" s="5">
        <v>0</v>
      </c>
      <c r="F932" s="15">
        <v>4000</v>
      </c>
      <c r="G932" s="5">
        <v>4000</v>
      </c>
      <c r="H932" s="10" t="s">
        <v>51</v>
      </c>
      <c r="I932" s="10" t="s">
        <v>71</v>
      </c>
      <c r="J932" s="10" t="s">
        <v>32</v>
      </c>
      <c r="K932" s="10" t="s">
        <v>21</v>
      </c>
      <c r="L932" s="10" t="s">
        <v>1258</v>
      </c>
    </row>
    <row r="933" spans="1:12" x14ac:dyDescent="0.35">
      <c r="A933" s="9">
        <v>932</v>
      </c>
      <c r="B933" s="19">
        <v>45904.739305555559</v>
      </c>
      <c r="C933" s="20">
        <v>45904</v>
      </c>
      <c r="D933" s="8" t="s">
        <v>1259</v>
      </c>
      <c r="E933" s="12">
        <v>1500</v>
      </c>
      <c r="F933" s="3">
        <v>0</v>
      </c>
      <c r="G933" s="3">
        <v>0</v>
      </c>
      <c r="H933" s="8" t="s">
        <v>51</v>
      </c>
      <c r="I933" s="8" t="s">
        <v>52</v>
      </c>
      <c r="J933" s="8" t="s">
        <v>30</v>
      </c>
      <c r="K933" s="8" t="s">
        <v>21</v>
      </c>
      <c r="L933" s="8" t="s">
        <v>1260</v>
      </c>
    </row>
    <row r="934" spans="1:12" x14ac:dyDescent="0.35">
      <c r="A934" s="11">
        <v>933</v>
      </c>
      <c r="B934" s="17">
        <v>45904.739340277767</v>
      </c>
      <c r="C934" s="18">
        <v>45904</v>
      </c>
      <c r="D934" s="10" t="s">
        <v>394</v>
      </c>
      <c r="E934" s="5">
        <v>0</v>
      </c>
      <c r="F934" s="15">
        <v>1500</v>
      </c>
      <c r="G934" s="5">
        <v>1500</v>
      </c>
      <c r="H934" s="10" t="s">
        <v>51</v>
      </c>
      <c r="I934" s="10" t="s">
        <v>71</v>
      </c>
      <c r="J934" s="10" t="s">
        <v>32</v>
      </c>
      <c r="K934" s="10" t="s">
        <v>21</v>
      </c>
      <c r="L934" s="10" t="s">
        <v>1261</v>
      </c>
    </row>
    <row r="935" spans="1:12" x14ac:dyDescent="0.35">
      <c r="A935" s="9">
        <v>934</v>
      </c>
      <c r="B935" s="19">
        <v>45904.899837962963</v>
      </c>
      <c r="C935" s="20">
        <v>45904</v>
      </c>
      <c r="D935" s="8" t="s">
        <v>450</v>
      </c>
      <c r="E935" s="3">
        <v>0</v>
      </c>
      <c r="F935" s="13">
        <v>50000</v>
      </c>
      <c r="G935" s="3">
        <v>50000</v>
      </c>
      <c r="H935" s="8" t="s">
        <v>51</v>
      </c>
      <c r="I935" s="8" t="s">
        <v>71</v>
      </c>
      <c r="J935" s="8" t="s">
        <v>31</v>
      </c>
      <c r="K935" s="8" t="s">
        <v>21</v>
      </c>
      <c r="L935" s="8" t="s">
        <v>1262</v>
      </c>
    </row>
    <row r="936" spans="1:12" x14ac:dyDescent="0.35">
      <c r="A936" s="11">
        <v>935</v>
      </c>
      <c r="B936" s="17">
        <v>45904.89984953704</v>
      </c>
      <c r="C936" s="18">
        <v>45904</v>
      </c>
      <c r="D936" s="10" t="s">
        <v>79</v>
      </c>
      <c r="E936" s="14">
        <v>50</v>
      </c>
      <c r="F936" s="5">
        <v>0</v>
      </c>
      <c r="G936" s="5">
        <v>49950</v>
      </c>
      <c r="H936" s="10" t="s">
        <v>51</v>
      </c>
      <c r="I936" s="10" t="s">
        <v>52</v>
      </c>
      <c r="J936" s="10" t="s">
        <v>36</v>
      </c>
      <c r="K936" s="10" t="s">
        <v>21</v>
      </c>
      <c r="L936" s="10" t="s">
        <v>1263</v>
      </c>
    </row>
    <row r="937" spans="1:12" x14ac:dyDescent="0.35">
      <c r="A937" s="9">
        <v>936</v>
      </c>
      <c r="B937" s="19">
        <v>45904.92695601852</v>
      </c>
      <c r="C937" s="20">
        <v>45904</v>
      </c>
      <c r="D937" s="8" t="s">
        <v>426</v>
      </c>
      <c r="E937" s="12">
        <v>49950</v>
      </c>
      <c r="F937" s="3">
        <v>0</v>
      </c>
      <c r="G937" s="3">
        <v>0</v>
      </c>
      <c r="H937" s="8" t="s">
        <v>51</v>
      </c>
      <c r="I937" s="8" t="s">
        <v>52</v>
      </c>
      <c r="J937" s="8" t="s">
        <v>32</v>
      </c>
      <c r="K937" s="8" t="s">
        <v>21</v>
      </c>
      <c r="L937" s="8" t="s">
        <v>1264</v>
      </c>
    </row>
    <row r="938" spans="1:12" x14ac:dyDescent="0.35">
      <c r="A938" s="11">
        <v>937</v>
      </c>
      <c r="B938" s="17">
        <v>45905.209872685176</v>
      </c>
      <c r="C938" s="18">
        <v>45905</v>
      </c>
      <c r="D938" s="10" t="s">
        <v>394</v>
      </c>
      <c r="E938" s="5">
        <v>0</v>
      </c>
      <c r="F938" s="15">
        <v>500</v>
      </c>
      <c r="G938" s="5">
        <v>500</v>
      </c>
      <c r="H938" s="10" t="s">
        <v>51</v>
      </c>
      <c r="I938" s="10" t="s">
        <v>71</v>
      </c>
      <c r="J938" s="10" t="s">
        <v>32</v>
      </c>
      <c r="K938" s="10" t="s">
        <v>21</v>
      </c>
      <c r="L938" s="10" t="s">
        <v>1265</v>
      </c>
    </row>
    <row r="939" spans="1:12" x14ac:dyDescent="0.35">
      <c r="A939" s="9">
        <v>938</v>
      </c>
      <c r="B939" s="19">
        <v>45905.209872685176</v>
      </c>
      <c r="C939" s="20">
        <v>45905</v>
      </c>
      <c r="D939" s="8" t="s">
        <v>342</v>
      </c>
      <c r="E939" s="12">
        <v>500</v>
      </c>
      <c r="F939" s="3">
        <v>0</v>
      </c>
      <c r="G939" s="3">
        <v>0</v>
      </c>
      <c r="H939" s="8" t="s">
        <v>51</v>
      </c>
      <c r="I939" s="8" t="s">
        <v>52</v>
      </c>
      <c r="J939" s="8" t="s">
        <v>33</v>
      </c>
      <c r="K939" s="8" t="s">
        <v>21</v>
      </c>
      <c r="L939" s="8" t="s">
        <v>1266</v>
      </c>
    </row>
    <row r="940" spans="1:12" x14ac:dyDescent="0.35">
      <c r="A940" s="11">
        <v>939</v>
      </c>
      <c r="B940" s="17">
        <v>45905.342372685183</v>
      </c>
      <c r="C940" s="18">
        <v>45905</v>
      </c>
      <c r="D940" s="10" t="s">
        <v>276</v>
      </c>
      <c r="E940" s="14">
        <v>900</v>
      </c>
      <c r="F940" s="5">
        <v>0</v>
      </c>
      <c r="G940" s="5">
        <v>0</v>
      </c>
      <c r="H940" s="10" t="s">
        <v>51</v>
      </c>
      <c r="I940" s="10" t="s">
        <v>52</v>
      </c>
      <c r="J940" s="10" t="s">
        <v>36</v>
      </c>
      <c r="K940" s="10" t="s">
        <v>21</v>
      </c>
      <c r="L940" s="10" t="s">
        <v>1267</v>
      </c>
    </row>
    <row r="941" spans="1:12" x14ac:dyDescent="0.35">
      <c r="A941" s="9">
        <v>940</v>
      </c>
      <c r="B941" s="19">
        <v>45905.342418981483</v>
      </c>
      <c r="C941" s="20">
        <v>45905</v>
      </c>
      <c r="D941" s="8" t="s">
        <v>394</v>
      </c>
      <c r="E941" s="3">
        <v>0</v>
      </c>
      <c r="F941" s="13">
        <v>900</v>
      </c>
      <c r="G941" s="3">
        <v>900</v>
      </c>
      <c r="H941" s="8" t="s">
        <v>51</v>
      </c>
      <c r="I941" s="8" t="s">
        <v>71</v>
      </c>
      <c r="J941" s="8" t="s">
        <v>32</v>
      </c>
      <c r="K941" s="8" t="s">
        <v>21</v>
      </c>
      <c r="L941" s="8" t="s">
        <v>1268</v>
      </c>
    </row>
    <row r="942" spans="1:12" x14ac:dyDescent="0.35">
      <c r="A942" s="11">
        <v>941</v>
      </c>
      <c r="B942" s="17">
        <v>45905.6643287037</v>
      </c>
      <c r="C942" s="18">
        <v>45905</v>
      </c>
      <c r="D942" s="10" t="s">
        <v>1269</v>
      </c>
      <c r="E942" s="14">
        <v>2000</v>
      </c>
      <c r="F942" s="5">
        <v>0</v>
      </c>
      <c r="G942" s="5">
        <v>0</v>
      </c>
      <c r="H942" s="10" t="s">
        <v>33</v>
      </c>
      <c r="I942" s="10" t="s">
        <v>52</v>
      </c>
      <c r="J942" s="10" t="s">
        <v>34</v>
      </c>
      <c r="K942" s="10" t="s">
        <v>21</v>
      </c>
      <c r="L942" s="10" t="s">
        <v>1270</v>
      </c>
    </row>
    <row r="943" spans="1:12" x14ac:dyDescent="0.35">
      <c r="A943" s="9">
        <v>942</v>
      </c>
      <c r="B943" s="19">
        <v>45905.664340277777</v>
      </c>
      <c r="C943" s="20">
        <v>45905</v>
      </c>
      <c r="D943" s="8" t="s">
        <v>394</v>
      </c>
      <c r="E943" s="3">
        <v>0</v>
      </c>
      <c r="F943" s="13">
        <v>2000</v>
      </c>
      <c r="G943" s="3">
        <v>2000</v>
      </c>
      <c r="H943" s="8" t="s">
        <v>51</v>
      </c>
      <c r="I943" s="8" t="s">
        <v>71</v>
      </c>
      <c r="J943" s="8" t="s">
        <v>32</v>
      </c>
      <c r="K943" s="8" t="s">
        <v>21</v>
      </c>
      <c r="L943" s="8" t="s">
        <v>1271</v>
      </c>
    </row>
    <row r="944" spans="1:12" x14ac:dyDescent="0.35">
      <c r="A944" s="11">
        <v>943</v>
      </c>
      <c r="B944" s="17">
        <v>45906.209872685176</v>
      </c>
      <c r="C944" s="18">
        <v>45906</v>
      </c>
      <c r="D944" s="10" t="s">
        <v>394</v>
      </c>
      <c r="E944" s="5">
        <v>0</v>
      </c>
      <c r="F944" s="15">
        <v>500</v>
      </c>
      <c r="G944" s="5">
        <v>500</v>
      </c>
      <c r="H944" s="10" t="s">
        <v>51</v>
      </c>
      <c r="I944" s="10" t="s">
        <v>71</v>
      </c>
      <c r="J944" s="10" t="s">
        <v>32</v>
      </c>
      <c r="K944" s="10" t="s">
        <v>21</v>
      </c>
      <c r="L944" s="10" t="s">
        <v>1272</v>
      </c>
    </row>
    <row r="945" spans="1:12" x14ac:dyDescent="0.35">
      <c r="A945" s="9">
        <v>944</v>
      </c>
      <c r="B945" s="19">
        <v>45906.209872685176</v>
      </c>
      <c r="C945" s="20">
        <v>45906</v>
      </c>
      <c r="D945" s="8" t="s">
        <v>342</v>
      </c>
      <c r="E945" s="12">
        <v>500</v>
      </c>
      <c r="F945" s="3">
        <v>0</v>
      </c>
      <c r="G945" s="3">
        <v>0</v>
      </c>
      <c r="H945" s="8" t="s">
        <v>51</v>
      </c>
      <c r="I945" s="8" t="s">
        <v>52</v>
      </c>
      <c r="J945" s="8" t="s">
        <v>33</v>
      </c>
      <c r="K945" s="8" t="s">
        <v>21</v>
      </c>
      <c r="L945" s="8" t="s">
        <v>1273</v>
      </c>
    </row>
    <row r="946" spans="1:12" x14ac:dyDescent="0.35">
      <c r="A946" s="11">
        <v>945</v>
      </c>
      <c r="B946" s="17">
        <v>45906.87222222222</v>
      </c>
      <c r="C946" s="18">
        <v>45906</v>
      </c>
      <c r="D946" s="10" t="s">
        <v>1274</v>
      </c>
      <c r="E946" s="14">
        <v>40000</v>
      </c>
      <c r="F946" s="5">
        <v>0</v>
      </c>
      <c r="G946" s="5">
        <v>0</v>
      </c>
      <c r="H946" s="10" t="s">
        <v>51</v>
      </c>
      <c r="I946" s="10" t="s">
        <v>52</v>
      </c>
      <c r="J946" s="10" t="s">
        <v>30</v>
      </c>
      <c r="K946" s="10" t="s">
        <v>21</v>
      </c>
      <c r="L946" s="10" t="s">
        <v>1275</v>
      </c>
    </row>
    <row r="947" spans="1:12" x14ac:dyDescent="0.35">
      <c r="A947" s="9">
        <v>946</v>
      </c>
      <c r="B947" s="19">
        <v>45906.872314814813</v>
      </c>
      <c r="C947" s="20">
        <v>45906</v>
      </c>
      <c r="D947" s="8" t="s">
        <v>394</v>
      </c>
      <c r="E947" s="3">
        <v>0</v>
      </c>
      <c r="F947" s="13">
        <v>40000</v>
      </c>
      <c r="G947" s="3">
        <v>40000</v>
      </c>
      <c r="H947" s="8" t="s">
        <v>51</v>
      </c>
      <c r="I947" s="8" t="s">
        <v>71</v>
      </c>
      <c r="J947" s="8" t="s">
        <v>32</v>
      </c>
      <c r="K947" s="8" t="s">
        <v>21</v>
      </c>
      <c r="L947" s="8" t="s">
        <v>1276</v>
      </c>
    </row>
    <row r="948" spans="1:12" x14ac:dyDescent="0.35">
      <c r="A948" s="11">
        <v>947</v>
      </c>
      <c r="B948" s="17">
        <v>45907.209988425922</v>
      </c>
      <c r="C948" s="18">
        <v>45907</v>
      </c>
      <c r="D948" s="10" t="s">
        <v>394</v>
      </c>
      <c r="E948" s="5">
        <v>0</v>
      </c>
      <c r="F948" s="15">
        <v>500</v>
      </c>
      <c r="G948" s="5">
        <v>500</v>
      </c>
      <c r="H948" s="10" t="s">
        <v>51</v>
      </c>
      <c r="I948" s="10" t="s">
        <v>71</v>
      </c>
      <c r="J948" s="10" t="s">
        <v>32</v>
      </c>
      <c r="K948" s="10" t="s">
        <v>21</v>
      </c>
      <c r="L948" s="10" t="s">
        <v>1277</v>
      </c>
    </row>
    <row r="949" spans="1:12" x14ac:dyDescent="0.35">
      <c r="A949" s="9">
        <v>948</v>
      </c>
      <c r="B949" s="19">
        <v>45907.209988425922</v>
      </c>
      <c r="C949" s="20">
        <v>45907</v>
      </c>
      <c r="D949" s="8" t="s">
        <v>342</v>
      </c>
      <c r="E949" s="12">
        <v>500</v>
      </c>
      <c r="F949" s="3">
        <v>0</v>
      </c>
      <c r="G949" s="3">
        <v>0</v>
      </c>
      <c r="H949" s="8" t="s">
        <v>51</v>
      </c>
      <c r="I949" s="8" t="s">
        <v>52</v>
      </c>
      <c r="J949" s="8" t="s">
        <v>33</v>
      </c>
      <c r="K949" s="8" t="s">
        <v>21</v>
      </c>
      <c r="L949" s="8" t="s">
        <v>1278</v>
      </c>
    </row>
    <row r="950" spans="1:12" x14ac:dyDescent="0.35">
      <c r="A950" s="11">
        <v>949</v>
      </c>
      <c r="B950" s="17">
        <v>45908.209872685176</v>
      </c>
      <c r="C950" s="18">
        <v>45908</v>
      </c>
      <c r="D950" s="10" t="s">
        <v>394</v>
      </c>
      <c r="E950" s="5">
        <v>0</v>
      </c>
      <c r="F950" s="15">
        <v>500</v>
      </c>
      <c r="G950" s="5">
        <v>500</v>
      </c>
      <c r="H950" s="10" t="s">
        <v>51</v>
      </c>
      <c r="I950" s="10" t="s">
        <v>71</v>
      </c>
      <c r="J950" s="10" t="s">
        <v>32</v>
      </c>
      <c r="K950" s="10" t="s">
        <v>21</v>
      </c>
      <c r="L950" s="10" t="s">
        <v>1279</v>
      </c>
    </row>
    <row r="951" spans="1:12" x14ac:dyDescent="0.35">
      <c r="A951" s="9">
        <v>950</v>
      </c>
      <c r="B951" s="19">
        <v>45908.209872685176</v>
      </c>
      <c r="C951" s="20">
        <v>45908</v>
      </c>
      <c r="D951" s="8" t="s">
        <v>342</v>
      </c>
      <c r="E951" s="12">
        <v>500</v>
      </c>
      <c r="F951" s="3">
        <v>0</v>
      </c>
      <c r="G951" s="3">
        <v>0</v>
      </c>
      <c r="H951" s="8" t="s">
        <v>51</v>
      </c>
      <c r="I951" s="8" t="s">
        <v>52</v>
      </c>
      <c r="J951" s="8" t="s">
        <v>33</v>
      </c>
      <c r="K951" s="8" t="s">
        <v>21</v>
      </c>
      <c r="L951" s="8" t="s">
        <v>1280</v>
      </c>
    </row>
    <row r="952" spans="1:12" x14ac:dyDescent="0.35">
      <c r="A952" s="11">
        <v>951</v>
      </c>
      <c r="B952" s="17">
        <v>45908.315081018518</v>
      </c>
      <c r="C952" s="18">
        <v>45908</v>
      </c>
      <c r="D952" s="10" t="s">
        <v>276</v>
      </c>
      <c r="E952" s="14">
        <v>900</v>
      </c>
      <c r="F952" s="5">
        <v>0</v>
      </c>
      <c r="G952" s="5">
        <v>0</v>
      </c>
      <c r="H952" s="10" t="s">
        <v>51</v>
      </c>
      <c r="I952" s="10" t="s">
        <v>52</v>
      </c>
      <c r="J952" s="10" t="s">
        <v>36</v>
      </c>
      <c r="K952" s="10" t="s">
        <v>21</v>
      </c>
      <c r="L952" s="10" t="s">
        <v>1281</v>
      </c>
    </row>
    <row r="953" spans="1:12" x14ac:dyDescent="0.35">
      <c r="A953" s="9">
        <v>952</v>
      </c>
      <c r="B953" s="19">
        <v>45908.315115740741</v>
      </c>
      <c r="C953" s="20">
        <v>45908</v>
      </c>
      <c r="D953" s="8" t="s">
        <v>394</v>
      </c>
      <c r="E953" s="3">
        <v>0</v>
      </c>
      <c r="F953" s="13">
        <v>900</v>
      </c>
      <c r="G953" s="3">
        <v>900</v>
      </c>
      <c r="H953" s="8" t="s">
        <v>51</v>
      </c>
      <c r="I953" s="8" t="s">
        <v>71</v>
      </c>
      <c r="J953" s="8" t="s">
        <v>32</v>
      </c>
      <c r="K953" s="8" t="s">
        <v>21</v>
      </c>
      <c r="L953" s="8" t="s">
        <v>1282</v>
      </c>
    </row>
    <row r="954" spans="1:12" x14ac:dyDescent="0.35">
      <c r="A954" s="11">
        <v>953</v>
      </c>
      <c r="B954" s="17">
        <v>45908.331747685188</v>
      </c>
      <c r="C954" s="18">
        <v>45908</v>
      </c>
      <c r="D954" s="10" t="s">
        <v>1283</v>
      </c>
      <c r="E954" s="14">
        <v>2100</v>
      </c>
      <c r="F954" s="5">
        <v>0</v>
      </c>
      <c r="G954" s="5">
        <v>0</v>
      </c>
      <c r="H954" s="10" t="s">
        <v>33</v>
      </c>
      <c r="I954" s="10" t="s">
        <v>52</v>
      </c>
      <c r="J954" s="10" t="s">
        <v>34</v>
      </c>
      <c r="K954" s="10" t="s">
        <v>21</v>
      </c>
      <c r="L954" s="10" t="s">
        <v>1284</v>
      </c>
    </row>
    <row r="955" spans="1:12" x14ac:dyDescent="0.35">
      <c r="A955" s="9">
        <v>954</v>
      </c>
      <c r="B955" s="19">
        <v>45908.331747685188</v>
      </c>
      <c r="C955" s="20">
        <v>45908</v>
      </c>
      <c r="D955" s="8" t="s">
        <v>394</v>
      </c>
      <c r="E955" s="3">
        <v>0</v>
      </c>
      <c r="F955" s="13">
        <v>2100</v>
      </c>
      <c r="G955" s="3">
        <v>2100</v>
      </c>
      <c r="H955" s="8" t="s">
        <v>51</v>
      </c>
      <c r="I955" s="8" t="s">
        <v>71</v>
      </c>
      <c r="J955" s="8" t="s">
        <v>32</v>
      </c>
      <c r="K955" s="8" t="s">
        <v>21</v>
      </c>
      <c r="L955" s="8" t="s">
        <v>1285</v>
      </c>
    </row>
    <row r="956" spans="1:12" x14ac:dyDescent="0.35">
      <c r="A956" s="11">
        <v>955</v>
      </c>
      <c r="B956" s="17">
        <v>45908.500057870369</v>
      </c>
      <c r="C956" s="18">
        <v>45908</v>
      </c>
      <c r="D956" s="10" t="s">
        <v>1286</v>
      </c>
      <c r="E956" s="14">
        <v>2000</v>
      </c>
      <c r="F956" s="5">
        <v>0</v>
      </c>
      <c r="G956" s="5">
        <v>0</v>
      </c>
      <c r="H956" s="10" t="s">
        <v>51</v>
      </c>
      <c r="I956" s="10" t="s">
        <v>52</v>
      </c>
      <c r="J956" s="10" t="s">
        <v>30</v>
      </c>
      <c r="K956" s="10" t="s">
        <v>21</v>
      </c>
      <c r="L956" s="10" t="s">
        <v>1287</v>
      </c>
    </row>
    <row r="957" spans="1:12" x14ac:dyDescent="0.35">
      <c r="A957" s="9">
        <v>956</v>
      </c>
      <c r="B957" s="19">
        <v>45908.500104166669</v>
      </c>
      <c r="C957" s="20">
        <v>45908</v>
      </c>
      <c r="D957" s="8" t="s">
        <v>394</v>
      </c>
      <c r="E957" s="3">
        <v>0</v>
      </c>
      <c r="F957" s="13">
        <v>2000</v>
      </c>
      <c r="G957" s="3">
        <v>2000</v>
      </c>
      <c r="H957" s="8" t="s">
        <v>51</v>
      </c>
      <c r="I957" s="8" t="s">
        <v>71</v>
      </c>
      <c r="J957" s="8" t="s">
        <v>32</v>
      </c>
      <c r="K957" s="8" t="s">
        <v>21</v>
      </c>
      <c r="L957" s="8" t="s">
        <v>1288</v>
      </c>
    </row>
    <row r="958" spans="1:12" x14ac:dyDescent="0.35">
      <c r="A958" s="11">
        <v>957</v>
      </c>
      <c r="B958" s="17">
        <v>45908.853668981479</v>
      </c>
      <c r="C958" s="18">
        <v>45908</v>
      </c>
      <c r="D958" s="10" t="s">
        <v>1289</v>
      </c>
      <c r="E958" s="5">
        <v>0</v>
      </c>
      <c r="F958" s="15">
        <v>4000</v>
      </c>
      <c r="G958" s="5">
        <v>4000</v>
      </c>
      <c r="H958" s="10" t="s">
        <v>51</v>
      </c>
      <c r="I958" s="10" t="s">
        <v>71</v>
      </c>
      <c r="J958" s="10" t="s">
        <v>31</v>
      </c>
      <c r="K958" s="10" t="s">
        <v>21</v>
      </c>
      <c r="L958" s="10" t="s">
        <v>1290</v>
      </c>
    </row>
    <row r="959" spans="1:12" x14ac:dyDescent="0.35">
      <c r="A959" s="9">
        <v>958</v>
      </c>
      <c r="B959" s="19">
        <v>45908.926539351851</v>
      </c>
      <c r="C959" s="20">
        <v>45908</v>
      </c>
      <c r="D959" s="8" t="s">
        <v>426</v>
      </c>
      <c r="E959" s="12">
        <v>4000</v>
      </c>
      <c r="F959" s="3">
        <v>0</v>
      </c>
      <c r="G959" s="3">
        <v>0</v>
      </c>
      <c r="H959" s="8" t="s">
        <v>51</v>
      </c>
      <c r="I959" s="8" t="s">
        <v>52</v>
      </c>
      <c r="J959" s="8" t="s">
        <v>32</v>
      </c>
      <c r="K959" s="8" t="s">
        <v>21</v>
      </c>
      <c r="L959" s="8" t="s">
        <v>1291</v>
      </c>
    </row>
    <row r="960" spans="1:12" x14ac:dyDescent="0.35">
      <c r="A960" s="11">
        <v>959</v>
      </c>
      <c r="B960" s="17">
        <v>45909.20988425926</v>
      </c>
      <c r="C960" s="18">
        <v>45909</v>
      </c>
      <c r="D960" s="10" t="s">
        <v>394</v>
      </c>
      <c r="E960" s="5">
        <v>0</v>
      </c>
      <c r="F960" s="15">
        <v>500</v>
      </c>
      <c r="G960" s="5">
        <v>500</v>
      </c>
      <c r="H960" s="10" t="s">
        <v>51</v>
      </c>
      <c r="I960" s="10" t="s">
        <v>71</v>
      </c>
      <c r="J960" s="10" t="s">
        <v>32</v>
      </c>
      <c r="K960" s="10" t="s">
        <v>21</v>
      </c>
      <c r="L960" s="10" t="s">
        <v>1292</v>
      </c>
    </row>
    <row r="961" spans="1:12" x14ac:dyDescent="0.35">
      <c r="A961" s="9">
        <v>960</v>
      </c>
      <c r="B961" s="19">
        <v>45909.20988425926</v>
      </c>
      <c r="C961" s="20">
        <v>45909</v>
      </c>
      <c r="D961" s="8" t="s">
        <v>342</v>
      </c>
      <c r="E961" s="12">
        <v>500</v>
      </c>
      <c r="F961" s="3">
        <v>0</v>
      </c>
      <c r="G961" s="3">
        <v>0</v>
      </c>
      <c r="H961" s="8" t="s">
        <v>51</v>
      </c>
      <c r="I961" s="8" t="s">
        <v>52</v>
      </c>
      <c r="J961" s="8" t="s">
        <v>33</v>
      </c>
      <c r="K961" s="8" t="s">
        <v>21</v>
      </c>
      <c r="L961" s="8" t="s">
        <v>1293</v>
      </c>
    </row>
    <row r="962" spans="1:12" x14ac:dyDescent="0.35">
      <c r="A962" s="11">
        <v>961</v>
      </c>
      <c r="B962" s="17">
        <v>45909.413923611108</v>
      </c>
      <c r="C962" s="18">
        <v>45909</v>
      </c>
      <c r="D962" s="10" t="s">
        <v>1294</v>
      </c>
      <c r="E962" s="14">
        <v>4000</v>
      </c>
      <c r="F962" s="5">
        <v>0</v>
      </c>
      <c r="G962" s="5">
        <v>0</v>
      </c>
      <c r="H962" s="10" t="s">
        <v>33</v>
      </c>
      <c r="I962" s="10" t="s">
        <v>52</v>
      </c>
      <c r="J962" s="10" t="s">
        <v>34</v>
      </c>
      <c r="K962" s="10" t="s">
        <v>21</v>
      </c>
      <c r="L962" s="10" t="s">
        <v>1295</v>
      </c>
    </row>
    <row r="963" spans="1:12" x14ac:dyDescent="0.35">
      <c r="A963" s="9">
        <v>962</v>
      </c>
      <c r="B963" s="19">
        <v>45909.413935185177</v>
      </c>
      <c r="C963" s="20">
        <v>45909</v>
      </c>
      <c r="D963" s="8" t="s">
        <v>394</v>
      </c>
      <c r="E963" s="3">
        <v>0</v>
      </c>
      <c r="F963" s="13">
        <v>4000</v>
      </c>
      <c r="G963" s="3">
        <v>4000</v>
      </c>
      <c r="H963" s="8" t="s">
        <v>51</v>
      </c>
      <c r="I963" s="8" t="s">
        <v>71</v>
      </c>
      <c r="J963" s="8" t="s">
        <v>32</v>
      </c>
      <c r="K963" s="8" t="s">
        <v>21</v>
      </c>
      <c r="L963" s="8" t="s">
        <v>1296</v>
      </c>
    </row>
    <row r="964" spans="1:12" x14ac:dyDescent="0.35">
      <c r="A964" s="11">
        <v>963</v>
      </c>
      <c r="B964" s="17">
        <v>45909.557789351849</v>
      </c>
      <c r="C964" s="18">
        <v>45909</v>
      </c>
      <c r="D964" s="10" t="s">
        <v>276</v>
      </c>
      <c r="E964" s="14">
        <v>846</v>
      </c>
      <c r="F964" s="5">
        <v>0</v>
      </c>
      <c r="G964" s="5">
        <v>0</v>
      </c>
      <c r="H964" s="10" t="s">
        <v>51</v>
      </c>
      <c r="I964" s="10" t="s">
        <v>52</v>
      </c>
      <c r="J964" s="10" t="s">
        <v>36</v>
      </c>
      <c r="K964" s="10" t="s">
        <v>21</v>
      </c>
      <c r="L964" s="10" t="s">
        <v>1297</v>
      </c>
    </row>
    <row r="965" spans="1:12" x14ac:dyDescent="0.35">
      <c r="A965" s="9">
        <v>964</v>
      </c>
      <c r="B965" s="19">
        <v>45909.557847222219</v>
      </c>
      <c r="C965" s="20">
        <v>45909</v>
      </c>
      <c r="D965" s="8" t="s">
        <v>394</v>
      </c>
      <c r="E965" s="3">
        <v>0</v>
      </c>
      <c r="F965" s="13">
        <v>846</v>
      </c>
      <c r="G965" s="3">
        <v>846</v>
      </c>
      <c r="H965" s="8" t="s">
        <v>51</v>
      </c>
      <c r="I965" s="8" t="s">
        <v>71</v>
      </c>
      <c r="J965" s="8" t="s">
        <v>32</v>
      </c>
      <c r="K965" s="8" t="s">
        <v>21</v>
      </c>
      <c r="L965" s="8" t="s">
        <v>1298</v>
      </c>
    </row>
    <row r="966" spans="1:12" x14ac:dyDescent="0.35">
      <c r="A966" s="11">
        <v>965</v>
      </c>
      <c r="B966" s="17">
        <v>45909.569606481477</v>
      </c>
      <c r="C966" s="18">
        <v>45909</v>
      </c>
      <c r="D966" s="10" t="s">
        <v>1299</v>
      </c>
      <c r="E966" s="14">
        <v>1400</v>
      </c>
      <c r="F966" s="5">
        <v>0</v>
      </c>
      <c r="G966" s="5">
        <v>0</v>
      </c>
      <c r="H966" s="10" t="s">
        <v>51</v>
      </c>
      <c r="I966" s="10" t="s">
        <v>52</v>
      </c>
      <c r="J966" s="10" t="s">
        <v>30</v>
      </c>
      <c r="K966" s="10" t="s">
        <v>21</v>
      </c>
      <c r="L966" s="10" t="s">
        <v>1300</v>
      </c>
    </row>
    <row r="967" spans="1:12" x14ac:dyDescent="0.35">
      <c r="A967" s="9">
        <v>966</v>
      </c>
      <c r="B967" s="19">
        <v>45909.569652777784</v>
      </c>
      <c r="C967" s="20">
        <v>45909</v>
      </c>
      <c r="D967" s="8" t="s">
        <v>394</v>
      </c>
      <c r="E967" s="3">
        <v>0</v>
      </c>
      <c r="F967" s="13">
        <v>1400</v>
      </c>
      <c r="G967" s="3">
        <v>1400</v>
      </c>
      <c r="H967" s="8" t="s">
        <v>51</v>
      </c>
      <c r="I967" s="8" t="s">
        <v>71</v>
      </c>
      <c r="J967" s="8" t="s">
        <v>32</v>
      </c>
      <c r="K967" s="8" t="s">
        <v>21</v>
      </c>
      <c r="L967" s="8" t="s">
        <v>1301</v>
      </c>
    </row>
    <row r="968" spans="1:12" x14ac:dyDescent="0.35">
      <c r="A968" s="11">
        <v>967</v>
      </c>
      <c r="B968" s="17">
        <v>45909.604201388887</v>
      </c>
      <c r="C968" s="18">
        <v>45909</v>
      </c>
      <c r="D968" s="10" t="s">
        <v>1302</v>
      </c>
      <c r="E968" s="14">
        <v>1500</v>
      </c>
      <c r="F968" s="5">
        <v>0</v>
      </c>
      <c r="G968" s="5">
        <v>0</v>
      </c>
      <c r="H968" s="10" t="s">
        <v>51</v>
      </c>
      <c r="I968" s="10" t="s">
        <v>52</v>
      </c>
      <c r="J968" s="10" t="s">
        <v>30</v>
      </c>
      <c r="K968" s="10" t="s">
        <v>21</v>
      </c>
      <c r="L968" s="10" t="s">
        <v>1303</v>
      </c>
    </row>
    <row r="969" spans="1:12" x14ac:dyDescent="0.35">
      <c r="A969" s="9">
        <v>968</v>
      </c>
      <c r="B969" s="19">
        <v>45909.60429398148</v>
      </c>
      <c r="C969" s="20">
        <v>45909</v>
      </c>
      <c r="D969" s="8" t="s">
        <v>394</v>
      </c>
      <c r="E969" s="3">
        <v>0</v>
      </c>
      <c r="F969" s="13">
        <v>1500</v>
      </c>
      <c r="G969" s="3">
        <v>1500</v>
      </c>
      <c r="H969" s="8" t="s">
        <v>51</v>
      </c>
      <c r="I969" s="8" t="s">
        <v>71</v>
      </c>
      <c r="J969" s="8" t="s">
        <v>32</v>
      </c>
      <c r="K969" s="8" t="s">
        <v>21</v>
      </c>
      <c r="L969" s="8" t="s">
        <v>1304</v>
      </c>
    </row>
    <row r="970" spans="1:12" x14ac:dyDescent="0.35">
      <c r="A970" s="11">
        <v>969</v>
      </c>
      <c r="B970" s="17">
        <v>45910.209837962961</v>
      </c>
      <c r="C970" s="18">
        <v>45910</v>
      </c>
      <c r="D970" s="10" t="s">
        <v>342</v>
      </c>
      <c r="E970" s="14">
        <v>500</v>
      </c>
      <c r="F970" s="5">
        <v>0</v>
      </c>
      <c r="G970" s="5">
        <v>0</v>
      </c>
      <c r="H970" s="10" t="s">
        <v>51</v>
      </c>
      <c r="I970" s="10" t="s">
        <v>52</v>
      </c>
      <c r="J970" s="10" t="s">
        <v>33</v>
      </c>
      <c r="K970" s="10" t="s">
        <v>21</v>
      </c>
      <c r="L970" s="10" t="s">
        <v>1305</v>
      </c>
    </row>
    <row r="971" spans="1:12" x14ac:dyDescent="0.35">
      <c r="A971" s="9">
        <v>970</v>
      </c>
      <c r="B971" s="19">
        <v>45910.209849537037</v>
      </c>
      <c r="C971" s="20">
        <v>45910</v>
      </c>
      <c r="D971" s="8" t="s">
        <v>394</v>
      </c>
      <c r="E971" s="3">
        <v>0</v>
      </c>
      <c r="F971" s="13">
        <v>500</v>
      </c>
      <c r="G971" s="3">
        <v>500</v>
      </c>
      <c r="H971" s="8" t="s">
        <v>51</v>
      </c>
      <c r="I971" s="8" t="s">
        <v>71</v>
      </c>
      <c r="J971" s="8" t="s">
        <v>32</v>
      </c>
      <c r="K971" s="8" t="s">
        <v>21</v>
      </c>
      <c r="L971" s="8" t="s">
        <v>1306</v>
      </c>
    </row>
    <row r="972" spans="1:12" x14ac:dyDescent="0.35">
      <c r="A972" s="11">
        <v>971</v>
      </c>
      <c r="B972" s="17">
        <v>45910.316840277781</v>
      </c>
      <c r="C972" s="18">
        <v>45910</v>
      </c>
      <c r="D972" s="10" t="s">
        <v>188</v>
      </c>
      <c r="E972" s="14">
        <v>1991</v>
      </c>
      <c r="F972" s="5">
        <v>0</v>
      </c>
      <c r="G972" s="5">
        <v>0</v>
      </c>
      <c r="H972" s="10" t="s">
        <v>51</v>
      </c>
      <c r="I972" s="10" t="s">
        <v>52</v>
      </c>
      <c r="J972" s="10" t="s">
        <v>37</v>
      </c>
      <c r="K972" s="10" t="s">
        <v>21</v>
      </c>
      <c r="L972" s="10" t="s">
        <v>1307</v>
      </c>
    </row>
    <row r="973" spans="1:12" x14ac:dyDescent="0.35">
      <c r="A973" s="9">
        <v>972</v>
      </c>
      <c r="B973" s="19">
        <v>45910.316932870373</v>
      </c>
      <c r="C973" s="20">
        <v>45910</v>
      </c>
      <c r="D973" s="8" t="s">
        <v>394</v>
      </c>
      <c r="E973" s="3">
        <v>0</v>
      </c>
      <c r="F973" s="13">
        <v>1991</v>
      </c>
      <c r="G973" s="3">
        <v>1991</v>
      </c>
      <c r="H973" s="8" t="s">
        <v>51</v>
      </c>
      <c r="I973" s="8" t="s">
        <v>71</v>
      </c>
      <c r="J973" s="8" t="s">
        <v>32</v>
      </c>
      <c r="K973" s="8" t="s">
        <v>21</v>
      </c>
      <c r="L973" s="8" t="s">
        <v>1308</v>
      </c>
    </row>
    <row r="974" spans="1:12" x14ac:dyDescent="0.35">
      <c r="A974" s="11">
        <v>973</v>
      </c>
      <c r="B974" s="17">
        <v>45910.58865740741</v>
      </c>
      <c r="C974" s="18">
        <v>45910</v>
      </c>
      <c r="D974" s="10" t="s">
        <v>1309</v>
      </c>
      <c r="E974" s="14">
        <v>3664</v>
      </c>
      <c r="F974" s="5">
        <v>0</v>
      </c>
      <c r="G974" s="5">
        <v>0</v>
      </c>
      <c r="H974" s="10" t="s">
        <v>51</v>
      </c>
      <c r="I974" s="10" t="s">
        <v>52</v>
      </c>
      <c r="J974" s="10" t="s">
        <v>30</v>
      </c>
      <c r="K974" s="10" t="s">
        <v>21</v>
      </c>
      <c r="L974" s="10" t="s">
        <v>1310</v>
      </c>
    </row>
    <row r="975" spans="1:12" x14ac:dyDescent="0.35">
      <c r="A975" s="9">
        <v>974</v>
      </c>
      <c r="B975" s="19">
        <v>45910.588703703703</v>
      </c>
      <c r="C975" s="20">
        <v>45910</v>
      </c>
      <c r="D975" s="8" t="s">
        <v>394</v>
      </c>
      <c r="E975" s="3">
        <v>0</v>
      </c>
      <c r="F975" s="13">
        <v>3664</v>
      </c>
      <c r="G975" s="3">
        <v>3664</v>
      </c>
      <c r="H975" s="8" t="s">
        <v>51</v>
      </c>
      <c r="I975" s="8" t="s">
        <v>71</v>
      </c>
      <c r="J975" s="8" t="s">
        <v>32</v>
      </c>
      <c r="K975" s="8" t="s">
        <v>21</v>
      </c>
      <c r="L975" s="8" t="s">
        <v>1311</v>
      </c>
    </row>
    <row r="976" spans="1:12" x14ac:dyDescent="0.35">
      <c r="A976" s="11">
        <v>975</v>
      </c>
      <c r="B976" s="17">
        <v>45910.730949074074</v>
      </c>
      <c r="C976" s="18">
        <v>45910</v>
      </c>
      <c r="D976" s="10" t="s">
        <v>1312</v>
      </c>
      <c r="E976" s="14">
        <v>3000</v>
      </c>
      <c r="F976" s="5">
        <v>0</v>
      </c>
      <c r="G976" s="5">
        <v>0</v>
      </c>
      <c r="H976" s="10" t="s">
        <v>51</v>
      </c>
      <c r="I976" s="10" t="s">
        <v>52</v>
      </c>
      <c r="J976" s="10" t="s">
        <v>30</v>
      </c>
      <c r="K976" s="10" t="s">
        <v>21</v>
      </c>
      <c r="L976" s="10" t="s">
        <v>1313</v>
      </c>
    </row>
    <row r="977" spans="1:12" x14ac:dyDescent="0.35">
      <c r="A977" s="9">
        <v>976</v>
      </c>
      <c r="B977" s="19">
        <v>45910.730995370373</v>
      </c>
      <c r="C977" s="20">
        <v>45910</v>
      </c>
      <c r="D977" s="8" t="s">
        <v>394</v>
      </c>
      <c r="E977" s="3">
        <v>0</v>
      </c>
      <c r="F977" s="13">
        <v>3000</v>
      </c>
      <c r="G977" s="3">
        <v>3000</v>
      </c>
      <c r="H977" s="8" t="s">
        <v>51</v>
      </c>
      <c r="I977" s="8" t="s">
        <v>71</v>
      </c>
      <c r="J977" s="8" t="s">
        <v>32</v>
      </c>
      <c r="K977" s="8" t="s">
        <v>21</v>
      </c>
      <c r="L977" s="8" t="s">
        <v>1314</v>
      </c>
    </row>
    <row r="978" spans="1:12" x14ac:dyDescent="0.35">
      <c r="A978" s="11">
        <v>977</v>
      </c>
      <c r="B978" s="17">
        <v>45911.20989583333</v>
      </c>
      <c r="C978" s="18">
        <v>45911</v>
      </c>
      <c r="D978" s="10" t="s">
        <v>394</v>
      </c>
      <c r="E978" s="5">
        <v>0</v>
      </c>
      <c r="F978" s="15">
        <v>500</v>
      </c>
      <c r="G978" s="5">
        <v>500</v>
      </c>
      <c r="H978" s="10" t="s">
        <v>51</v>
      </c>
      <c r="I978" s="10" t="s">
        <v>71</v>
      </c>
      <c r="J978" s="10" t="s">
        <v>32</v>
      </c>
      <c r="K978" s="10" t="s">
        <v>21</v>
      </c>
      <c r="L978" s="10" t="s">
        <v>1315</v>
      </c>
    </row>
    <row r="979" spans="1:12" x14ac:dyDescent="0.35">
      <c r="A979" s="9">
        <v>978</v>
      </c>
      <c r="B979" s="19">
        <v>45911.20989583333</v>
      </c>
      <c r="C979" s="20">
        <v>45911</v>
      </c>
      <c r="D979" s="8" t="s">
        <v>342</v>
      </c>
      <c r="E979" s="12">
        <v>500</v>
      </c>
      <c r="F979" s="3">
        <v>0</v>
      </c>
      <c r="G979" s="3">
        <v>0</v>
      </c>
      <c r="H979" s="8" t="s">
        <v>51</v>
      </c>
      <c r="I979" s="8" t="s">
        <v>52</v>
      </c>
      <c r="J979" s="8" t="s">
        <v>33</v>
      </c>
      <c r="K979" s="8" t="s">
        <v>21</v>
      </c>
      <c r="L979" s="8" t="s">
        <v>1316</v>
      </c>
    </row>
    <row r="980" spans="1:12" x14ac:dyDescent="0.35">
      <c r="A980" s="11">
        <v>979</v>
      </c>
      <c r="B980" s="17">
        <v>45911.865104166667</v>
      </c>
      <c r="C980" s="18">
        <v>45911</v>
      </c>
      <c r="D980" s="10" t="s">
        <v>1317</v>
      </c>
      <c r="E980" s="14">
        <v>1000</v>
      </c>
      <c r="F980" s="5">
        <v>0</v>
      </c>
      <c r="G980" s="5">
        <v>0</v>
      </c>
      <c r="H980" s="10" t="s">
        <v>51</v>
      </c>
      <c r="I980" s="10" t="s">
        <v>52</v>
      </c>
      <c r="J980" s="10" t="s">
        <v>30</v>
      </c>
      <c r="K980" s="10" t="s">
        <v>21</v>
      </c>
      <c r="L980" s="10" t="s">
        <v>1318</v>
      </c>
    </row>
    <row r="981" spans="1:12" x14ac:dyDescent="0.35">
      <c r="A981" s="9">
        <v>980</v>
      </c>
      <c r="B981" s="19">
        <v>45911.86515046296</v>
      </c>
      <c r="C981" s="20">
        <v>45911</v>
      </c>
      <c r="D981" s="8" t="s">
        <v>394</v>
      </c>
      <c r="E981" s="3">
        <v>0</v>
      </c>
      <c r="F981" s="13">
        <v>1000</v>
      </c>
      <c r="G981" s="3">
        <v>1000</v>
      </c>
      <c r="H981" s="8" t="s">
        <v>51</v>
      </c>
      <c r="I981" s="8" t="s">
        <v>71</v>
      </c>
      <c r="J981" s="8" t="s">
        <v>32</v>
      </c>
      <c r="K981" s="8" t="s">
        <v>21</v>
      </c>
      <c r="L981" s="8" t="s">
        <v>1319</v>
      </c>
    </row>
    <row r="982" spans="1:12" x14ac:dyDescent="0.35">
      <c r="A982" s="11">
        <v>981</v>
      </c>
      <c r="B982" s="17">
        <v>45912.209872685176</v>
      </c>
      <c r="C982" s="18">
        <v>45912</v>
      </c>
      <c r="D982" s="10" t="s">
        <v>394</v>
      </c>
      <c r="E982" s="5">
        <v>0</v>
      </c>
      <c r="F982" s="15">
        <v>500</v>
      </c>
      <c r="G982" s="5">
        <v>500</v>
      </c>
      <c r="H982" s="10" t="s">
        <v>51</v>
      </c>
      <c r="I982" s="10" t="s">
        <v>71</v>
      </c>
      <c r="J982" s="10" t="s">
        <v>32</v>
      </c>
      <c r="K982" s="10" t="s">
        <v>21</v>
      </c>
      <c r="L982" s="10" t="s">
        <v>1320</v>
      </c>
    </row>
    <row r="983" spans="1:12" x14ac:dyDescent="0.35">
      <c r="A983" s="9">
        <v>982</v>
      </c>
      <c r="B983" s="19">
        <v>45912.209872685176</v>
      </c>
      <c r="C983" s="20">
        <v>45912</v>
      </c>
      <c r="D983" s="8" t="s">
        <v>342</v>
      </c>
      <c r="E983" s="12">
        <v>500</v>
      </c>
      <c r="F983" s="3">
        <v>0</v>
      </c>
      <c r="G983" s="3">
        <v>0</v>
      </c>
      <c r="H983" s="8" t="s">
        <v>51</v>
      </c>
      <c r="I983" s="8" t="s">
        <v>52</v>
      </c>
      <c r="J983" s="8" t="s">
        <v>33</v>
      </c>
      <c r="K983" s="8" t="s">
        <v>21</v>
      </c>
      <c r="L983" s="8" t="s">
        <v>1321</v>
      </c>
    </row>
    <row r="984" spans="1:12" x14ac:dyDescent="0.35">
      <c r="A984" s="11">
        <v>983</v>
      </c>
      <c r="B984" s="17">
        <v>45912.831099537027</v>
      </c>
      <c r="C984" s="18">
        <v>45912</v>
      </c>
      <c r="D984" s="10" t="s">
        <v>1322</v>
      </c>
      <c r="E984" s="5">
        <v>0</v>
      </c>
      <c r="F984" s="15">
        <v>20000</v>
      </c>
      <c r="G984" s="5">
        <v>20000</v>
      </c>
      <c r="H984" s="10" t="s">
        <v>51</v>
      </c>
      <c r="I984" s="10" t="s">
        <v>71</v>
      </c>
      <c r="J984" s="10" t="s">
        <v>30</v>
      </c>
      <c r="K984" s="10" t="s">
        <v>21</v>
      </c>
      <c r="L984" s="10" t="s">
        <v>1323</v>
      </c>
    </row>
    <row r="985" spans="1:12" x14ac:dyDescent="0.35">
      <c r="A985" s="9">
        <v>984</v>
      </c>
      <c r="B985" s="19">
        <v>45912.831111111111</v>
      </c>
      <c r="C985" s="20">
        <v>45912</v>
      </c>
      <c r="D985" s="8" t="s">
        <v>79</v>
      </c>
      <c r="E985" s="12">
        <v>50</v>
      </c>
      <c r="F985" s="3">
        <v>0</v>
      </c>
      <c r="G985" s="3">
        <v>19950</v>
      </c>
      <c r="H985" s="8" t="s">
        <v>51</v>
      </c>
      <c r="I985" s="8" t="s">
        <v>52</v>
      </c>
      <c r="J985" s="8" t="s">
        <v>36</v>
      </c>
      <c r="K985" s="8" t="s">
        <v>21</v>
      </c>
      <c r="L985" s="8" t="s">
        <v>1324</v>
      </c>
    </row>
    <row r="986" spans="1:12" x14ac:dyDescent="0.35">
      <c r="A986" s="11">
        <v>985</v>
      </c>
      <c r="B986" s="17">
        <v>45912.926099537042</v>
      </c>
      <c r="C986" s="18">
        <v>45912</v>
      </c>
      <c r="D986" s="10" t="s">
        <v>426</v>
      </c>
      <c r="E986" s="14">
        <v>19950</v>
      </c>
      <c r="F986" s="5">
        <v>0</v>
      </c>
      <c r="G986" s="5">
        <v>0</v>
      </c>
      <c r="H986" s="10" t="s">
        <v>51</v>
      </c>
      <c r="I986" s="10" t="s">
        <v>52</v>
      </c>
      <c r="J986" s="10" t="s">
        <v>32</v>
      </c>
      <c r="K986" s="10" t="s">
        <v>21</v>
      </c>
      <c r="L986" s="10" t="s">
        <v>1325</v>
      </c>
    </row>
    <row r="987" spans="1:12" x14ac:dyDescent="0.35">
      <c r="A987" s="9">
        <v>986</v>
      </c>
      <c r="B987" s="19">
        <v>45913.209849537037</v>
      </c>
      <c r="C987" s="20">
        <v>45913</v>
      </c>
      <c r="D987" s="8" t="s">
        <v>394</v>
      </c>
      <c r="E987" s="3">
        <v>0</v>
      </c>
      <c r="F987" s="13">
        <v>500</v>
      </c>
      <c r="G987" s="3">
        <v>500</v>
      </c>
      <c r="H987" s="8" t="s">
        <v>51</v>
      </c>
      <c r="I987" s="8" t="s">
        <v>71</v>
      </c>
      <c r="J987" s="8" t="s">
        <v>32</v>
      </c>
      <c r="K987" s="8" t="s">
        <v>21</v>
      </c>
      <c r="L987" s="8" t="s">
        <v>1326</v>
      </c>
    </row>
    <row r="988" spans="1:12" x14ac:dyDescent="0.35">
      <c r="A988" s="11">
        <v>987</v>
      </c>
      <c r="B988" s="17">
        <v>45913.209849537037</v>
      </c>
      <c r="C988" s="18">
        <v>45913</v>
      </c>
      <c r="D988" s="10" t="s">
        <v>342</v>
      </c>
      <c r="E988" s="14">
        <v>500</v>
      </c>
      <c r="F988" s="5">
        <v>0</v>
      </c>
      <c r="G988" s="5">
        <v>0</v>
      </c>
      <c r="H988" s="10" t="s">
        <v>51</v>
      </c>
      <c r="I988" s="10" t="s">
        <v>52</v>
      </c>
      <c r="J988" s="10" t="s">
        <v>33</v>
      </c>
      <c r="K988" s="10" t="s">
        <v>21</v>
      </c>
      <c r="L988" s="10" t="s">
        <v>1327</v>
      </c>
    </row>
    <row r="989" spans="1:12" x14ac:dyDescent="0.35">
      <c r="A989" s="9">
        <v>988</v>
      </c>
      <c r="B989" s="19">
        <v>45913.652013888888</v>
      </c>
      <c r="C989" s="20">
        <v>45913</v>
      </c>
      <c r="D989" s="8" t="s">
        <v>1328</v>
      </c>
      <c r="E989" s="12">
        <v>2900</v>
      </c>
      <c r="F989" s="3">
        <v>0</v>
      </c>
      <c r="G989" s="3">
        <v>0</v>
      </c>
      <c r="H989" s="8" t="s">
        <v>51</v>
      </c>
      <c r="I989" s="8" t="s">
        <v>52</v>
      </c>
      <c r="J989" s="8" t="s">
        <v>30</v>
      </c>
      <c r="K989" s="8" t="s">
        <v>21</v>
      </c>
      <c r="L989" s="8" t="s">
        <v>1329</v>
      </c>
    </row>
    <row r="990" spans="1:12" x14ac:dyDescent="0.35">
      <c r="A990" s="11">
        <v>989</v>
      </c>
      <c r="B990" s="17">
        <v>45913.652060185188</v>
      </c>
      <c r="C990" s="18">
        <v>45913</v>
      </c>
      <c r="D990" s="10" t="s">
        <v>394</v>
      </c>
      <c r="E990" s="5">
        <v>0</v>
      </c>
      <c r="F990" s="15">
        <v>2900</v>
      </c>
      <c r="G990" s="5">
        <v>2900</v>
      </c>
      <c r="H990" s="10" t="s">
        <v>51</v>
      </c>
      <c r="I990" s="10" t="s">
        <v>71</v>
      </c>
      <c r="J990" s="10" t="s">
        <v>32</v>
      </c>
      <c r="K990" s="10" t="s">
        <v>21</v>
      </c>
      <c r="L990" s="10" t="s">
        <v>1330</v>
      </c>
    </row>
    <row r="991" spans="1:12" x14ac:dyDescent="0.35">
      <c r="A991" s="9">
        <v>990</v>
      </c>
      <c r="B991" s="19">
        <v>45913.689641203702</v>
      </c>
      <c r="C991" s="20">
        <v>45913</v>
      </c>
      <c r="D991" s="8" t="s">
        <v>1331</v>
      </c>
      <c r="E991" s="12">
        <v>20900</v>
      </c>
      <c r="F991" s="3">
        <v>0</v>
      </c>
      <c r="G991" s="3">
        <v>0</v>
      </c>
      <c r="H991" s="8" t="s">
        <v>33</v>
      </c>
      <c r="I991" s="8" t="s">
        <v>52</v>
      </c>
      <c r="J991" s="8" t="s">
        <v>34</v>
      </c>
      <c r="K991" s="8" t="s">
        <v>21</v>
      </c>
      <c r="L991" s="8" t="s">
        <v>1332</v>
      </c>
    </row>
    <row r="992" spans="1:12" x14ac:dyDescent="0.35">
      <c r="A992" s="11">
        <v>991</v>
      </c>
      <c r="B992" s="17">
        <v>45913.689641203702</v>
      </c>
      <c r="C992" s="18">
        <v>45913</v>
      </c>
      <c r="D992" s="10" t="s">
        <v>394</v>
      </c>
      <c r="E992" s="5">
        <v>0</v>
      </c>
      <c r="F992" s="15">
        <v>20900</v>
      </c>
      <c r="G992" s="5">
        <v>20900</v>
      </c>
      <c r="H992" s="10" t="s">
        <v>51</v>
      </c>
      <c r="I992" s="10" t="s">
        <v>71</v>
      </c>
      <c r="J992" s="10" t="s">
        <v>32</v>
      </c>
      <c r="K992" s="10" t="s">
        <v>21</v>
      </c>
      <c r="L992" s="10" t="s">
        <v>1333</v>
      </c>
    </row>
    <row r="993" spans="1:12" x14ac:dyDescent="0.35">
      <c r="A993" s="9">
        <v>992</v>
      </c>
      <c r="B993" s="19">
        <v>45913.692523148151</v>
      </c>
      <c r="C993" s="20">
        <v>45913</v>
      </c>
      <c r="D993" s="8" t="s">
        <v>1334</v>
      </c>
      <c r="E993" s="12">
        <v>2650</v>
      </c>
      <c r="F993" s="3">
        <v>0</v>
      </c>
      <c r="G993" s="3">
        <v>0</v>
      </c>
      <c r="H993" s="8" t="s">
        <v>33</v>
      </c>
      <c r="I993" s="8" t="s">
        <v>52</v>
      </c>
      <c r="J993" s="8" t="s">
        <v>34</v>
      </c>
      <c r="K993" s="8" t="s">
        <v>21</v>
      </c>
      <c r="L993" s="8" t="s">
        <v>1335</v>
      </c>
    </row>
    <row r="994" spans="1:12" x14ac:dyDescent="0.35">
      <c r="A994" s="11">
        <v>993</v>
      </c>
      <c r="B994" s="17">
        <v>45913.692523148151</v>
      </c>
      <c r="C994" s="18">
        <v>45913</v>
      </c>
      <c r="D994" s="10" t="s">
        <v>394</v>
      </c>
      <c r="E994" s="5">
        <v>0</v>
      </c>
      <c r="F994" s="15">
        <v>2650</v>
      </c>
      <c r="G994" s="5">
        <v>2650</v>
      </c>
      <c r="H994" s="10" t="s">
        <v>51</v>
      </c>
      <c r="I994" s="10" t="s">
        <v>71</v>
      </c>
      <c r="J994" s="10" t="s">
        <v>32</v>
      </c>
      <c r="K994" s="10" t="s">
        <v>21</v>
      </c>
      <c r="L994" s="10" t="s">
        <v>1336</v>
      </c>
    </row>
    <row r="995" spans="1:12" x14ac:dyDescent="0.35">
      <c r="A995" s="9">
        <v>994</v>
      </c>
      <c r="B995" s="19">
        <v>45913.695104166669</v>
      </c>
      <c r="C995" s="20">
        <v>45913</v>
      </c>
      <c r="D995" s="8" t="s">
        <v>1337</v>
      </c>
      <c r="E995" s="12">
        <v>1000</v>
      </c>
      <c r="F995" s="3">
        <v>0</v>
      </c>
      <c r="G995" s="3">
        <v>0</v>
      </c>
      <c r="H995" s="8" t="s">
        <v>33</v>
      </c>
      <c r="I995" s="8" t="s">
        <v>52</v>
      </c>
      <c r="J995" s="8" t="s">
        <v>34</v>
      </c>
      <c r="K995" s="8" t="s">
        <v>21</v>
      </c>
      <c r="L995" s="8" t="s">
        <v>1338</v>
      </c>
    </row>
    <row r="996" spans="1:12" x14ac:dyDescent="0.35">
      <c r="A996" s="11">
        <v>995</v>
      </c>
      <c r="B996" s="17">
        <v>45913.695115740738</v>
      </c>
      <c r="C996" s="18">
        <v>45913</v>
      </c>
      <c r="D996" s="10" t="s">
        <v>394</v>
      </c>
      <c r="E996" s="5">
        <v>0</v>
      </c>
      <c r="F996" s="15">
        <v>1000</v>
      </c>
      <c r="G996" s="5">
        <v>1000</v>
      </c>
      <c r="H996" s="10" t="s">
        <v>51</v>
      </c>
      <c r="I996" s="10" t="s">
        <v>71</v>
      </c>
      <c r="J996" s="10" t="s">
        <v>32</v>
      </c>
      <c r="K996" s="10" t="s">
        <v>21</v>
      </c>
      <c r="L996" s="10" t="s">
        <v>1339</v>
      </c>
    </row>
    <row r="997" spans="1:12" x14ac:dyDescent="0.35">
      <c r="A997" s="9">
        <v>996</v>
      </c>
      <c r="B997" s="19">
        <v>45913.734074074076</v>
      </c>
      <c r="C997" s="20">
        <v>45913</v>
      </c>
      <c r="D997" s="8" t="s">
        <v>323</v>
      </c>
      <c r="E997" s="12">
        <v>2000</v>
      </c>
      <c r="F997" s="3">
        <v>0</v>
      </c>
      <c r="G997" s="3">
        <v>0</v>
      </c>
      <c r="H997" s="8" t="s">
        <v>51</v>
      </c>
      <c r="I997" s="8" t="s">
        <v>52</v>
      </c>
      <c r="J997" s="8" t="s">
        <v>30</v>
      </c>
      <c r="K997" s="8" t="s">
        <v>21</v>
      </c>
      <c r="L997" s="8" t="s">
        <v>1340</v>
      </c>
    </row>
    <row r="998" spans="1:12" x14ac:dyDescent="0.35">
      <c r="A998" s="11">
        <v>997</v>
      </c>
      <c r="B998" s="17">
        <v>45913.734143518523</v>
      </c>
      <c r="C998" s="18">
        <v>45913</v>
      </c>
      <c r="D998" s="10" t="s">
        <v>394</v>
      </c>
      <c r="E998" s="5">
        <v>0</v>
      </c>
      <c r="F998" s="15">
        <v>2000</v>
      </c>
      <c r="G998" s="5">
        <v>2000</v>
      </c>
      <c r="H998" s="10" t="s">
        <v>51</v>
      </c>
      <c r="I998" s="10" t="s">
        <v>71</v>
      </c>
      <c r="J998" s="10" t="s">
        <v>32</v>
      </c>
      <c r="K998" s="10" t="s">
        <v>21</v>
      </c>
      <c r="L998" s="10" t="s">
        <v>1341</v>
      </c>
    </row>
    <row r="999" spans="1:12" x14ac:dyDescent="0.35">
      <c r="A999" s="9">
        <v>998</v>
      </c>
      <c r="B999" s="19">
        <v>45914.209849537037</v>
      </c>
      <c r="C999" s="20">
        <v>45914</v>
      </c>
      <c r="D999" s="8" t="s">
        <v>394</v>
      </c>
      <c r="E999" s="3">
        <v>0</v>
      </c>
      <c r="F999" s="13">
        <v>500</v>
      </c>
      <c r="G999" s="3">
        <v>500</v>
      </c>
      <c r="H999" s="8" t="s">
        <v>51</v>
      </c>
      <c r="I999" s="8" t="s">
        <v>71</v>
      </c>
      <c r="J999" s="8" t="s">
        <v>32</v>
      </c>
      <c r="K999" s="8" t="s">
        <v>21</v>
      </c>
      <c r="L999" s="8" t="s">
        <v>1342</v>
      </c>
    </row>
    <row r="1000" spans="1:12" x14ac:dyDescent="0.35">
      <c r="A1000" s="11">
        <v>999</v>
      </c>
      <c r="B1000" s="17">
        <v>45914.209849537037</v>
      </c>
      <c r="C1000" s="18">
        <v>45914</v>
      </c>
      <c r="D1000" s="10" t="s">
        <v>342</v>
      </c>
      <c r="E1000" s="14">
        <v>500</v>
      </c>
      <c r="F1000" s="5">
        <v>0</v>
      </c>
      <c r="G1000" s="5">
        <v>0</v>
      </c>
      <c r="H1000" s="10" t="s">
        <v>51</v>
      </c>
      <c r="I1000" s="10" t="s">
        <v>52</v>
      </c>
      <c r="J1000" s="10" t="s">
        <v>33</v>
      </c>
      <c r="K1000" s="10" t="s">
        <v>21</v>
      </c>
      <c r="L1000" s="10" t="s">
        <v>1343</v>
      </c>
    </row>
    <row r="1001" spans="1:12" x14ac:dyDescent="0.35">
      <c r="A1001" s="9">
        <v>1000</v>
      </c>
      <c r="B1001" s="19">
        <v>45915.209826388891</v>
      </c>
      <c r="C1001" s="20">
        <v>45915</v>
      </c>
      <c r="D1001" s="8" t="s">
        <v>394</v>
      </c>
      <c r="E1001" s="3">
        <v>0</v>
      </c>
      <c r="F1001" s="13">
        <v>500</v>
      </c>
      <c r="G1001" s="3">
        <v>500</v>
      </c>
      <c r="H1001" s="8" t="s">
        <v>51</v>
      </c>
      <c r="I1001" s="8" t="s">
        <v>71</v>
      </c>
      <c r="J1001" s="8" t="s">
        <v>32</v>
      </c>
      <c r="K1001" s="8" t="s">
        <v>21</v>
      </c>
      <c r="L1001" s="8" t="s">
        <v>1344</v>
      </c>
    </row>
    <row r="1002" spans="1:12" x14ac:dyDescent="0.35">
      <c r="A1002" s="11">
        <v>1001</v>
      </c>
      <c r="B1002" s="17">
        <v>45915.209826388891</v>
      </c>
      <c r="C1002" s="18">
        <v>45915</v>
      </c>
      <c r="D1002" s="10" t="s">
        <v>342</v>
      </c>
      <c r="E1002" s="14">
        <v>500</v>
      </c>
      <c r="F1002" s="5">
        <v>0</v>
      </c>
      <c r="G1002" s="5">
        <v>0</v>
      </c>
      <c r="H1002" s="10" t="s">
        <v>51</v>
      </c>
      <c r="I1002" s="10" t="s">
        <v>52</v>
      </c>
      <c r="J1002" s="10" t="s">
        <v>33</v>
      </c>
      <c r="K1002" s="10" t="s">
        <v>21</v>
      </c>
      <c r="L1002" s="10" t="s">
        <v>1345</v>
      </c>
    </row>
    <row r="1003" spans="1:12" x14ac:dyDescent="0.35">
      <c r="A1003" s="9">
        <v>1002</v>
      </c>
      <c r="B1003" s="19">
        <v>45916.209444444437</v>
      </c>
      <c r="C1003" s="20">
        <v>45916</v>
      </c>
      <c r="D1003" s="8" t="s">
        <v>394</v>
      </c>
      <c r="E1003" s="3">
        <v>0</v>
      </c>
      <c r="F1003" s="13">
        <v>500</v>
      </c>
      <c r="G1003" s="3">
        <v>500</v>
      </c>
      <c r="H1003" s="8" t="s">
        <v>51</v>
      </c>
      <c r="I1003" s="8" t="s">
        <v>71</v>
      </c>
      <c r="J1003" s="8" t="s">
        <v>32</v>
      </c>
      <c r="K1003" s="8" t="s">
        <v>21</v>
      </c>
      <c r="L1003" s="8" t="s">
        <v>1346</v>
      </c>
    </row>
    <row r="1004" spans="1:12" x14ac:dyDescent="0.35">
      <c r="A1004" s="11">
        <v>1003</v>
      </c>
      <c r="B1004" s="17">
        <v>45916.209444444437</v>
      </c>
      <c r="C1004" s="18">
        <v>45916</v>
      </c>
      <c r="D1004" s="10" t="s">
        <v>342</v>
      </c>
      <c r="E1004" s="14">
        <v>500</v>
      </c>
      <c r="F1004" s="5">
        <v>0</v>
      </c>
      <c r="G1004" s="5">
        <v>0</v>
      </c>
      <c r="H1004" s="10" t="s">
        <v>51</v>
      </c>
      <c r="I1004" s="10" t="s">
        <v>52</v>
      </c>
      <c r="J1004" s="10" t="s">
        <v>33</v>
      </c>
      <c r="K1004" s="10" t="s">
        <v>21</v>
      </c>
      <c r="L1004" s="10" t="s">
        <v>1347</v>
      </c>
    </row>
    <row r="1005" spans="1:12" x14ac:dyDescent="0.35">
      <c r="A1005" s="9">
        <v>1004</v>
      </c>
      <c r="B1005" s="19">
        <v>45917.209768518522</v>
      </c>
      <c r="C1005" s="20">
        <v>45917</v>
      </c>
      <c r="D1005" s="8" t="s">
        <v>394</v>
      </c>
      <c r="E1005" s="3">
        <v>0</v>
      </c>
      <c r="F1005" s="13">
        <v>500</v>
      </c>
      <c r="G1005" s="3">
        <v>500</v>
      </c>
      <c r="H1005" s="8" t="s">
        <v>51</v>
      </c>
      <c r="I1005" s="8" t="s">
        <v>71</v>
      </c>
      <c r="J1005" s="8" t="s">
        <v>32</v>
      </c>
      <c r="K1005" s="8" t="s">
        <v>21</v>
      </c>
      <c r="L1005" s="8" t="s">
        <v>1348</v>
      </c>
    </row>
    <row r="1006" spans="1:12" x14ac:dyDescent="0.35">
      <c r="A1006" s="11">
        <v>1005</v>
      </c>
      <c r="B1006" s="17">
        <v>45917.209768518522</v>
      </c>
      <c r="C1006" s="18">
        <v>45917</v>
      </c>
      <c r="D1006" s="10" t="s">
        <v>342</v>
      </c>
      <c r="E1006" s="14">
        <v>500</v>
      </c>
      <c r="F1006" s="5">
        <v>0</v>
      </c>
      <c r="G1006" s="5">
        <v>0</v>
      </c>
      <c r="H1006" s="10" t="s">
        <v>51</v>
      </c>
      <c r="I1006" s="10" t="s">
        <v>52</v>
      </c>
      <c r="J1006" s="10" t="s">
        <v>33</v>
      </c>
      <c r="K1006" s="10" t="s">
        <v>21</v>
      </c>
      <c r="L1006" s="10" t="s">
        <v>1349</v>
      </c>
    </row>
    <row r="1007" spans="1:12" x14ac:dyDescent="0.35">
      <c r="A1007" s="9">
        <v>1006</v>
      </c>
      <c r="B1007" s="19">
        <v>45917.212696759263</v>
      </c>
      <c r="C1007" s="20">
        <v>45917</v>
      </c>
      <c r="D1007" s="8" t="s">
        <v>342</v>
      </c>
      <c r="E1007" s="12">
        <v>350</v>
      </c>
      <c r="F1007" s="3">
        <v>0</v>
      </c>
      <c r="G1007" s="3">
        <v>0</v>
      </c>
      <c r="H1007" s="8" t="s">
        <v>51</v>
      </c>
      <c r="I1007" s="8" t="s">
        <v>52</v>
      </c>
      <c r="J1007" s="8" t="s">
        <v>33</v>
      </c>
      <c r="K1007" s="8" t="s">
        <v>21</v>
      </c>
      <c r="L1007" s="8" t="s">
        <v>1350</v>
      </c>
    </row>
    <row r="1008" spans="1:12" x14ac:dyDescent="0.35">
      <c r="A1008" s="11">
        <v>1007</v>
      </c>
      <c r="B1008" s="17">
        <v>45917.212708333333</v>
      </c>
      <c r="C1008" s="18">
        <v>45917</v>
      </c>
      <c r="D1008" s="10" t="s">
        <v>394</v>
      </c>
      <c r="E1008" s="5">
        <v>0</v>
      </c>
      <c r="F1008" s="15">
        <v>350</v>
      </c>
      <c r="G1008" s="5">
        <v>350</v>
      </c>
      <c r="H1008" s="10" t="s">
        <v>51</v>
      </c>
      <c r="I1008" s="10" t="s">
        <v>71</v>
      </c>
      <c r="J1008" s="10" t="s">
        <v>32</v>
      </c>
      <c r="K1008" s="10" t="s">
        <v>21</v>
      </c>
      <c r="L1008" s="10" t="s">
        <v>1351</v>
      </c>
    </row>
    <row r="1009" spans="1:12" x14ac:dyDescent="0.35">
      <c r="A1009" s="9">
        <v>1008</v>
      </c>
      <c r="B1009" s="19">
        <v>45917.336319444446</v>
      </c>
      <c r="C1009" s="20">
        <v>45917</v>
      </c>
      <c r="D1009" s="8" t="s">
        <v>1352</v>
      </c>
      <c r="E1009" s="12">
        <v>2100</v>
      </c>
      <c r="F1009" s="3">
        <v>0</v>
      </c>
      <c r="G1009" s="3">
        <v>0</v>
      </c>
      <c r="H1009" s="8" t="s">
        <v>33</v>
      </c>
      <c r="I1009" s="8" t="s">
        <v>52</v>
      </c>
      <c r="J1009" s="8" t="s">
        <v>34</v>
      </c>
      <c r="K1009" s="8" t="s">
        <v>21</v>
      </c>
      <c r="L1009" s="8" t="s">
        <v>1353</v>
      </c>
    </row>
    <row r="1010" spans="1:12" x14ac:dyDescent="0.35">
      <c r="A1010" s="11">
        <v>1009</v>
      </c>
      <c r="B1010" s="17">
        <v>45917.336319444446</v>
      </c>
      <c r="C1010" s="18">
        <v>45917</v>
      </c>
      <c r="D1010" s="10" t="s">
        <v>394</v>
      </c>
      <c r="E1010" s="5">
        <v>0</v>
      </c>
      <c r="F1010" s="15">
        <v>2100</v>
      </c>
      <c r="G1010" s="5">
        <v>2100</v>
      </c>
      <c r="H1010" s="10" t="s">
        <v>51</v>
      </c>
      <c r="I1010" s="10" t="s">
        <v>71</v>
      </c>
      <c r="J1010" s="10" t="s">
        <v>32</v>
      </c>
      <c r="K1010" s="10" t="s">
        <v>21</v>
      </c>
      <c r="L1010" s="10" t="s">
        <v>1354</v>
      </c>
    </row>
    <row r="1011" spans="1:12" x14ac:dyDescent="0.35">
      <c r="A1011" s="9">
        <v>1010</v>
      </c>
      <c r="B1011" s="19">
        <v>45917.375821759262</v>
      </c>
      <c r="C1011" s="20">
        <v>45917</v>
      </c>
      <c r="D1011" s="8" t="s">
        <v>1355</v>
      </c>
      <c r="E1011" s="12">
        <v>3000</v>
      </c>
      <c r="F1011" s="3">
        <v>0</v>
      </c>
      <c r="G1011" s="3">
        <v>0</v>
      </c>
      <c r="H1011" s="8" t="s">
        <v>33</v>
      </c>
      <c r="I1011" s="8" t="s">
        <v>52</v>
      </c>
      <c r="J1011" s="8" t="s">
        <v>34</v>
      </c>
      <c r="K1011" s="8" t="s">
        <v>21</v>
      </c>
      <c r="L1011" s="8" t="s">
        <v>1356</v>
      </c>
    </row>
    <row r="1012" spans="1:12" x14ac:dyDescent="0.35">
      <c r="A1012" s="11">
        <v>1011</v>
      </c>
      <c r="B1012" s="17">
        <v>45917.375821759262</v>
      </c>
      <c r="C1012" s="18">
        <v>45917</v>
      </c>
      <c r="D1012" s="10" t="s">
        <v>394</v>
      </c>
      <c r="E1012" s="5">
        <v>0</v>
      </c>
      <c r="F1012" s="15">
        <v>3000</v>
      </c>
      <c r="G1012" s="5">
        <v>3000</v>
      </c>
      <c r="H1012" s="10" t="s">
        <v>51</v>
      </c>
      <c r="I1012" s="10" t="s">
        <v>71</v>
      </c>
      <c r="J1012" s="10" t="s">
        <v>32</v>
      </c>
      <c r="K1012" s="10" t="s">
        <v>21</v>
      </c>
      <c r="L1012" s="10" t="s">
        <v>1357</v>
      </c>
    </row>
    <row r="1013" spans="1:12" x14ac:dyDescent="0.35">
      <c r="A1013" s="9">
        <v>1012</v>
      </c>
      <c r="B1013" s="19">
        <v>45917.495983796303</v>
      </c>
      <c r="C1013" s="20">
        <v>45917</v>
      </c>
      <c r="D1013" s="8" t="s">
        <v>1358</v>
      </c>
      <c r="E1013" s="12">
        <v>51</v>
      </c>
      <c r="F1013" s="3">
        <v>0</v>
      </c>
      <c r="G1013" s="3">
        <v>0</v>
      </c>
      <c r="H1013" s="8" t="s">
        <v>328</v>
      </c>
      <c r="I1013" s="8" t="s">
        <v>52</v>
      </c>
      <c r="J1013" s="8" t="s">
        <v>34</v>
      </c>
      <c r="K1013" s="8" t="s">
        <v>21</v>
      </c>
      <c r="L1013" s="8" t="s">
        <v>1359</v>
      </c>
    </row>
    <row r="1014" spans="1:12" x14ac:dyDescent="0.35">
      <c r="A1014" s="11">
        <v>1013</v>
      </c>
      <c r="B1014" s="17">
        <v>45917.495983796303</v>
      </c>
      <c r="C1014" s="18">
        <v>45917</v>
      </c>
      <c r="D1014" s="10" t="s">
        <v>394</v>
      </c>
      <c r="E1014" s="5">
        <v>0</v>
      </c>
      <c r="F1014" s="15">
        <v>51</v>
      </c>
      <c r="G1014" s="5">
        <v>51</v>
      </c>
      <c r="H1014" s="10" t="s">
        <v>51</v>
      </c>
      <c r="I1014" s="10" t="s">
        <v>71</v>
      </c>
      <c r="J1014" s="10" t="s">
        <v>32</v>
      </c>
      <c r="K1014" s="10" t="s">
        <v>21</v>
      </c>
      <c r="L1014" s="10" t="s">
        <v>1360</v>
      </c>
    </row>
    <row r="1015" spans="1:12" x14ac:dyDescent="0.35">
      <c r="A1015" s="9">
        <v>1014</v>
      </c>
      <c r="B1015" s="19">
        <v>45917.49628472222</v>
      </c>
      <c r="C1015" s="20">
        <v>45917</v>
      </c>
      <c r="D1015" s="8" t="s">
        <v>1358</v>
      </c>
      <c r="E1015" s="12">
        <v>51</v>
      </c>
      <c r="F1015" s="3">
        <v>0</v>
      </c>
      <c r="G1015" s="3">
        <v>0</v>
      </c>
      <c r="H1015" s="8" t="s">
        <v>328</v>
      </c>
      <c r="I1015" s="8" t="s">
        <v>52</v>
      </c>
      <c r="J1015" s="8" t="s">
        <v>34</v>
      </c>
      <c r="K1015" s="8" t="s">
        <v>21</v>
      </c>
      <c r="L1015" s="8" t="s">
        <v>1361</v>
      </c>
    </row>
    <row r="1016" spans="1:12" x14ac:dyDescent="0.35">
      <c r="A1016" s="11">
        <v>1015</v>
      </c>
      <c r="B1016" s="17">
        <v>45917.49628472222</v>
      </c>
      <c r="C1016" s="18">
        <v>45917</v>
      </c>
      <c r="D1016" s="10" t="s">
        <v>394</v>
      </c>
      <c r="E1016" s="5">
        <v>0</v>
      </c>
      <c r="F1016" s="15">
        <v>51</v>
      </c>
      <c r="G1016" s="5">
        <v>51</v>
      </c>
      <c r="H1016" s="10" t="s">
        <v>51</v>
      </c>
      <c r="I1016" s="10" t="s">
        <v>71</v>
      </c>
      <c r="J1016" s="10" t="s">
        <v>32</v>
      </c>
      <c r="K1016" s="10" t="s">
        <v>21</v>
      </c>
      <c r="L1016" s="10" t="s">
        <v>1362</v>
      </c>
    </row>
    <row r="1017" spans="1:12" x14ac:dyDescent="0.35">
      <c r="A1017" s="9">
        <v>1016</v>
      </c>
      <c r="B1017" s="19">
        <v>45917.499490740738</v>
      </c>
      <c r="C1017" s="20">
        <v>45917</v>
      </c>
      <c r="D1017" s="8" t="s">
        <v>1363</v>
      </c>
      <c r="E1017" s="3">
        <v>0</v>
      </c>
      <c r="F1017" s="13">
        <v>51</v>
      </c>
      <c r="G1017" s="3">
        <v>51</v>
      </c>
      <c r="H1017" s="8" t="s">
        <v>51</v>
      </c>
      <c r="I1017" s="8" t="s">
        <v>71</v>
      </c>
      <c r="J1017" s="8" t="s">
        <v>35</v>
      </c>
      <c r="K1017" s="8" t="s">
        <v>21</v>
      </c>
      <c r="L1017" s="8" t="s">
        <v>1364</v>
      </c>
    </row>
    <row r="1018" spans="1:12" x14ac:dyDescent="0.35">
      <c r="A1018" s="11">
        <v>1017</v>
      </c>
      <c r="B1018" s="17">
        <v>45917.499791666669</v>
      </c>
      <c r="C1018" s="18">
        <v>45917</v>
      </c>
      <c r="D1018" s="10" t="s">
        <v>1363</v>
      </c>
      <c r="E1018" s="5">
        <v>0</v>
      </c>
      <c r="F1018" s="15">
        <v>51</v>
      </c>
      <c r="G1018" s="5">
        <v>102</v>
      </c>
      <c r="H1018" s="10" t="s">
        <v>51</v>
      </c>
      <c r="I1018" s="10" t="s">
        <v>71</v>
      </c>
      <c r="J1018" s="10" t="s">
        <v>35</v>
      </c>
      <c r="K1018" s="10" t="s">
        <v>21</v>
      </c>
      <c r="L1018" s="10" t="s">
        <v>1365</v>
      </c>
    </row>
    <row r="1019" spans="1:12" x14ac:dyDescent="0.35">
      <c r="A1019" s="9">
        <v>1018</v>
      </c>
      <c r="B1019" s="19">
        <v>45917.653252314813</v>
      </c>
      <c r="C1019" s="20">
        <v>45917</v>
      </c>
      <c r="D1019" s="8" t="s">
        <v>1366</v>
      </c>
      <c r="E1019" s="12">
        <v>2107.5</v>
      </c>
      <c r="F1019" s="3">
        <v>0</v>
      </c>
      <c r="G1019" s="3">
        <v>0</v>
      </c>
      <c r="H1019" s="8" t="s">
        <v>1367</v>
      </c>
      <c r="I1019" s="8" t="s">
        <v>52</v>
      </c>
      <c r="J1019" s="8" t="s">
        <v>34</v>
      </c>
      <c r="K1019" s="8" t="s">
        <v>21</v>
      </c>
      <c r="L1019" s="8" t="s">
        <v>1368</v>
      </c>
    </row>
    <row r="1020" spans="1:12" x14ac:dyDescent="0.35">
      <c r="A1020" s="11">
        <v>1019</v>
      </c>
      <c r="B1020" s="17">
        <v>45917.653263888889</v>
      </c>
      <c r="C1020" s="18">
        <v>45917</v>
      </c>
      <c r="D1020" s="10" t="s">
        <v>394</v>
      </c>
      <c r="E1020" s="5">
        <v>0</v>
      </c>
      <c r="F1020" s="15">
        <v>2005.5</v>
      </c>
      <c r="G1020" s="5">
        <v>2107.5</v>
      </c>
      <c r="H1020" s="10" t="s">
        <v>51</v>
      </c>
      <c r="I1020" s="10" t="s">
        <v>71</v>
      </c>
      <c r="J1020" s="10" t="s">
        <v>32</v>
      </c>
      <c r="K1020" s="10" t="s">
        <v>21</v>
      </c>
      <c r="L1020" s="10" t="s">
        <v>1369</v>
      </c>
    </row>
    <row r="1021" spans="1:12" x14ac:dyDescent="0.35">
      <c r="A1021" s="9">
        <v>1020</v>
      </c>
      <c r="B1021" s="19">
        <v>45917.717858796299</v>
      </c>
      <c r="C1021" s="20">
        <v>45917</v>
      </c>
      <c r="D1021" s="8" t="s">
        <v>188</v>
      </c>
      <c r="E1021" s="12">
        <v>1460</v>
      </c>
      <c r="F1021" s="3">
        <v>0</v>
      </c>
      <c r="G1021" s="3">
        <v>0</v>
      </c>
      <c r="H1021" s="8" t="s">
        <v>51</v>
      </c>
      <c r="I1021" s="8" t="s">
        <v>52</v>
      </c>
      <c r="J1021" s="8" t="s">
        <v>37</v>
      </c>
      <c r="K1021" s="8" t="s">
        <v>21</v>
      </c>
      <c r="L1021" s="8" t="s">
        <v>1370</v>
      </c>
    </row>
    <row r="1022" spans="1:12" x14ac:dyDescent="0.35">
      <c r="A1022" s="11">
        <v>1021</v>
      </c>
      <c r="B1022" s="17">
        <v>45917.717951388891</v>
      </c>
      <c r="C1022" s="18">
        <v>45917</v>
      </c>
      <c r="D1022" s="10" t="s">
        <v>394</v>
      </c>
      <c r="E1022" s="5">
        <v>0</v>
      </c>
      <c r="F1022" s="15">
        <v>1460</v>
      </c>
      <c r="G1022" s="5">
        <v>1460</v>
      </c>
      <c r="H1022" s="10" t="s">
        <v>51</v>
      </c>
      <c r="I1022" s="10" t="s">
        <v>71</v>
      </c>
      <c r="J1022" s="10" t="s">
        <v>32</v>
      </c>
      <c r="K1022" s="10" t="s">
        <v>21</v>
      </c>
      <c r="L1022" s="10" t="s">
        <v>1371</v>
      </c>
    </row>
    <row r="1023" spans="1:12" x14ac:dyDescent="0.35">
      <c r="A1023" s="9">
        <v>1022</v>
      </c>
      <c r="B1023" s="19">
        <v>45918.209756944438</v>
      </c>
      <c r="C1023" s="20">
        <v>45918</v>
      </c>
      <c r="D1023" s="8" t="s">
        <v>394</v>
      </c>
      <c r="E1023" s="3">
        <v>0</v>
      </c>
      <c r="F1023" s="13">
        <v>500</v>
      </c>
      <c r="G1023" s="3">
        <v>500</v>
      </c>
      <c r="H1023" s="8" t="s">
        <v>51</v>
      </c>
      <c r="I1023" s="8" t="s">
        <v>71</v>
      </c>
      <c r="J1023" s="8" t="s">
        <v>32</v>
      </c>
      <c r="K1023" s="8" t="s">
        <v>21</v>
      </c>
      <c r="L1023" s="8" t="s">
        <v>1372</v>
      </c>
    </row>
    <row r="1024" spans="1:12" x14ac:dyDescent="0.35">
      <c r="A1024" s="11">
        <v>1023</v>
      </c>
      <c r="B1024" s="17">
        <v>45918.209756944438</v>
      </c>
      <c r="C1024" s="18">
        <v>45918</v>
      </c>
      <c r="D1024" s="10" t="s">
        <v>342</v>
      </c>
      <c r="E1024" s="14">
        <v>500</v>
      </c>
      <c r="F1024" s="5">
        <v>0</v>
      </c>
      <c r="G1024" s="5">
        <v>0</v>
      </c>
      <c r="H1024" s="10" t="s">
        <v>51</v>
      </c>
      <c r="I1024" s="10" t="s">
        <v>52</v>
      </c>
      <c r="J1024" s="10" t="s">
        <v>33</v>
      </c>
      <c r="K1024" s="10" t="s">
        <v>21</v>
      </c>
      <c r="L1024" s="10" t="s">
        <v>1373</v>
      </c>
    </row>
    <row r="1025" spans="1:12" x14ac:dyDescent="0.35">
      <c r="A1025" s="9">
        <v>1024</v>
      </c>
      <c r="B1025" s="19">
        <v>45918.212488425917</v>
      </c>
      <c r="C1025" s="20">
        <v>45918</v>
      </c>
      <c r="D1025" s="8" t="s">
        <v>342</v>
      </c>
      <c r="E1025" s="12">
        <v>350</v>
      </c>
      <c r="F1025" s="3">
        <v>0</v>
      </c>
      <c r="G1025" s="3">
        <v>0</v>
      </c>
      <c r="H1025" s="8" t="s">
        <v>51</v>
      </c>
      <c r="I1025" s="8" t="s">
        <v>52</v>
      </c>
      <c r="J1025" s="8" t="s">
        <v>33</v>
      </c>
      <c r="K1025" s="8" t="s">
        <v>21</v>
      </c>
      <c r="L1025" s="8" t="s">
        <v>1374</v>
      </c>
    </row>
    <row r="1026" spans="1:12" x14ac:dyDescent="0.35">
      <c r="A1026" s="11">
        <v>1025</v>
      </c>
      <c r="B1026" s="17">
        <v>45918.212500000001</v>
      </c>
      <c r="C1026" s="18">
        <v>45918</v>
      </c>
      <c r="D1026" s="10" t="s">
        <v>394</v>
      </c>
      <c r="E1026" s="5">
        <v>0</v>
      </c>
      <c r="F1026" s="15">
        <v>350</v>
      </c>
      <c r="G1026" s="5">
        <v>350</v>
      </c>
      <c r="H1026" s="10" t="s">
        <v>51</v>
      </c>
      <c r="I1026" s="10" t="s">
        <v>71</v>
      </c>
      <c r="J1026" s="10" t="s">
        <v>32</v>
      </c>
      <c r="K1026" s="10" t="s">
        <v>21</v>
      </c>
      <c r="L1026" s="10" t="s">
        <v>1375</v>
      </c>
    </row>
    <row r="1027" spans="1:12" x14ac:dyDescent="0.35">
      <c r="A1027" s="9">
        <v>1026</v>
      </c>
      <c r="B1027" s="19">
        <v>45919.212430555563</v>
      </c>
      <c r="C1027" s="20">
        <v>45919</v>
      </c>
      <c r="D1027" s="8" t="s">
        <v>394</v>
      </c>
      <c r="E1027" s="3">
        <v>0</v>
      </c>
      <c r="F1027" s="13">
        <v>350</v>
      </c>
      <c r="G1027" s="3">
        <v>350</v>
      </c>
      <c r="H1027" s="8" t="s">
        <v>51</v>
      </c>
      <c r="I1027" s="8" t="s">
        <v>71</v>
      </c>
      <c r="J1027" s="8" t="s">
        <v>32</v>
      </c>
      <c r="K1027" s="8" t="s">
        <v>21</v>
      </c>
      <c r="L1027" s="8" t="s">
        <v>1376</v>
      </c>
    </row>
    <row r="1028" spans="1:12" x14ac:dyDescent="0.35">
      <c r="A1028" s="11">
        <v>1027</v>
      </c>
      <c r="B1028" s="17">
        <v>45919.212430555563</v>
      </c>
      <c r="C1028" s="18">
        <v>45919</v>
      </c>
      <c r="D1028" s="10" t="s">
        <v>342</v>
      </c>
      <c r="E1028" s="14">
        <v>350</v>
      </c>
      <c r="F1028" s="5">
        <v>0</v>
      </c>
      <c r="G1028" s="5">
        <v>0</v>
      </c>
      <c r="H1028" s="10" t="s">
        <v>51</v>
      </c>
      <c r="I1028" s="10" t="s">
        <v>52</v>
      </c>
      <c r="J1028" s="10" t="s">
        <v>33</v>
      </c>
      <c r="K1028" s="10" t="s">
        <v>21</v>
      </c>
      <c r="L1028" s="10" t="s">
        <v>1377</v>
      </c>
    </row>
    <row r="1029" spans="1:12" x14ac:dyDescent="0.35">
      <c r="A1029" s="9">
        <v>1028</v>
      </c>
      <c r="B1029" s="19">
        <v>45920.267395833333</v>
      </c>
      <c r="C1029" s="20">
        <v>45920</v>
      </c>
      <c r="D1029" s="8" t="s">
        <v>1378</v>
      </c>
      <c r="E1029" s="3">
        <v>0</v>
      </c>
      <c r="F1029" s="13">
        <v>100000</v>
      </c>
      <c r="G1029" s="3">
        <v>100000</v>
      </c>
      <c r="H1029" s="8" t="s">
        <v>51</v>
      </c>
      <c r="I1029" s="8" t="s">
        <v>71</v>
      </c>
      <c r="J1029" s="8" t="s">
        <v>31</v>
      </c>
      <c r="K1029" s="8" t="s">
        <v>21</v>
      </c>
      <c r="L1029" s="8" t="s">
        <v>1379</v>
      </c>
    </row>
    <row r="1030" spans="1:12" x14ac:dyDescent="0.35">
      <c r="A1030" s="11">
        <v>1029</v>
      </c>
      <c r="B1030" s="17">
        <v>45920.267418981479</v>
      </c>
      <c r="C1030" s="18">
        <v>45920</v>
      </c>
      <c r="D1030" s="10" t="s">
        <v>79</v>
      </c>
      <c r="E1030" s="14">
        <v>50</v>
      </c>
      <c r="F1030" s="5">
        <v>0</v>
      </c>
      <c r="G1030" s="5">
        <v>99950</v>
      </c>
      <c r="H1030" s="10" t="s">
        <v>51</v>
      </c>
      <c r="I1030" s="10" t="s">
        <v>52</v>
      </c>
      <c r="J1030" s="10" t="s">
        <v>36</v>
      </c>
      <c r="K1030" s="10" t="s">
        <v>21</v>
      </c>
      <c r="L1030" s="10" t="s">
        <v>1380</v>
      </c>
    </row>
    <row r="1031" spans="1:12" x14ac:dyDescent="0.35">
      <c r="A1031" s="9">
        <v>1030</v>
      </c>
      <c r="B1031" s="19">
        <v>45920.272685185177</v>
      </c>
      <c r="C1031" s="20">
        <v>45920</v>
      </c>
      <c r="D1031" s="8" t="s">
        <v>488</v>
      </c>
      <c r="E1031" s="12">
        <v>50000</v>
      </c>
      <c r="F1031" s="3">
        <v>0</v>
      </c>
      <c r="G1031" s="3">
        <v>49950</v>
      </c>
      <c r="H1031" s="8" t="s">
        <v>51</v>
      </c>
      <c r="I1031" s="8" t="s">
        <v>52</v>
      </c>
      <c r="J1031" s="8" t="s">
        <v>30</v>
      </c>
      <c r="K1031" s="8" t="s">
        <v>21</v>
      </c>
      <c r="L1031" s="8" t="s">
        <v>1381</v>
      </c>
    </row>
    <row r="1032" spans="1:12" x14ac:dyDescent="0.35">
      <c r="A1032" s="11">
        <v>1031</v>
      </c>
      <c r="B1032" s="17">
        <v>45920.273229166669</v>
      </c>
      <c r="C1032" s="18">
        <v>45920</v>
      </c>
      <c r="D1032" s="10" t="s">
        <v>1382</v>
      </c>
      <c r="E1032" s="14">
        <v>5000</v>
      </c>
      <c r="F1032" s="5">
        <v>0</v>
      </c>
      <c r="G1032" s="5">
        <v>44950</v>
      </c>
      <c r="H1032" s="10" t="s">
        <v>51</v>
      </c>
      <c r="I1032" s="10" t="s">
        <v>52</v>
      </c>
      <c r="J1032" s="10" t="s">
        <v>30</v>
      </c>
      <c r="K1032" s="10" t="s">
        <v>21</v>
      </c>
      <c r="L1032" s="10" t="s">
        <v>1383</v>
      </c>
    </row>
    <row r="1033" spans="1:12" x14ac:dyDescent="0.35">
      <c r="A1033" s="9">
        <v>1032</v>
      </c>
      <c r="B1033" s="19">
        <v>45920.609085648153</v>
      </c>
      <c r="C1033" s="20">
        <v>45920</v>
      </c>
      <c r="D1033" s="8" t="s">
        <v>188</v>
      </c>
      <c r="E1033" s="12">
        <v>3500</v>
      </c>
      <c r="F1033" s="3">
        <v>0</v>
      </c>
      <c r="G1033" s="3">
        <v>41450</v>
      </c>
      <c r="H1033" s="8" t="s">
        <v>51</v>
      </c>
      <c r="I1033" s="8" t="s">
        <v>52</v>
      </c>
      <c r="J1033" s="8" t="s">
        <v>37</v>
      </c>
      <c r="K1033" s="8" t="s">
        <v>21</v>
      </c>
      <c r="L1033" s="8" t="s">
        <v>1384</v>
      </c>
    </row>
    <row r="1034" spans="1:12" x14ac:dyDescent="0.35">
      <c r="A1034" s="11">
        <v>1033</v>
      </c>
      <c r="B1034" s="17">
        <v>45920.609490740739</v>
      </c>
      <c r="C1034" s="18">
        <v>45920</v>
      </c>
      <c r="D1034" s="10" t="s">
        <v>276</v>
      </c>
      <c r="E1034" s="14">
        <v>850</v>
      </c>
      <c r="F1034" s="5">
        <v>0</v>
      </c>
      <c r="G1034" s="5">
        <v>40600</v>
      </c>
      <c r="H1034" s="10" t="s">
        <v>51</v>
      </c>
      <c r="I1034" s="10" t="s">
        <v>52</v>
      </c>
      <c r="J1034" s="10" t="s">
        <v>36</v>
      </c>
      <c r="K1034" s="10" t="s">
        <v>21</v>
      </c>
      <c r="L1034" s="10" t="s">
        <v>1385</v>
      </c>
    </row>
    <row r="1035" spans="1:12" x14ac:dyDescent="0.35">
      <c r="A1035" s="9">
        <v>1034</v>
      </c>
      <c r="B1035" s="19">
        <v>45920.639618055553</v>
      </c>
      <c r="C1035" s="20">
        <v>45920</v>
      </c>
      <c r="D1035" s="8" t="s">
        <v>1141</v>
      </c>
      <c r="E1035" s="12">
        <v>2000</v>
      </c>
      <c r="F1035" s="3">
        <v>0</v>
      </c>
      <c r="G1035" s="3">
        <v>38600</v>
      </c>
      <c r="H1035" s="8" t="s">
        <v>51</v>
      </c>
      <c r="I1035" s="8" t="s">
        <v>52</v>
      </c>
      <c r="J1035" s="8" t="s">
        <v>30</v>
      </c>
      <c r="K1035" s="8" t="s">
        <v>21</v>
      </c>
      <c r="L1035" s="8" t="s">
        <v>1386</v>
      </c>
    </row>
    <row r="1036" spans="1:12" x14ac:dyDescent="0.35">
      <c r="A1036" s="11">
        <v>1035</v>
      </c>
      <c r="B1036" s="17">
        <v>45920.708877314813</v>
      </c>
      <c r="C1036" s="18">
        <v>45920</v>
      </c>
      <c r="D1036" s="10" t="s">
        <v>491</v>
      </c>
      <c r="E1036" s="14">
        <v>6010</v>
      </c>
      <c r="F1036" s="5">
        <v>0</v>
      </c>
      <c r="G1036" s="5">
        <v>32590</v>
      </c>
      <c r="H1036" s="10" t="s">
        <v>51</v>
      </c>
      <c r="I1036" s="10" t="s">
        <v>52</v>
      </c>
      <c r="J1036" s="10" t="s">
        <v>30</v>
      </c>
      <c r="K1036" s="10" t="s">
        <v>21</v>
      </c>
      <c r="L1036" s="10" t="s">
        <v>1387</v>
      </c>
    </row>
    <row r="1037" spans="1:12" x14ac:dyDescent="0.35">
      <c r="A1037" s="9">
        <v>1036</v>
      </c>
      <c r="B1037" s="19">
        <v>45920.726053240738</v>
      </c>
      <c r="C1037" s="20">
        <v>45920</v>
      </c>
      <c r="D1037" s="8" t="s">
        <v>1388</v>
      </c>
      <c r="E1037" s="12">
        <v>5000</v>
      </c>
      <c r="F1037" s="3">
        <v>0</v>
      </c>
      <c r="G1037" s="3">
        <v>27590</v>
      </c>
      <c r="H1037" s="8" t="s">
        <v>51</v>
      </c>
      <c r="I1037" s="8" t="s">
        <v>52</v>
      </c>
      <c r="J1037" s="8" t="s">
        <v>30</v>
      </c>
      <c r="K1037" s="8" t="s">
        <v>21</v>
      </c>
      <c r="L1037" s="8" t="s">
        <v>1389</v>
      </c>
    </row>
    <row r="1038" spans="1:12" x14ac:dyDescent="0.35">
      <c r="A1038" s="11">
        <v>1037</v>
      </c>
      <c r="B1038" s="17">
        <v>45920.926620370366</v>
      </c>
      <c r="C1038" s="18">
        <v>45920</v>
      </c>
      <c r="D1038" s="10" t="s">
        <v>426</v>
      </c>
      <c r="E1038" s="14">
        <v>27590</v>
      </c>
      <c r="F1038" s="5">
        <v>0</v>
      </c>
      <c r="G1038" s="5">
        <v>0</v>
      </c>
      <c r="H1038" s="10" t="s">
        <v>51</v>
      </c>
      <c r="I1038" s="10" t="s">
        <v>52</v>
      </c>
      <c r="J1038" s="10" t="s">
        <v>32</v>
      </c>
      <c r="K1038" s="10" t="s">
        <v>21</v>
      </c>
      <c r="L1038" s="10" t="s">
        <v>1390</v>
      </c>
    </row>
    <row r="1039" spans="1:12" x14ac:dyDescent="0.35">
      <c r="A1039" s="9">
        <v>1038</v>
      </c>
      <c r="B1039" s="19">
        <v>45921.209687499999</v>
      </c>
      <c r="C1039" s="20">
        <v>45921</v>
      </c>
      <c r="D1039" s="8" t="s">
        <v>342</v>
      </c>
      <c r="E1039" s="12">
        <v>500</v>
      </c>
      <c r="F1039" s="3">
        <v>0</v>
      </c>
      <c r="G1039" s="3">
        <v>0</v>
      </c>
      <c r="H1039" s="8" t="s">
        <v>51</v>
      </c>
      <c r="I1039" s="8" t="s">
        <v>52</v>
      </c>
      <c r="J1039" s="8" t="s">
        <v>33</v>
      </c>
      <c r="K1039" s="8" t="s">
        <v>21</v>
      </c>
      <c r="L1039" s="8" t="s">
        <v>1391</v>
      </c>
    </row>
    <row r="1040" spans="1:12" x14ac:dyDescent="0.35">
      <c r="A1040" s="11">
        <v>1039</v>
      </c>
      <c r="B1040" s="17">
        <v>45921.209699074083</v>
      </c>
      <c r="C1040" s="18">
        <v>45921</v>
      </c>
      <c r="D1040" s="10" t="s">
        <v>394</v>
      </c>
      <c r="E1040" s="5">
        <v>0</v>
      </c>
      <c r="F1040" s="15">
        <v>500</v>
      </c>
      <c r="G1040" s="5">
        <v>500</v>
      </c>
      <c r="H1040" s="10" t="s">
        <v>51</v>
      </c>
      <c r="I1040" s="10" t="s">
        <v>71</v>
      </c>
      <c r="J1040" s="10" t="s">
        <v>32</v>
      </c>
      <c r="K1040" s="10" t="s">
        <v>21</v>
      </c>
      <c r="L1040" s="10" t="s">
        <v>1392</v>
      </c>
    </row>
    <row r="1041" spans="1:12" x14ac:dyDescent="0.35">
      <c r="A1041" s="9">
        <v>1040</v>
      </c>
      <c r="B1041" s="19">
        <v>45921.212222222217</v>
      </c>
      <c r="C1041" s="20">
        <v>45921</v>
      </c>
      <c r="D1041" s="8" t="s">
        <v>394</v>
      </c>
      <c r="E1041" s="3">
        <v>0</v>
      </c>
      <c r="F1041" s="13">
        <v>350</v>
      </c>
      <c r="G1041" s="3">
        <v>350</v>
      </c>
      <c r="H1041" s="8" t="s">
        <v>51</v>
      </c>
      <c r="I1041" s="8" t="s">
        <v>71</v>
      </c>
      <c r="J1041" s="8" t="s">
        <v>32</v>
      </c>
      <c r="K1041" s="8" t="s">
        <v>21</v>
      </c>
      <c r="L1041" s="8" t="s">
        <v>1393</v>
      </c>
    </row>
    <row r="1042" spans="1:12" x14ac:dyDescent="0.35">
      <c r="A1042" s="11">
        <v>1041</v>
      </c>
      <c r="B1042" s="17">
        <v>45921.212222222217</v>
      </c>
      <c r="C1042" s="18">
        <v>45921</v>
      </c>
      <c r="D1042" s="10" t="s">
        <v>342</v>
      </c>
      <c r="E1042" s="14">
        <v>350</v>
      </c>
      <c r="F1042" s="5">
        <v>0</v>
      </c>
      <c r="G1042" s="5">
        <v>0</v>
      </c>
      <c r="H1042" s="10" t="s">
        <v>51</v>
      </c>
      <c r="I1042" s="10" t="s">
        <v>52</v>
      </c>
      <c r="J1042" s="10" t="s">
        <v>33</v>
      </c>
      <c r="K1042" s="10" t="s">
        <v>21</v>
      </c>
      <c r="L1042" s="10" t="s">
        <v>1394</v>
      </c>
    </row>
    <row r="1043" spans="1:12" x14ac:dyDescent="0.35">
      <c r="A1043" s="9">
        <v>1042</v>
      </c>
      <c r="B1043" s="19">
        <v>45921.481134259258</v>
      </c>
      <c r="C1043" s="20">
        <v>45921</v>
      </c>
      <c r="D1043" s="8" t="s">
        <v>1395</v>
      </c>
      <c r="E1043" s="12">
        <v>1500</v>
      </c>
      <c r="F1043" s="3">
        <v>0</v>
      </c>
      <c r="G1043" s="3">
        <v>0</v>
      </c>
      <c r="H1043" s="8" t="s">
        <v>51</v>
      </c>
      <c r="I1043" s="8" t="s">
        <v>52</v>
      </c>
      <c r="J1043" s="8" t="s">
        <v>30</v>
      </c>
      <c r="K1043" s="8" t="s">
        <v>21</v>
      </c>
      <c r="L1043" s="8" t="s">
        <v>1396</v>
      </c>
    </row>
    <row r="1044" spans="1:12" x14ac:dyDescent="0.35">
      <c r="A1044" s="11">
        <v>1043</v>
      </c>
      <c r="B1044" s="17">
        <v>45921.481168981481</v>
      </c>
      <c r="C1044" s="18">
        <v>45921</v>
      </c>
      <c r="D1044" s="10" t="s">
        <v>394</v>
      </c>
      <c r="E1044" s="5">
        <v>0</v>
      </c>
      <c r="F1044" s="15">
        <v>1500</v>
      </c>
      <c r="G1044" s="5">
        <v>1500</v>
      </c>
      <c r="H1044" s="10" t="s">
        <v>51</v>
      </c>
      <c r="I1044" s="10" t="s">
        <v>71</v>
      </c>
      <c r="J1044" s="10" t="s">
        <v>32</v>
      </c>
      <c r="K1044" s="10" t="s">
        <v>21</v>
      </c>
      <c r="L1044" s="10" t="s">
        <v>1397</v>
      </c>
    </row>
    <row r="1045" spans="1:12" x14ac:dyDescent="0.35">
      <c r="A1045" s="9">
        <v>1044</v>
      </c>
      <c r="B1045" s="19">
        <v>45921.53328703704</v>
      </c>
      <c r="C1045" s="20">
        <v>45921</v>
      </c>
      <c r="D1045" s="8" t="s">
        <v>887</v>
      </c>
      <c r="E1045" s="12">
        <v>1800</v>
      </c>
      <c r="F1045" s="3">
        <v>0</v>
      </c>
      <c r="G1045" s="3">
        <v>0</v>
      </c>
      <c r="H1045" s="8" t="s">
        <v>51</v>
      </c>
      <c r="I1045" s="8" t="s">
        <v>52</v>
      </c>
      <c r="J1045" s="8" t="s">
        <v>30</v>
      </c>
      <c r="K1045" s="8" t="s">
        <v>21</v>
      </c>
      <c r="L1045" s="8" t="s">
        <v>1398</v>
      </c>
    </row>
    <row r="1046" spans="1:12" x14ac:dyDescent="0.35">
      <c r="A1046" s="11">
        <v>1045</v>
      </c>
      <c r="B1046" s="17">
        <v>45921.533368055563</v>
      </c>
      <c r="C1046" s="18">
        <v>45921</v>
      </c>
      <c r="D1046" s="10" t="s">
        <v>394</v>
      </c>
      <c r="E1046" s="5">
        <v>0</v>
      </c>
      <c r="F1046" s="15">
        <v>1800</v>
      </c>
      <c r="G1046" s="5">
        <v>1800</v>
      </c>
      <c r="H1046" s="10" t="s">
        <v>51</v>
      </c>
      <c r="I1046" s="10" t="s">
        <v>71</v>
      </c>
      <c r="J1046" s="10" t="s">
        <v>32</v>
      </c>
      <c r="K1046" s="10" t="s">
        <v>21</v>
      </c>
      <c r="L1046" s="10" t="s">
        <v>1399</v>
      </c>
    </row>
    <row r="1047" spans="1:12" x14ac:dyDescent="0.35">
      <c r="A1047" s="9">
        <v>1046</v>
      </c>
      <c r="B1047" s="19">
        <v>45921.571192129632</v>
      </c>
      <c r="C1047" s="20">
        <v>45921</v>
      </c>
      <c r="D1047" s="8" t="s">
        <v>1317</v>
      </c>
      <c r="E1047" s="12">
        <v>1000</v>
      </c>
      <c r="F1047" s="3">
        <v>0</v>
      </c>
      <c r="G1047" s="3">
        <v>0</v>
      </c>
      <c r="H1047" s="8" t="s">
        <v>51</v>
      </c>
      <c r="I1047" s="8" t="s">
        <v>52</v>
      </c>
      <c r="J1047" s="8" t="s">
        <v>30</v>
      </c>
      <c r="K1047" s="8" t="s">
        <v>21</v>
      </c>
      <c r="L1047" s="8" t="s">
        <v>1400</v>
      </c>
    </row>
    <row r="1048" spans="1:12" x14ac:dyDescent="0.35">
      <c r="A1048" s="11">
        <v>1047</v>
      </c>
      <c r="B1048" s="17">
        <v>45921.571250000001</v>
      </c>
      <c r="C1048" s="18">
        <v>45921</v>
      </c>
      <c r="D1048" s="10" t="s">
        <v>394</v>
      </c>
      <c r="E1048" s="5">
        <v>0</v>
      </c>
      <c r="F1048" s="15">
        <v>1000</v>
      </c>
      <c r="G1048" s="5">
        <v>1000</v>
      </c>
      <c r="H1048" s="10" t="s">
        <v>51</v>
      </c>
      <c r="I1048" s="10" t="s">
        <v>71</v>
      </c>
      <c r="J1048" s="10" t="s">
        <v>32</v>
      </c>
      <c r="K1048" s="10" t="s">
        <v>21</v>
      </c>
      <c r="L1048" s="10" t="s">
        <v>1401</v>
      </c>
    </row>
    <row r="1049" spans="1:12" x14ac:dyDescent="0.35">
      <c r="A1049" s="9">
        <v>1048</v>
      </c>
      <c r="B1049" s="19">
        <v>45922.209652777783</v>
      </c>
      <c r="C1049" s="20">
        <v>45922</v>
      </c>
      <c r="D1049" s="8" t="s">
        <v>394</v>
      </c>
      <c r="E1049" s="3">
        <v>0</v>
      </c>
      <c r="F1049" s="13">
        <v>500</v>
      </c>
      <c r="G1049" s="3">
        <v>500</v>
      </c>
      <c r="H1049" s="8" t="s">
        <v>51</v>
      </c>
      <c r="I1049" s="8" t="s">
        <v>71</v>
      </c>
      <c r="J1049" s="8" t="s">
        <v>32</v>
      </c>
      <c r="K1049" s="8" t="s">
        <v>21</v>
      </c>
      <c r="L1049" s="8" t="s">
        <v>1402</v>
      </c>
    </row>
    <row r="1050" spans="1:12" x14ac:dyDescent="0.35">
      <c r="A1050" s="11">
        <v>1049</v>
      </c>
      <c r="B1050" s="17">
        <v>45922.209652777783</v>
      </c>
      <c r="C1050" s="18">
        <v>45922</v>
      </c>
      <c r="D1050" s="10" t="s">
        <v>342</v>
      </c>
      <c r="E1050" s="14">
        <v>500</v>
      </c>
      <c r="F1050" s="5">
        <v>0</v>
      </c>
      <c r="G1050" s="5">
        <v>0</v>
      </c>
      <c r="H1050" s="10" t="s">
        <v>51</v>
      </c>
      <c r="I1050" s="10" t="s">
        <v>52</v>
      </c>
      <c r="J1050" s="10" t="s">
        <v>33</v>
      </c>
      <c r="K1050" s="10" t="s">
        <v>21</v>
      </c>
      <c r="L1050" s="10" t="s">
        <v>1403</v>
      </c>
    </row>
    <row r="1051" spans="1:12" x14ac:dyDescent="0.35">
      <c r="A1051" s="9">
        <v>1050</v>
      </c>
      <c r="B1051" s="19">
        <v>45922.362743055557</v>
      </c>
      <c r="C1051" s="20">
        <v>45922</v>
      </c>
      <c r="D1051" s="8" t="s">
        <v>902</v>
      </c>
      <c r="E1051" s="12">
        <v>3800</v>
      </c>
      <c r="F1051" s="3">
        <v>0</v>
      </c>
      <c r="G1051" s="3">
        <v>0</v>
      </c>
      <c r="H1051" s="8" t="s">
        <v>51</v>
      </c>
      <c r="I1051" s="8" t="s">
        <v>52</v>
      </c>
      <c r="J1051" s="8" t="s">
        <v>30</v>
      </c>
      <c r="K1051" s="8" t="s">
        <v>21</v>
      </c>
      <c r="L1051" s="8" t="s">
        <v>1404</v>
      </c>
    </row>
    <row r="1052" spans="1:12" x14ac:dyDescent="0.35">
      <c r="A1052" s="11">
        <v>1051</v>
      </c>
      <c r="B1052" s="17">
        <v>45922.36278935185</v>
      </c>
      <c r="C1052" s="18">
        <v>45922</v>
      </c>
      <c r="D1052" s="10" t="s">
        <v>394</v>
      </c>
      <c r="E1052" s="5">
        <v>0</v>
      </c>
      <c r="F1052" s="15">
        <v>3800</v>
      </c>
      <c r="G1052" s="5">
        <v>3800</v>
      </c>
      <c r="H1052" s="10" t="s">
        <v>51</v>
      </c>
      <c r="I1052" s="10" t="s">
        <v>71</v>
      </c>
      <c r="J1052" s="10" t="s">
        <v>32</v>
      </c>
      <c r="K1052" s="10" t="s">
        <v>21</v>
      </c>
      <c r="L1052" s="10" t="s">
        <v>1405</v>
      </c>
    </row>
    <row r="1053" spans="1:12" x14ac:dyDescent="0.35">
      <c r="A1053" s="9">
        <v>1052</v>
      </c>
      <c r="B1053" s="19">
        <v>45922.377743055556</v>
      </c>
      <c r="C1053" s="20">
        <v>45922</v>
      </c>
      <c r="D1053" s="8" t="s">
        <v>1406</v>
      </c>
      <c r="E1053" s="12">
        <v>5000</v>
      </c>
      <c r="F1053" s="3">
        <v>0</v>
      </c>
      <c r="G1053" s="3">
        <v>0</v>
      </c>
      <c r="H1053" s="8" t="s">
        <v>51</v>
      </c>
      <c r="I1053" s="8" t="s">
        <v>52</v>
      </c>
      <c r="J1053" s="8" t="s">
        <v>30</v>
      </c>
      <c r="K1053" s="8" t="s">
        <v>21</v>
      </c>
      <c r="L1053" s="8" t="s">
        <v>1407</v>
      </c>
    </row>
    <row r="1054" spans="1:12" x14ac:dyDescent="0.35">
      <c r="A1054" s="11">
        <v>1053</v>
      </c>
      <c r="B1054" s="17">
        <v>45922.377789351849</v>
      </c>
      <c r="C1054" s="18">
        <v>45922</v>
      </c>
      <c r="D1054" s="10" t="s">
        <v>394</v>
      </c>
      <c r="E1054" s="5">
        <v>0</v>
      </c>
      <c r="F1054" s="15">
        <v>5000</v>
      </c>
      <c r="G1054" s="5">
        <v>5000</v>
      </c>
      <c r="H1054" s="10" t="s">
        <v>51</v>
      </c>
      <c r="I1054" s="10" t="s">
        <v>71</v>
      </c>
      <c r="J1054" s="10" t="s">
        <v>32</v>
      </c>
      <c r="K1054" s="10" t="s">
        <v>21</v>
      </c>
      <c r="L1054" s="10" t="s">
        <v>1408</v>
      </c>
    </row>
    <row r="1055" spans="1:12" x14ac:dyDescent="0.35">
      <c r="A1055" s="9">
        <v>1054</v>
      </c>
      <c r="B1055" s="19">
        <v>45923.209652777783</v>
      </c>
      <c r="C1055" s="20">
        <v>45923</v>
      </c>
      <c r="D1055" s="8" t="s">
        <v>394</v>
      </c>
      <c r="E1055" s="3">
        <v>0</v>
      </c>
      <c r="F1055" s="13">
        <v>500</v>
      </c>
      <c r="G1055" s="3">
        <v>500</v>
      </c>
      <c r="H1055" s="8" t="s">
        <v>51</v>
      </c>
      <c r="I1055" s="8" t="s">
        <v>71</v>
      </c>
      <c r="J1055" s="8" t="s">
        <v>32</v>
      </c>
      <c r="K1055" s="8" t="s">
        <v>21</v>
      </c>
      <c r="L1055" s="8" t="s">
        <v>1409</v>
      </c>
    </row>
    <row r="1056" spans="1:12" x14ac:dyDescent="0.35">
      <c r="A1056" s="11">
        <v>1055</v>
      </c>
      <c r="B1056" s="17">
        <v>45923.209652777783</v>
      </c>
      <c r="C1056" s="18">
        <v>45923</v>
      </c>
      <c r="D1056" s="10" t="s">
        <v>342</v>
      </c>
      <c r="E1056" s="14">
        <v>500</v>
      </c>
      <c r="F1056" s="5">
        <v>0</v>
      </c>
      <c r="G1056" s="5">
        <v>0</v>
      </c>
      <c r="H1056" s="10" t="s">
        <v>51</v>
      </c>
      <c r="I1056" s="10" t="s">
        <v>52</v>
      </c>
      <c r="J1056" s="10" t="s">
        <v>33</v>
      </c>
      <c r="K1056" s="10" t="s">
        <v>21</v>
      </c>
      <c r="L1056" s="10" t="s">
        <v>1410</v>
      </c>
    </row>
    <row r="1057" spans="1:12" x14ac:dyDescent="0.35">
      <c r="A1057" s="9">
        <v>1056</v>
      </c>
      <c r="B1057" s="19">
        <v>45923.492847222216</v>
      </c>
      <c r="C1057" s="20">
        <v>45923</v>
      </c>
      <c r="D1057" s="8" t="s">
        <v>1411</v>
      </c>
      <c r="E1057" s="12">
        <v>1300</v>
      </c>
      <c r="F1057" s="3">
        <v>0</v>
      </c>
      <c r="G1057" s="3">
        <v>0</v>
      </c>
      <c r="H1057" s="8" t="s">
        <v>51</v>
      </c>
      <c r="I1057" s="8" t="s">
        <v>52</v>
      </c>
      <c r="J1057" s="8" t="s">
        <v>30</v>
      </c>
      <c r="K1057" s="8" t="s">
        <v>21</v>
      </c>
      <c r="L1057" s="8" t="s">
        <v>1412</v>
      </c>
    </row>
    <row r="1058" spans="1:12" x14ac:dyDescent="0.35">
      <c r="A1058" s="11">
        <v>1057</v>
      </c>
      <c r="B1058" s="17">
        <v>45923.492893518523</v>
      </c>
      <c r="C1058" s="18">
        <v>45923</v>
      </c>
      <c r="D1058" s="10" t="s">
        <v>394</v>
      </c>
      <c r="E1058" s="5">
        <v>0</v>
      </c>
      <c r="F1058" s="15">
        <v>1300</v>
      </c>
      <c r="G1058" s="5">
        <v>1300</v>
      </c>
      <c r="H1058" s="10" t="s">
        <v>51</v>
      </c>
      <c r="I1058" s="10" t="s">
        <v>71</v>
      </c>
      <c r="J1058" s="10" t="s">
        <v>32</v>
      </c>
      <c r="K1058" s="10" t="s">
        <v>21</v>
      </c>
      <c r="L1058" s="10" t="s">
        <v>1413</v>
      </c>
    </row>
    <row r="1059" spans="1:12" x14ac:dyDescent="0.35">
      <c r="A1059" s="9">
        <v>1058</v>
      </c>
      <c r="B1059" s="19">
        <v>45924.209687499999</v>
      </c>
      <c r="C1059" s="20">
        <v>45924</v>
      </c>
      <c r="D1059" s="8" t="s">
        <v>394</v>
      </c>
      <c r="E1059" s="3">
        <v>0</v>
      </c>
      <c r="F1059" s="13">
        <v>500</v>
      </c>
      <c r="G1059" s="3">
        <v>500</v>
      </c>
      <c r="H1059" s="8" t="s">
        <v>51</v>
      </c>
      <c r="I1059" s="8" t="s">
        <v>71</v>
      </c>
      <c r="J1059" s="8" t="s">
        <v>32</v>
      </c>
      <c r="K1059" s="8" t="s">
        <v>21</v>
      </c>
      <c r="L1059" s="8" t="s">
        <v>1414</v>
      </c>
    </row>
    <row r="1060" spans="1:12" x14ac:dyDescent="0.35">
      <c r="A1060" s="11">
        <v>1059</v>
      </c>
      <c r="B1060" s="17">
        <v>45924.209687499999</v>
      </c>
      <c r="C1060" s="18">
        <v>45924</v>
      </c>
      <c r="D1060" s="10" t="s">
        <v>342</v>
      </c>
      <c r="E1060" s="14">
        <v>500</v>
      </c>
      <c r="F1060" s="5">
        <v>0</v>
      </c>
      <c r="G1060" s="5">
        <v>0</v>
      </c>
      <c r="H1060" s="10" t="s">
        <v>51</v>
      </c>
      <c r="I1060" s="10" t="s">
        <v>52</v>
      </c>
      <c r="J1060" s="10" t="s">
        <v>33</v>
      </c>
      <c r="K1060" s="10" t="s">
        <v>21</v>
      </c>
      <c r="L1060" s="10" t="s">
        <v>1415</v>
      </c>
    </row>
    <row r="1061" spans="1:12" x14ac:dyDescent="0.35">
      <c r="A1061" s="9">
        <v>1060</v>
      </c>
      <c r="B1061" s="19">
        <v>45925.209293981483</v>
      </c>
      <c r="C1061" s="20">
        <v>45925</v>
      </c>
      <c r="D1061" s="8" t="s">
        <v>394</v>
      </c>
      <c r="E1061" s="3">
        <v>0</v>
      </c>
      <c r="F1061" s="13">
        <v>500</v>
      </c>
      <c r="G1061" s="3">
        <v>500</v>
      </c>
      <c r="H1061" s="8" t="s">
        <v>51</v>
      </c>
      <c r="I1061" s="8" t="s">
        <v>71</v>
      </c>
      <c r="J1061" s="8" t="s">
        <v>32</v>
      </c>
      <c r="K1061" s="8" t="s">
        <v>21</v>
      </c>
      <c r="L1061" s="8" t="s">
        <v>1416</v>
      </c>
    </row>
    <row r="1062" spans="1:12" x14ac:dyDescent="0.35">
      <c r="A1062" s="11">
        <v>1061</v>
      </c>
      <c r="B1062" s="17">
        <v>45925.209293981483</v>
      </c>
      <c r="C1062" s="18">
        <v>45925</v>
      </c>
      <c r="D1062" s="10" t="s">
        <v>342</v>
      </c>
      <c r="E1062" s="14">
        <v>500</v>
      </c>
      <c r="F1062" s="5">
        <v>0</v>
      </c>
      <c r="G1062" s="5">
        <v>0</v>
      </c>
      <c r="H1062" s="10" t="s">
        <v>51</v>
      </c>
      <c r="I1062" s="10" t="s">
        <v>52</v>
      </c>
      <c r="J1062" s="10" t="s">
        <v>33</v>
      </c>
      <c r="K1062" s="10" t="s">
        <v>21</v>
      </c>
      <c r="L1062" s="10" t="s">
        <v>1417</v>
      </c>
    </row>
    <row r="1063" spans="1:12" x14ac:dyDescent="0.35">
      <c r="A1063" s="9">
        <v>1062</v>
      </c>
      <c r="B1063" s="19">
        <v>45925.920393518521</v>
      </c>
      <c r="C1063" s="20">
        <v>45925</v>
      </c>
      <c r="D1063" s="8" t="s">
        <v>551</v>
      </c>
      <c r="E1063" s="3">
        <v>0</v>
      </c>
      <c r="F1063" s="13">
        <v>20000</v>
      </c>
      <c r="G1063" s="3">
        <v>20000</v>
      </c>
      <c r="H1063" s="8" t="s">
        <v>51</v>
      </c>
      <c r="I1063" s="8" t="s">
        <v>71</v>
      </c>
      <c r="J1063" s="8" t="s">
        <v>31</v>
      </c>
      <c r="K1063" s="8" t="s">
        <v>21</v>
      </c>
      <c r="L1063" s="8" t="s">
        <v>1418</v>
      </c>
    </row>
    <row r="1064" spans="1:12" x14ac:dyDescent="0.35">
      <c r="A1064" s="11">
        <v>1063</v>
      </c>
      <c r="B1064" s="17">
        <v>45925.920405092591</v>
      </c>
      <c r="C1064" s="18">
        <v>45925</v>
      </c>
      <c r="D1064" s="10" t="s">
        <v>79</v>
      </c>
      <c r="E1064" s="14">
        <v>50</v>
      </c>
      <c r="F1064" s="5">
        <v>0</v>
      </c>
      <c r="G1064" s="5">
        <v>19950</v>
      </c>
      <c r="H1064" s="10" t="s">
        <v>51</v>
      </c>
      <c r="I1064" s="10" t="s">
        <v>52</v>
      </c>
      <c r="J1064" s="10" t="s">
        <v>36</v>
      </c>
      <c r="K1064" s="10" t="s">
        <v>21</v>
      </c>
      <c r="L1064" s="10" t="s">
        <v>1419</v>
      </c>
    </row>
    <row r="1065" spans="1:12" x14ac:dyDescent="0.35">
      <c r="A1065" s="9">
        <v>1064</v>
      </c>
      <c r="B1065" s="19">
        <v>45925.921296296299</v>
      </c>
      <c r="C1065" s="20">
        <v>45925</v>
      </c>
      <c r="D1065" s="8" t="s">
        <v>342</v>
      </c>
      <c r="E1065" s="12">
        <v>20000</v>
      </c>
      <c r="F1065" s="3">
        <v>0</v>
      </c>
      <c r="G1065" s="3">
        <v>0</v>
      </c>
      <c r="H1065" s="8" t="s">
        <v>51</v>
      </c>
      <c r="I1065" s="8" t="s">
        <v>52</v>
      </c>
      <c r="J1065" s="8" t="s">
        <v>33</v>
      </c>
      <c r="K1065" s="8" t="s">
        <v>21</v>
      </c>
      <c r="L1065" s="8" t="s">
        <v>1420</v>
      </c>
    </row>
    <row r="1066" spans="1:12" x14ac:dyDescent="0.35">
      <c r="A1066" s="11">
        <v>1065</v>
      </c>
      <c r="B1066" s="17">
        <v>45925.921354166669</v>
      </c>
      <c r="C1066" s="18">
        <v>45925</v>
      </c>
      <c r="D1066" s="10" t="s">
        <v>394</v>
      </c>
      <c r="E1066" s="5">
        <v>0</v>
      </c>
      <c r="F1066" s="15">
        <v>50</v>
      </c>
      <c r="G1066" s="5">
        <v>20000</v>
      </c>
      <c r="H1066" s="10" t="s">
        <v>51</v>
      </c>
      <c r="I1066" s="10" t="s">
        <v>71</v>
      </c>
      <c r="J1066" s="10" t="s">
        <v>32</v>
      </c>
      <c r="K1066" s="10" t="s">
        <v>21</v>
      </c>
      <c r="L1066" s="10" t="s">
        <v>1421</v>
      </c>
    </row>
    <row r="1067" spans="1:12" x14ac:dyDescent="0.35">
      <c r="A1067" s="9">
        <v>1066</v>
      </c>
      <c r="B1067" s="19">
        <v>45925.922719907408</v>
      </c>
      <c r="C1067" s="20">
        <v>45925</v>
      </c>
      <c r="D1067" s="8" t="s">
        <v>551</v>
      </c>
      <c r="E1067" s="3">
        <v>0</v>
      </c>
      <c r="F1067" s="13">
        <v>15000</v>
      </c>
      <c r="G1067" s="3">
        <v>15000</v>
      </c>
      <c r="H1067" s="8" t="s">
        <v>51</v>
      </c>
      <c r="I1067" s="8" t="s">
        <v>71</v>
      </c>
      <c r="J1067" s="8" t="s">
        <v>31</v>
      </c>
      <c r="K1067" s="8" t="s">
        <v>21</v>
      </c>
      <c r="L1067" s="8" t="s">
        <v>1422</v>
      </c>
    </row>
    <row r="1068" spans="1:12" x14ac:dyDescent="0.35">
      <c r="A1068" s="11">
        <v>1067</v>
      </c>
      <c r="B1068" s="17">
        <v>45925.922743055547</v>
      </c>
      <c r="C1068" s="18">
        <v>45925</v>
      </c>
      <c r="D1068" s="10" t="s">
        <v>79</v>
      </c>
      <c r="E1068" s="14">
        <v>50</v>
      </c>
      <c r="F1068" s="5">
        <v>0</v>
      </c>
      <c r="G1068" s="5">
        <v>14950</v>
      </c>
      <c r="H1068" s="10" t="s">
        <v>51</v>
      </c>
      <c r="I1068" s="10" t="s">
        <v>52</v>
      </c>
      <c r="J1068" s="10" t="s">
        <v>36</v>
      </c>
      <c r="K1068" s="10" t="s">
        <v>21</v>
      </c>
      <c r="L1068" s="10" t="s">
        <v>1423</v>
      </c>
    </row>
    <row r="1069" spans="1:12" x14ac:dyDescent="0.35">
      <c r="A1069" s="9">
        <v>1068</v>
      </c>
      <c r="B1069" s="19">
        <v>45925.923275462963</v>
      </c>
      <c r="C1069" s="20">
        <v>45925</v>
      </c>
      <c r="D1069" s="8" t="s">
        <v>342</v>
      </c>
      <c r="E1069" s="12">
        <v>15000</v>
      </c>
      <c r="F1069" s="3">
        <v>0</v>
      </c>
      <c r="G1069" s="3">
        <v>0</v>
      </c>
      <c r="H1069" s="8" t="s">
        <v>51</v>
      </c>
      <c r="I1069" s="8" t="s">
        <v>52</v>
      </c>
      <c r="J1069" s="8" t="s">
        <v>33</v>
      </c>
      <c r="K1069" s="8" t="s">
        <v>21</v>
      </c>
      <c r="L1069" s="8" t="s">
        <v>1424</v>
      </c>
    </row>
    <row r="1070" spans="1:12" x14ac:dyDescent="0.35">
      <c r="A1070" s="11">
        <v>1069</v>
      </c>
      <c r="B1070" s="17">
        <v>45925.923321759263</v>
      </c>
      <c r="C1070" s="18">
        <v>45925</v>
      </c>
      <c r="D1070" s="10" t="s">
        <v>394</v>
      </c>
      <c r="E1070" s="5">
        <v>0</v>
      </c>
      <c r="F1070" s="15">
        <v>50</v>
      </c>
      <c r="G1070" s="5">
        <v>15000</v>
      </c>
      <c r="H1070" s="10" t="s">
        <v>51</v>
      </c>
      <c r="I1070" s="10" t="s">
        <v>71</v>
      </c>
      <c r="J1070" s="10" t="s">
        <v>32</v>
      </c>
      <c r="K1070" s="10" t="s">
        <v>21</v>
      </c>
      <c r="L1070" s="10" t="s">
        <v>1425</v>
      </c>
    </row>
    <row r="1071" spans="1:12" x14ac:dyDescent="0.35">
      <c r="A1071" s="9">
        <v>1070</v>
      </c>
      <c r="B1071" s="19">
        <v>45926.209745370368</v>
      </c>
      <c r="C1071" s="20">
        <v>45926</v>
      </c>
      <c r="D1071" s="8" t="s">
        <v>394</v>
      </c>
      <c r="E1071" s="3">
        <v>0</v>
      </c>
      <c r="F1071" s="13">
        <v>500</v>
      </c>
      <c r="G1071" s="3">
        <v>500</v>
      </c>
      <c r="H1071" s="8" t="s">
        <v>51</v>
      </c>
      <c r="I1071" s="8" t="s">
        <v>71</v>
      </c>
      <c r="J1071" s="8" t="s">
        <v>32</v>
      </c>
      <c r="K1071" s="8" t="s">
        <v>21</v>
      </c>
      <c r="L1071" s="8" t="s">
        <v>1426</v>
      </c>
    </row>
    <row r="1072" spans="1:12" x14ac:dyDescent="0.35">
      <c r="A1072" s="11">
        <v>1071</v>
      </c>
      <c r="B1072" s="17">
        <v>45926.209745370368</v>
      </c>
      <c r="C1072" s="18">
        <v>45926</v>
      </c>
      <c r="D1072" s="10" t="s">
        <v>342</v>
      </c>
      <c r="E1072" s="14">
        <v>500</v>
      </c>
      <c r="F1072" s="5">
        <v>0</v>
      </c>
      <c r="G1072" s="5">
        <v>0</v>
      </c>
      <c r="H1072" s="10" t="s">
        <v>51</v>
      </c>
      <c r="I1072" s="10" t="s">
        <v>52</v>
      </c>
      <c r="J1072" s="10" t="s">
        <v>33</v>
      </c>
      <c r="K1072" s="10" t="s">
        <v>21</v>
      </c>
      <c r="L1072" s="10" t="s">
        <v>1427</v>
      </c>
    </row>
    <row r="1073" spans="1:12" x14ac:dyDescent="0.35">
      <c r="A1073" s="9">
        <v>1072</v>
      </c>
      <c r="B1073" s="19">
        <v>45926.470173611109</v>
      </c>
      <c r="C1073" s="20">
        <v>45926</v>
      </c>
      <c r="D1073" s="8" t="s">
        <v>1428</v>
      </c>
      <c r="E1073" s="3">
        <v>0</v>
      </c>
      <c r="F1073" s="13">
        <v>24000</v>
      </c>
      <c r="G1073" s="3">
        <v>24000</v>
      </c>
      <c r="H1073" s="8" t="s">
        <v>51</v>
      </c>
      <c r="I1073" s="8" t="s">
        <v>71</v>
      </c>
      <c r="J1073" s="8" t="s">
        <v>31</v>
      </c>
      <c r="K1073" s="8" t="s">
        <v>21</v>
      </c>
      <c r="L1073" s="8" t="s">
        <v>1429</v>
      </c>
    </row>
    <row r="1074" spans="1:12" x14ac:dyDescent="0.35">
      <c r="A1074" s="11">
        <v>1073</v>
      </c>
      <c r="B1074" s="17">
        <v>45926.470196759263</v>
      </c>
      <c r="C1074" s="18">
        <v>45926</v>
      </c>
      <c r="D1074" s="10" t="s">
        <v>79</v>
      </c>
      <c r="E1074" s="14">
        <v>50</v>
      </c>
      <c r="F1074" s="5">
        <v>0</v>
      </c>
      <c r="G1074" s="5">
        <v>23950</v>
      </c>
      <c r="H1074" s="10" t="s">
        <v>51</v>
      </c>
      <c r="I1074" s="10" t="s">
        <v>52</v>
      </c>
      <c r="J1074" s="10" t="s">
        <v>36</v>
      </c>
      <c r="K1074" s="10" t="s">
        <v>21</v>
      </c>
      <c r="L1074" s="10" t="s">
        <v>1430</v>
      </c>
    </row>
    <row r="1075" spans="1:12" x14ac:dyDescent="0.35">
      <c r="A1075" s="9">
        <v>1074</v>
      </c>
      <c r="B1075" s="19">
        <v>45926.479456018518</v>
      </c>
      <c r="C1075" s="20">
        <v>45926</v>
      </c>
      <c r="D1075" s="8" t="s">
        <v>1431</v>
      </c>
      <c r="E1075" s="12">
        <v>1000</v>
      </c>
      <c r="F1075" s="3">
        <v>0</v>
      </c>
      <c r="G1075" s="3">
        <v>22950</v>
      </c>
      <c r="H1075" s="8" t="s">
        <v>51</v>
      </c>
      <c r="I1075" s="8" t="s">
        <v>52</v>
      </c>
      <c r="J1075" s="8" t="s">
        <v>30</v>
      </c>
      <c r="K1075" s="8" t="s">
        <v>21</v>
      </c>
      <c r="L1075" s="8" t="s">
        <v>1432</v>
      </c>
    </row>
    <row r="1076" spans="1:12" x14ac:dyDescent="0.35">
      <c r="A1076" s="11">
        <v>1075</v>
      </c>
      <c r="B1076" s="17">
        <v>45926.741759259261</v>
      </c>
      <c r="C1076" s="18">
        <v>45926</v>
      </c>
      <c r="D1076" s="10" t="s">
        <v>1433</v>
      </c>
      <c r="E1076" s="14">
        <v>1000</v>
      </c>
      <c r="F1076" s="5">
        <v>0</v>
      </c>
      <c r="G1076" s="5">
        <v>21950</v>
      </c>
      <c r="H1076" s="10" t="s">
        <v>51</v>
      </c>
      <c r="I1076" s="10" t="s">
        <v>52</v>
      </c>
      <c r="J1076" s="10" t="s">
        <v>30</v>
      </c>
      <c r="K1076" s="10" t="s">
        <v>21</v>
      </c>
      <c r="L1076" s="10" t="s">
        <v>1434</v>
      </c>
    </row>
    <row r="1077" spans="1:12" x14ac:dyDescent="0.35">
      <c r="A1077" s="9">
        <v>1076</v>
      </c>
      <c r="B1077" s="19">
        <v>45926.926828703698</v>
      </c>
      <c r="C1077" s="20">
        <v>45926</v>
      </c>
      <c r="D1077" s="8" t="s">
        <v>426</v>
      </c>
      <c r="E1077" s="12">
        <v>21950</v>
      </c>
      <c r="F1077" s="3">
        <v>0</v>
      </c>
      <c r="G1077" s="3">
        <v>0</v>
      </c>
      <c r="H1077" s="8" t="s">
        <v>51</v>
      </c>
      <c r="I1077" s="8" t="s">
        <v>52</v>
      </c>
      <c r="J1077" s="8" t="s">
        <v>32</v>
      </c>
      <c r="K1077" s="8" t="s">
        <v>21</v>
      </c>
      <c r="L1077" s="8" t="s">
        <v>1435</v>
      </c>
    </row>
    <row r="1078" spans="1:12" x14ac:dyDescent="0.35">
      <c r="A1078" s="11">
        <v>1077</v>
      </c>
      <c r="B1078" s="17">
        <v>45927.209606481483</v>
      </c>
      <c r="C1078" s="18">
        <v>45927</v>
      </c>
      <c r="D1078" s="10" t="s">
        <v>394</v>
      </c>
      <c r="E1078" s="5">
        <v>0</v>
      </c>
      <c r="F1078" s="15">
        <v>500</v>
      </c>
      <c r="G1078" s="5">
        <v>500</v>
      </c>
      <c r="H1078" s="10" t="s">
        <v>51</v>
      </c>
      <c r="I1078" s="10" t="s">
        <v>71</v>
      </c>
      <c r="J1078" s="10" t="s">
        <v>32</v>
      </c>
      <c r="K1078" s="10" t="s">
        <v>21</v>
      </c>
      <c r="L1078" s="10" t="s">
        <v>1436</v>
      </c>
    </row>
    <row r="1079" spans="1:12" x14ac:dyDescent="0.35">
      <c r="A1079" s="9">
        <v>1078</v>
      </c>
      <c r="B1079" s="19">
        <v>45927.209606481483</v>
      </c>
      <c r="C1079" s="20">
        <v>45927</v>
      </c>
      <c r="D1079" s="8" t="s">
        <v>342</v>
      </c>
      <c r="E1079" s="12">
        <v>500</v>
      </c>
      <c r="F1079" s="3">
        <v>0</v>
      </c>
      <c r="G1079" s="3">
        <v>0</v>
      </c>
      <c r="H1079" s="8" t="s">
        <v>51</v>
      </c>
      <c r="I1079" s="8" t="s">
        <v>52</v>
      </c>
      <c r="J1079" s="8" t="s">
        <v>33</v>
      </c>
      <c r="K1079" s="8" t="s">
        <v>21</v>
      </c>
      <c r="L1079" s="8" t="s">
        <v>1437</v>
      </c>
    </row>
    <row r="1080" spans="1:12" x14ac:dyDescent="0.35">
      <c r="A1080" s="11">
        <v>1079</v>
      </c>
      <c r="B1080" s="17">
        <v>45927.778657407413</v>
      </c>
      <c r="C1080" s="18">
        <v>45927</v>
      </c>
      <c r="D1080" s="10" t="s">
        <v>1438</v>
      </c>
      <c r="E1080" s="14">
        <v>2000</v>
      </c>
      <c r="F1080" s="5">
        <v>0</v>
      </c>
      <c r="G1080" s="5">
        <v>0</v>
      </c>
      <c r="H1080" s="10" t="s">
        <v>51</v>
      </c>
      <c r="I1080" s="10" t="s">
        <v>52</v>
      </c>
      <c r="J1080" s="10" t="s">
        <v>30</v>
      </c>
      <c r="K1080" s="10" t="s">
        <v>21</v>
      </c>
      <c r="L1080" s="10" t="s">
        <v>1439</v>
      </c>
    </row>
    <row r="1081" spans="1:12" x14ac:dyDescent="0.35">
      <c r="A1081" s="9">
        <v>1080</v>
      </c>
      <c r="B1081" s="19">
        <v>45927.778726851851</v>
      </c>
      <c r="C1081" s="20">
        <v>45927</v>
      </c>
      <c r="D1081" s="8" t="s">
        <v>394</v>
      </c>
      <c r="E1081" s="3">
        <v>0</v>
      </c>
      <c r="F1081" s="13">
        <v>2000</v>
      </c>
      <c r="G1081" s="3">
        <v>2000</v>
      </c>
      <c r="H1081" s="8" t="s">
        <v>51</v>
      </c>
      <c r="I1081" s="8" t="s">
        <v>71</v>
      </c>
      <c r="J1081" s="8" t="s">
        <v>32</v>
      </c>
      <c r="K1081" s="8" t="s">
        <v>21</v>
      </c>
      <c r="L1081" s="8" t="s">
        <v>1440</v>
      </c>
    </row>
    <row r="1082" spans="1:12" x14ac:dyDescent="0.35">
      <c r="A1082" s="11">
        <v>1081</v>
      </c>
      <c r="B1082" s="17">
        <v>45928.209687499999</v>
      </c>
      <c r="C1082" s="18">
        <v>45928</v>
      </c>
      <c r="D1082" s="10" t="s">
        <v>342</v>
      </c>
      <c r="E1082" s="14">
        <v>500</v>
      </c>
      <c r="F1082" s="5">
        <v>0</v>
      </c>
      <c r="G1082" s="5">
        <v>0</v>
      </c>
      <c r="H1082" s="10" t="s">
        <v>51</v>
      </c>
      <c r="I1082" s="10" t="s">
        <v>52</v>
      </c>
      <c r="J1082" s="10" t="s">
        <v>33</v>
      </c>
      <c r="K1082" s="10" t="s">
        <v>21</v>
      </c>
      <c r="L1082" s="10" t="s">
        <v>1441</v>
      </c>
    </row>
    <row r="1083" spans="1:12" x14ac:dyDescent="0.35">
      <c r="A1083" s="9">
        <v>1082</v>
      </c>
      <c r="B1083" s="19">
        <v>45928.209699074083</v>
      </c>
      <c r="C1083" s="20">
        <v>45928</v>
      </c>
      <c r="D1083" s="8" t="s">
        <v>394</v>
      </c>
      <c r="E1083" s="3">
        <v>0</v>
      </c>
      <c r="F1083" s="13">
        <v>500</v>
      </c>
      <c r="G1083" s="3">
        <v>500</v>
      </c>
      <c r="H1083" s="8" t="s">
        <v>51</v>
      </c>
      <c r="I1083" s="8" t="s">
        <v>71</v>
      </c>
      <c r="J1083" s="8" t="s">
        <v>32</v>
      </c>
      <c r="K1083" s="8" t="s">
        <v>21</v>
      </c>
      <c r="L1083" s="8" t="s">
        <v>1442</v>
      </c>
    </row>
    <row r="1084" spans="1:12" x14ac:dyDescent="0.35">
      <c r="A1084" s="11">
        <v>1083</v>
      </c>
      <c r="B1084" s="17">
        <v>45928.464618055557</v>
      </c>
      <c r="C1084" s="18">
        <v>45928</v>
      </c>
      <c r="D1084" s="10" t="s">
        <v>1395</v>
      </c>
      <c r="E1084" s="14">
        <v>1500</v>
      </c>
      <c r="F1084" s="5">
        <v>0</v>
      </c>
      <c r="G1084" s="5">
        <v>0</v>
      </c>
      <c r="H1084" s="10" t="s">
        <v>51</v>
      </c>
      <c r="I1084" s="10" t="s">
        <v>52</v>
      </c>
      <c r="J1084" s="10" t="s">
        <v>30</v>
      </c>
      <c r="K1084" s="10" t="s">
        <v>21</v>
      </c>
      <c r="L1084" s="10" t="s">
        <v>1443</v>
      </c>
    </row>
    <row r="1085" spans="1:12" x14ac:dyDescent="0.35">
      <c r="A1085" s="9">
        <v>1084</v>
      </c>
      <c r="B1085" s="19">
        <v>45928.46466435185</v>
      </c>
      <c r="C1085" s="20">
        <v>45928</v>
      </c>
      <c r="D1085" s="8" t="s">
        <v>394</v>
      </c>
      <c r="E1085" s="3">
        <v>0</v>
      </c>
      <c r="F1085" s="13">
        <v>1500</v>
      </c>
      <c r="G1085" s="3">
        <v>1500</v>
      </c>
      <c r="H1085" s="8" t="s">
        <v>51</v>
      </c>
      <c r="I1085" s="8" t="s">
        <v>71</v>
      </c>
      <c r="J1085" s="8" t="s">
        <v>32</v>
      </c>
      <c r="K1085" s="8" t="s">
        <v>21</v>
      </c>
      <c r="L1085" s="8" t="s">
        <v>1444</v>
      </c>
    </row>
    <row r="1086" spans="1:12" x14ac:dyDescent="0.35">
      <c r="A1086" s="11">
        <v>1085</v>
      </c>
      <c r="B1086" s="17">
        <v>45929.209560185183</v>
      </c>
      <c r="C1086" s="18">
        <v>45929</v>
      </c>
      <c r="D1086" s="10" t="s">
        <v>394</v>
      </c>
      <c r="E1086" s="5">
        <v>0</v>
      </c>
      <c r="F1086" s="15">
        <v>500</v>
      </c>
      <c r="G1086" s="5">
        <v>500</v>
      </c>
      <c r="H1086" s="10" t="s">
        <v>51</v>
      </c>
      <c r="I1086" s="10" t="s">
        <v>71</v>
      </c>
      <c r="J1086" s="10" t="s">
        <v>32</v>
      </c>
      <c r="K1086" s="10" t="s">
        <v>21</v>
      </c>
      <c r="L1086" s="10" t="s">
        <v>1445</v>
      </c>
    </row>
    <row r="1087" spans="1:12" x14ac:dyDescent="0.35">
      <c r="A1087" s="9">
        <v>1086</v>
      </c>
      <c r="B1087" s="19">
        <v>45929.209560185183</v>
      </c>
      <c r="C1087" s="20">
        <v>45929</v>
      </c>
      <c r="D1087" s="8" t="s">
        <v>342</v>
      </c>
      <c r="E1087" s="12">
        <v>500</v>
      </c>
      <c r="F1087" s="3">
        <v>0</v>
      </c>
      <c r="G1087" s="3">
        <v>0</v>
      </c>
      <c r="H1087" s="8" t="s">
        <v>51</v>
      </c>
      <c r="I1087" s="8" t="s">
        <v>52</v>
      </c>
      <c r="J1087" s="8" t="s">
        <v>33</v>
      </c>
      <c r="K1087" s="8" t="s">
        <v>21</v>
      </c>
      <c r="L1087" s="8" t="s">
        <v>1446</v>
      </c>
    </row>
    <row r="1088" spans="1:12" x14ac:dyDescent="0.35">
      <c r="A1088" s="11">
        <v>1087</v>
      </c>
      <c r="B1088" s="17">
        <v>45929.268055555563</v>
      </c>
      <c r="C1088" s="18">
        <v>45929</v>
      </c>
      <c r="D1088" s="10" t="s">
        <v>188</v>
      </c>
      <c r="E1088" s="14">
        <v>3000</v>
      </c>
      <c r="F1088" s="5">
        <v>0</v>
      </c>
      <c r="G1088" s="5">
        <v>0</v>
      </c>
      <c r="H1088" s="10" t="s">
        <v>51</v>
      </c>
      <c r="I1088" s="10" t="s">
        <v>52</v>
      </c>
      <c r="J1088" s="10" t="s">
        <v>37</v>
      </c>
      <c r="K1088" s="10" t="s">
        <v>21</v>
      </c>
      <c r="L1088" s="10" t="s">
        <v>1447</v>
      </c>
    </row>
    <row r="1089" spans="1:12" x14ac:dyDescent="0.35">
      <c r="A1089" s="9">
        <v>1088</v>
      </c>
      <c r="B1089" s="19">
        <v>45929.268090277779</v>
      </c>
      <c r="C1089" s="20">
        <v>45929</v>
      </c>
      <c r="D1089" s="8" t="s">
        <v>394</v>
      </c>
      <c r="E1089" s="3">
        <v>0</v>
      </c>
      <c r="F1089" s="13">
        <v>3000</v>
      </c>
      <c r="G1089" s="3">
        <v>3000</v>
      </c>
      <c r="H1089" s="8" t="s">
        <v>51</v>
      </c>
      <c r="I1089" s="8" t="s">
        <v>71</v>
      </c>
      <c r="J1089" s="8" t="s">
        <v>32</v>
      </c>
      <c r="K1089" s="8" t="s">
        <v>21</v>
      </c>
      <c r="L1089" s="8" t="s">
        <v>1448</v>
      </c>
    </row>
    <row r="1090" spans="1:12" x14ac:dyDescent="0.35">
      <c r="A1090" s="11">
        <v>1089</v>
      </c>
      <c r="B1090" s="17">
        <v>45929.268321759257</v>
      </c>
      <c r="C1090" s="18">
        <v>45929</v>
      </c>
      <c r="D1090" s="10" t="s">
        <v>188</v>
      </c>
      <c r="E1090" s="14">
        <v>2961</v>
      </c>
      <c r="F1090" s="5">
        <v>0</v>
      </c>
      <c r="G1090" s="5">
        <v>0</v>
      </c>
      <c r="H1090" s="10" t="s">
        <v>51</v>
      </c>
      <c r="I1090" s="10" t="s">
        <v>52</v>
      </c>
      <c r="J1090" s="10" t="s">
        <v>37</v>
      </c>
      <c r="K1090" s="10" t="s">
        <v>21</v>
      </c>
      <c r="L1090" s="10" t="s">
        <v>1449</v>
      </c>
    </row>
    <row r="1091" spans="1:12" x14ac:dyDescent="0.35">
      <c r="A1091" s="9">
        <v>1090</v>
      </c>
      <c r="B1091" s="19">
        <v>45929.268368055556</v>
      </c>
      <c r="C1091" s="20">
        <v>45929</v>
      </c>
      <c r="D1091" s="8" t="s">
        <v>394</v>
      </c>
      <c r="E1091" s="3">
        <v>0</v>
      </c>
      <c r="F1091" s="13">
        <v>2961</v>
      </c>
      <c r="G1091" s="3">
        <v>2961</v>
      </c>
      <c r="H1091" s="8" t="s">
        <v>51</v>
      </c>
      <c r="I1091" s="8" t="s">
        <v>71</v>
      </c>
      <c r="J1091" s="8" t="s">
        <v>32</v>
      </c>
      <c r="K1091" s="8" t="s">
        <v>21</v>
      </c>
      <c r="L1091" s="8" t="s">
        <v>1450</v>
      </c>
    </row>
    <row r="1092" spans="1:12" x14ac:dyDescent="0.35">
      <c r="A1092" s="11">
        <v>1091</v>
      </c>
      <c r="B1092" s="17">
        <v>45929.397349537037</v>
      </c>
      <c r="C1092" s="18">
        <v>45929</v>
      </c>
      <c r="D1092" s="10" t="s">
        <v>1451</v>
      </c>
      <c r="E1092" s="14">
        <v>4100</v>
      </c>
      <c r="F1092" s="5">
        <v>0</v>
      </c>
      <c r="G1092" s="5">
        <v>0</v>
      </c>
      <c r="H1092" s="10" t="s">
        <v>33</v>
      </c>
      <c r="I1092" s="10" t="s">
        <v>52</v>
      </c>
      <c r="J1092" s="10" t="s">
        <v>34</v>
      </c>
      <c r="K1092" s="10" t="s">
        <v>21</v>
      </c>
      <c r="L1092" s="10" t="s">
        <v>1452</v>
      </c>
    </row>
    <row r="1093" spans="1:12" x14ac:dyDescent="0.35">
      <c r="A1093" s="9">
        <v>1092</v>
      </c>
      <c r="B1093" s="19">
        <v>45929.397349537037</v>
      </c>
      <c r="C1093" s="20">
        <v>45929</v>
      </c>
      <c r="D1093" s="8" t="s">
        <v>394</v>
      </c>
      <c r="E1093" s="3">
        <v>0</v>
      </c>
      <c r="F1093" s="13">
        <v>4100</v>
      </c>
      <c r="G1093" s="3">
        <v>4100</v>
      </c>
      <c r="H1093" s="8" t="s">
        <v>51</v>
      </c>
      <c r="I1093" s="8" t="s">
        <v>71</v>
      </c>
      <c r="J1093" s="8" t="s">
        <v>32</v>
      </c>
      <c r="K1093" s="8" t="s">
        <v>21</v>
      </c>
      <c r="L1093" s="8" t="s">
        <v>1453</v>
      </c>
    </row>
    <row r="1094" spans="1:12" x14ac:dyDescent="0.35">
      <c r="A1094" s="11">
        <v>1093</v>
      </c>
      <c r="B1094" s="17">
        <v>45929.419398148151</v>
      </c>
      <c r="C1094" s="18">
        <v>45929</v>
      </c>
      <c r="D1094" s="10" t="s">
        <v>1454</v>
      </c>
      <c r="E1094" s="14">
        <v>3100</v>
      </c>
      <c r="F1094" s="5">
        <v>0</v>
      </c>
      <c r="G1094" s="5">
        <v>0</v>
      </c>
      <c r="H1094" s="10" t="s">
        <v>33</v>
      </c>
      <c r="I1094" s="10" t="s">
        <v>52</v>
      </c>
      <c r="J1094" s="10" t="s">
        <v>34</v>
      </c>
      <c r="K1094" s="10" t="s">
        <v>21</v>
      </c>
      <c r="L1094" s="10" t="s">
        <v>1455</v>
      </c>
    </row>
    <row r="1095" spans="1:12" x14ac:dyDescent="0.35">
      <c r="A1095" s="9">
        <v>1094</v>
      </c>
      <c r="B1095" s="19">
        <v>45929.419398148151</v>
      </c>
      <c r="C1095" s="20">
        <v>45929</v>
      </c>
      <c r="D1095" s="8" t="s">
        <v>394</v>
      </c>
      <c r="E1095" s="3">
        <v>0</v>
      </c>
      <c r="F1095" s="13">
        <v>3100</v>
      </c>
      <c r="G1095" s="3">
        <v>3100</v>
      </c>
      <c r="H1095" s="8" t="s">
        <v>51</v>
      </c>
      <c r="I1095" s="8" t="s">
        <v>71</v>
      </c>
      <c r="J1095" s="8" t="s">
        <v>32</v>
      </c>
      <c r="K1095" s="8" t="s">
        <v>21</v>
      </c>
      <c r="L1095" s="8" t="s">
        <v>1456</v>
      </c>
    </row>
    <row r="1096" spans="1:12" x14ac:dyDescent="0.35">
      <c r="A1096" s="11">
        <v>1095</v>
      </c>
      <c r="B1096" s="17">
        <v>45930.209594907406</v>
      </c>
      <c r="C1096" s="18">
        <v>45930</v>
      </c>
      <c r="D1096" s="10" t="s">
        <v>394</v>
      </c>
      <c r="E1096" s="5">
        <v>0</v>
      </c>
      <c r="F1096" s="15">
        <v>500</v>
      </c>
      <c r="G1096" s="5">
        <v>500</v>
      </c>
      <c r="H1096" s="10" t="s">
        <v>51</v>
      </c>
      <c r="I1096" s="10" t="s">
        <v>71</v>
      </c>
      <c r="J1096" s="10" t="s">
        <v>32</v>
      </c>
      <c r="K1096" s="10" t="s">
        <v>21</v>
      </c>
      <c r="L1096" s="10" t="s">
        <v>1457</v>
      </c>
    </row>
    <row r="1097" spans="1:12" x14ac:dyDescent="0.35">
      <c r="A1097" s="9">
        <v>1096</v>
      </c>
      <c r="B1097" s="19">
        <v>45930.209594907406</v>
      </c>
      <c r="C1097" s="20">
        <v>45930</v>
      </c>
      <c r="D1097" s="8" t="s">
        <v>342</v>
      </c>
      <c r="E1097" s="12">
        <v>500</v>
      </c>
      <c r="F1097" s="3">
        <v>0</v>
      </c>
      <c r="G1097" s="3">
        <v>0</v>
      </c>
      <c r="H1097" s="8" t="s">
        <v>51</v>
      </c>
      <c r="I1097" s="8" t="s">
        <v>52</v>
      </c>
      <c r="J1097" s="8" t="s">
        <v>33</v>
      </c>
      <c r="K1097" s="8" t="s">
        <v>21</v>
      </c>
      <c r="L1097" s="8" t="s">
        <v>1458</v>
      </c>
    </row>
    <row r="1098" spans="1:12" x14ac:dyDescent="0.35">
      <c r="A1098" s="11">
        <v>1097</v>
      </c>
      <c r="B1098" s="17">
        <v>45930.327349537038</v>
      </c>
      <c r="C1098" s="18">
        <v>45930</v>
      </c>
      <c r="D1098" s="10" t="s">
        <v>1459</v>
      </c>
      <c r="E1098" s="14">
        <v>900</v>
      </c>
      <c r="F1098" s="5">
        <v>0</v>
      </c>
      <c r="G1098" s="5">
        <v>0</v>
      </c>
      <c r="H1098" s="10" t="s">
        <v>51</v>
      </c>
      <c r="I1098" s="10" t="s">
        <v>52</v>
      </c>
      <c r="J1098" s="10" t="s">
        <v>30</v>
      </c>
      <c r="K1098" s="10" t="s">
        <v>21</v>
      </c>
      <c r="L1098" s="10" t="s">
        <v>1460</v>
      </c>
    </row>
    <row r="1099" spans="1:12" x14ac:dyDescent="0.35">
      <c r="A1099" s="9">
        <v>1098</v>
      </c>
      <c r="B1099" s="19">
        <v>45930.32739583333</v>
      </c>
      <c r="C1099" s="20">
        <v>45930</v>
      </c>
      <c r="D1099" s="8" t="s">
        <v>394</v>
      </c>
      <c r="E1099" s="3">
        <v>0</v>
      </c>
      <c r="F1099" s="13">
        <v>900</v>
      </c>
      <c r="G1099" s="3">
        <v>900</v>
      </c>
      <c r="H1099" s="8" t="s">
        <v>51</v>
      </c>
      <c r="I1099" s="8" t="s">
        <v>71</v>
      </c>
      <c r="J1099" s="8" t="s">
        <v>32</v>
      </c>
      <c r="K1099" s="8" t="s">
        <v>21</v>
      </c>
      <c r="L1099" s="8" t="s">
        <v>1461</v>
      </c>
    </row>
    <row r="1100" spans="1:12" x14ac:dyDescent="0.35">
      <c r="A1100" s="11">
        <v>1099</v>
      </c>
      <c r="B1100" s="17">
        <v>45930.650034722217</v>
      </c>
      <c r="C1100" s="18">
        <v>45930</v>
      </c>
      <c r="D1100" s="10" t="s">
        <v>1462</v>
      </c>
      <c r="E1100" s="14">
        <v>900</v>
      </c>
      <c r="F1100" s="5">
        <v>0</v>
      </c>
      <c r="G1100" s="5">
        <v>0</v>
      </c>
      <c r="H1100" s="10" t="s">
        <v>51</v>
      </c>
      <c r="I1100" s="10" t="s">
        <v>52</v>
      </c>
      <c r="J1100" s="10" t="s">
        <v>30</v>
      </c>
      <c r="K1100" s="10" t="s">
        <v>21</v>
      </c>
      <c r="L1100" s="10" t="s">
        <v>1463</v>
      </c>
    </row>
    <row r="1101" spans="1:12" x14ac:dyDescent="0.35">
      <c r="A1101" s="9">
        <v>1100</v>
      </c>
      <c r="B1101" s="19">
        <v>45930.650277777779</v>
      </c>
      <c r="C1101" s="20">
        <v>45930</v>
      </c>
      <c r="D1101" s="8" t="s">
        <v>394</v>
      </c>
      <c r="E1101" s="3">
        <v>0</v>
      </c>
      <c r="F1101" s="13">
        <v>900</v>
      </c>
      <c r="G1101" s="3">
        <v>900</v>
      </c>
      <c r="H1101" s="8" t="s">
        <v>51</v>
      </c>
      <c r="I1101" s="8" t="s">
        <v>71</v>
      </c>
      <c r="J1101" s="8" t="s">
        <v>32</v>
      </c>
      <c r="K1101" s="8" t="s">
        <v>21</v>
      </c>
      <c r="L1101" s="8" t="s">
        <v>1464</v>
      </c>
    </row>
    <row r="1102" spans="1:12" x14ac:dyDescent="0.35">
      <c r="A1102" s="11">
        <v>1101</v>
      </c>
      <c r="B1102" s="17">
        <v>45930.874444444453</v>
      </c>
      <c r="C1102" s="18">
        <v>45930</v>
      </c>
      <c r="D1102" s="10" t="s">
        <v>1465</v>
      </c>
      <c r="E1102" s="14">
        <v>4500</v>
      </c>
      <c r="F1102" s="5">
        <v>0</v>
      </c>
      <c r="G1102" s="5">
        <v>0</v>
      </c>
      <c r="H1102" s="10" t="s">
        <v>51</v>
      </c>
      <c r="I1102" s="10" t="s">
        <v>52</v>
      </c>
      <c r="J1102" s="10" t="s">
        <v>30</v>
      </c>
      <c r="K1102" s="10" t="s">
        <v>21</v>
      </c>
      <c r="L1102" s="10" t="s">
        <v>1466</v>
      </c>
    </row>
    <row r="1103" spans="1:12" x14ac:dyDescent="0.35">
      <c r="A1103" s="9">
        <v>1102</v>
      </c>
      <c r="B1103" s="19">
        <v>45930.874479166669</v>
      </c>
      <c r="C1103" s="20">
        <v>45930</v>
      </c>
      <c r="D1103" s="8" t="s">
        <v>394</v>
      </c>
      <c r="E1103" s="3">
        <v>0</v>
      </c>
      <c r="F1103" s="13">
        <v>4500</v>
      </c>
      <c r="G1103" s="3">
        <v>4500</v>
      </c>
      <c r="H1103" s="8" t="s">
        <v>51</v>
      </c>
      <c r="I1103" s="8" t="s">
        <v>71</v>
      </c>
      <c r="J1103" s="8" t="s">
        <v>32</v>
      </c>
      <c r="K1103" s="8" t="s">
        <v>21</v>
      </c>
      <c r="L1103" s="8" t="s">
        <v>1467</v>
      </c>
    </row>
    <row r="1104" spans="1:12" x14ac:dyDescent="0.35">
      <c r="A1104" s="11">
        <v>1103</v>
      </c>
      <c r="B1104" s="17">
        <v>45931.209687499999</v>
      </c>
      <c r="C1104" s="18">
        <v>45931</v>
      </c>
      <c r="D1104" s="10" t="s">
        <v>394</v>
      </c>
      <c r="E1104" s="5">
        <v>0</v>
      </c>
      <c r="F1104" s="15">
        <v>500</v>
      </c>
      <c r="G1104" s="5">
        <v>500</v>
      </c>
      <c r="H1104" s="10" t="s">
        <v>51</v>
      </c>
      <c r="I1104" s="10" t="s">
        <v>71</v>
      </c>
      <c r="J1104" s="10" t="s">
        <v>32</v>
      </c>
      <c r="K1104" s="10" t="s">
        <v>22</v>
      </c>
      <c r="L1104" s="10" t="s">
        <v>1468</v>
      </c>
    </row>
    <row r="1105" spans="1:12" x14ac:dyDescent="0.35">
      <c r="A1105" s="9">
        <v>1104</v>
      </c>
      <c r="B1105" s="19">
        <v>45931.209687499999</v>
      </c>
      <c r="C1105" s="20">
        <v>45931</v>
      </c>
      <c r="D1105" s="8" t="s">
        <v>342</v>
      </c>
      <c r="E1105" s="12">
        <v>500</v>
      </c>
      <c r="F1105" s="3">
        <v>0</v>
      </c>
      <c r="G1105" s="3">
        <v>0</v>
      </c>
      <c r="H1105" s="8" t="s">
        <v>51</v>
      </c>
      <c r="I1105" s="8" t="s">
        <v>52</v>
      </c>
      <c r="J1105" s="8" t="s">
        <v>33</v>
      </c>
      <c r="K1105" s="8" t="s">
        <v>22</v>
      </c>
      <c r="L1105" s="8" t="s">
        <v>1469</v>
      </c>
    </row>
    <row r="1106" spans="1:12" x14ac:dyDescent="0.35">
      <c r="A1106" s="11">
        <v>1105</v>
      </c>
      <c r="B1106" s="17">
        <v>45931.331805555557</v>
      </c>
      <c r="C1106" s="18">
        <v>45931</v>
      </c>
      <c r="D1106" s="10" t="s">
        <v>1459</v>
      </c>
      <c r="E1106" s="14">
        <v>900</v>
      </c>
      <c r="F1106" s="5">
        <v>0</v>
      </c>
      <c r="G1106" s="5">
        <v>0</v>
      </c>
      <c r="H1106" s="10" t="s">
        <v>51</v>
      </c>
      <c r="I1106" s="10" t="s">
        <v>52</v>
      </c>
      <c r="J1106" s="10" t="s">
        <v>30</v>
      </c>
      <c r="K1106" s="10" t="s">
        <v>22</v>
      </c>
      <c r="L1106" s="10" t="s">
        <v>1470</v>
      </c>
    </row>
    <row r="1107" spans="1:12" x14ac:dyDescent="0.35">
      <c r="A1107" s="9">
        <v>1106</v>
      </c>
      <c r="B1107" s="19">
        <v>45931.331886574073</v>
      </c>
      <c r="C1107" s="20">
        <v>45931</v>
      </c>
      <c r="D1107" s="8" t="s">
        <v>394</v>
      </c>
      <c r="E1107" s="3">
        <v>0</v>
      </c>
      <c r="F1107" s="13">
        <v>900</v>
      </c>
      <c r="G1107" s="3">
        <v>900</v>
      </c>
      <c r="H1107" s="8" t="s">
        <v>51</v>
      </c>
      <c r="I1107" s="8" t="s">
        <v>71</v>
      </c>
      <c r="J1107" s="8" t="s">
        <v>32</v>
      </c>
      <c r="K1107" s="8" t="s">
        <v>22</v>
      </c>
      <c r="L1107" s="8" t="s">
        <v>1471</v>
      </c>
    </row>
    <row r="1108" spans="1:12" x14ac:dyDescent="0.35">
      <c r="A1108" s="11">
        <v>1107</v>
      </c>
      <c r="B1108" s="17">
        <v>45931.780798611107</v>
      </c>
      <c r="C1108" s="18">
        <v>45931</v>
      </c>
      <c r="D1108" s="10" t="s">
        <v>1472</v>
      </c>
      <c r="E1108" s="14">
        <v>1250</v>
      </c>
      <c r="F1108" s="5">
        <v>0</v>
      </c>
      <c r="G1108" s="5">
        <v>0</v>
      </c>
      <c r="H1108" s="10" t="s">
        <v>33</v>
      </c>
      <c r="I1108" s="10" t="s">
        <v>52</v>
      </c>
      <c r="J1108" s="10" t="s">
        <v>34</v>
      </c>
      <c r="K1108" s="10" t="s">
        <v>22</v>
      </c>
      <c r="L1108" s="10" t="s">
        <v>1473</v>
      </c>
    </row>
    <row r="1109" spans="1:12" x14ac:dyDescent="0.35">
      <c r="A1109" s="9">
        <v>1108</v>
      </c>
      <c r="B1109" s="19">
        <v>45931.780810185177</v>
      </c>
      <c r="C1109" s="20">
        <v>45931</v>
      </c>
      <c r="D1109" s="8" t="s">
        <v>394</v>
      </c>
      <c r="E1109" s="3">
        <v>0</v>
      </c>
      <c r="F1109" s="13">
        <v>1250</v>
      </c>
      <c r="G1109" s="3">
        <v>1250</v>
      </c>
      <c r="H1109" s="8" t="s">
        <v>51</v>
      </c>
      <c r="I1109" s="8" t="s">
        <v>71</v>
      </c>
      <c r="J1109" s="8" t="s">
        <v>32</v>
      </c>
      <c r="K1109" s="8" t="s">
        <v>22</v>
      </c>
      <c r="L1109" s="8" t="s">
        <v>1474</v>
      </c>
    </row>
    <row r="1110" spans="1:12" x14ac:dyDescent="0.35">
      <c r="A1110" s="11">
        <v>1109</v>
      </c>
      <c r="B1110" s="17">
        <v>45931.781446759262</v>
      </c>
      <c r="C1110" s="18">
        <v>45931</v>
      </c>
      <c r="D1110" s="10" t="s">
        <v>1475</v>
      </c>
      <c r="E1110" s="14">
        <v>250</v>
      </c>
      <c r="F1110" s="5">
        <v>0</v>
      </c>
      <c r="G1110" s="5">
        <v>0</v>
      </c>
      <c r="H1110" s="10" t="s">
        <v>33</v>
      </c>
      <c r="I1110" s="10" t="s">
        <v>52</v>
      </c>
      <c r="J1110" s="10" t="s">
        <v>34</v>
      </c>
      <c r="K1110" s="10" t="s">
        <v>22</v>
      </c>
      <c r="L1110" s="10" t="s">
        <v>1476</v>
      </c>
    </row>
    <row r="1111" spans="1:12" x14ac:dyDescent="0.35">
      <c r="A1111" s="9">
        <v>1110</v>
      </c>
      <c r="B1111" s="19">
        <v>45931.781446759262</v>
      </c>
      <c r="C1111" s="20">
        <v>45931</v>
      </c>
      <c r="D1111" s="8" t="s">
        <v>394</v>
      </c>
      <c r="E1111" s="3">
        <v>0</v>
      </c>
      <c r="F1111" s="13">
        <v>250</v>
      </c>
      <c r="G1111" s="3">
        <v>250</v>
      </c>
      <c r="H1111" s="8" t="s">
        <v>51</v>
      </c>
      <c r="I1111" s="8" t="s">
        <v>71</v>
      </c>
      <c r="J1111" s="8" t="s">
        <v>32</v>
      </c>
      <c r="K1111" s="8" t="s">
        <v>22</v>
      </c>
      <c r="L1111" s="8" t="s">
        <v>1477</v>
      </c>
    </row>
    <row r="1112" spans="1:12" x14ac:dyDescent="0.35">
      <c r="A1112" s="11">
        <v>1111</v>
      </c>
      <c r="B1112" s="17">
        <v>45932.209606481483</v>
      </c>
      <c r="C1112" s="18">
        <v>45932</v>
      </c>
      <c r="D1112" s="10" t="s">
        <v>394</v>
      </c>
      <c r="E1112" s="5">
        <v>0</v>
      </c>
      <c r="F1112" s="15">
        <v>500</v>
      </c>
      <c r="G1112" s="5">
        <v>500</v>
      </c>
      <c r="H1112" s="10" t="s">
        <v>51</v>
      </c>
      <c r="I1112" s="10" t="s">
        <v>71</v>
      </c>
      <c r="J1112" s="10" t="s">
        <v>32</v>
      </c>
      <c r="K1112" s="10" t="s">
        <v>22</v>
      </c>
      <c r="L1112" s="10" t="s">
        <v>1478</v>
      </c>
    </row>
    <row r="1113" spans="1:12" x14ac:dyDescent="0.35">
      <c r="A1113" s="9">
        <v>1112</v>
      </c>
      <c r="B1113" s="19">
        <v>45932.209606481483</v>
      </c>
      <c r="C1113" s="20">
        <v>45932</v>
      </c>
      <c r="D1113" s="8" t="s">
        <v>342</v>
      </c>
      <c r="E1113" s="12">
        <v>500</v>
      </c>
      <c r="F1113" s="3">
        <v>0</v>
      </c>
      <c r="G1113" s="3">
        <v>0</v>
      </c>
      <c r="H1113" s="8" t="s">
        <v>51</v>
      </c>
      <c r="I1113" s="8" t="s">
        <v>52</v>
      </c>
      <c r="J1113" s="8" t="s">
        <v>33</v>
      </c>
      <c r="K1113" s="8" t="s">
        <v>22</v>
      </c>
      <c r="L1113" s="8" t="s">
        <v>1479</v>
      </c>
    </row>
    <row r="1114" spans="1:12" x14ac:dyDescent="0.35">
      <c r="A1114" s="11">
        <v>1113</v>
      </c>
      <c r="B1114" s="17">
        <v>45932.944988425923</v>
      </c>
      <c r="C1114" s="18">
        <v>45932</v>
      </c>
      <c r="D1114" s="10" t="s">
        <v>1480</v>
      </c>
      <c r="E1114" s="5">
        <v>0</v>
      </c>
      <c r="F1114" s="15">
        <v>30000</v>
      </c>
      <c r="G1114" s="5">
        <v>30000</v>
      </c>
      <c r="H1114" s="10" t="s">
        <v>51</v>
      </c>
      <c r="I1114" s="10" t="s">
        <v>71</v>
      </c>
      <c r="J1114" s="10" t="s">
        <v>30</v>
      </c>
      <c r="K1114" s="10" t="s">
        <v>22</v>
      </c>
      <c r="L1114" s="10" t="s">
        <v>1481</v>
      </c>
    </row>
    <row r="1115" spans="1:12" x14ac:dyDescent="0.35">
      <c r="A1115" s="9">
        <v>1114</v>
      </c>
      <c r="B1115" s="19">
        <v>45932.945011574076</v>
      </c>
      <c r="C1115" s="20">
        <v>45932</v>
      </c>
      <c r="D1115" s="8" t="s">
        <v>79</v>
      </c>
      <c r="E1115" s="12">
        <v>50</v>
      </c>
      <c r="F1115" s="3">
        <v>0</v>
      </c>
      <c r="G1115" s="3">
        <v>29950</v>
      </c>
      <c r="H1115" s="8" t="s">
        <v>51</v>
      </c>
      <c r="I1115" s="8" t="s">
        <v>52</v>
      </c>
      <c r="J1115" s="8" t="s">
        <v>36</v>
      </c>
      <c r="K1115" s="8" t="s">
        <v>22</v>
      </c>
      <c r="L1115" s="8" t="s">
        <v>1482</v>
      </c>
    </row>
    <row r="1116" spans="1:12" x14ac:dyDescent="0.35">
      <c r="A1116" s="11">
        <v>1115</v>
      </c>
      <c r="B1116" s="17">
        <v>45932.945555555547</v>
      </c>
      <c r="C1116" s="18">
        <v>45932</v>
      </c>
      <c r="D1116" s="10" t="s">
        <v>342</v>
      </c>
      <c r="E1116" s="14">
        <v>30000</v>
      </c>
      <c r="F1116" s="5">
        <v>0</v>
      </c>
      <c r="G1116" s="5">
        <v>0</v>
      </c>
      <c r="H1116" s="10" t="s">
        <v>51</v>
      </c>
      <c r="I1116" s="10" t="s">
        <v>52</v>
      </c>
      <c r="J1116" s="10" t="s">
        <v>33</v>
      </c>
      <c r="K1116" s="10" t="s">
        <v>22</v>
      </c>
      <c r="L1116" s="10" t="s">
        <v>1483</v>
      </c>
    </row>
    <row r="1117" spans="1:12" x14ac:dyDescent="0.35">
      <c r="A1117" s="9">
        <v>1116</v>
      </c>
      <c r="B1117" s="19">
        <v>45932.945601851847</v>
      </c>
      <c r="C1117" s="20">
        <v>45932</v>
      </c>
      <c r="D1117" s="8" t="s">
        <v>394</v>
      </c>
      <c r="E1117" s="3">
        <v>0</v>
      </c>
      <c r="F1117" s="13">
        <v>50</v>
      </c>
      <c r="G1117" s="3">
        <v>30000</v>
      </c>
      <c r="H1117" s="8" t="s">
        <v>51</v>
      </c>
      <c r="I1117" s="8" t="s">
        <v>71</v>
      </c>
      <c r="J1117" s="8" t="s">
        <v>32</v>
      </c>
      <c r="K1117" s="8" t="s">
        <v>22</v>
      </c>
      <c r="L1117" s="8" t="s">
        <v>1484</v>
      </c>
    </row>
    <row r="1118" spans="1:12" x14ac:dyDescent="0.35">
      <c r="A1118" s="11">
        <v>1117</v>
      </c>
      <c r="B1118" s="17">
        <v>45933.209687499999</v>
      </c>
      <c r="C1118" s="18">
        <v>45933</v>
      </c>
      <c r="D1118" s="10" t="s">
        <v>394</v>
      </c>
      <c r="E1118" s="5">
        <v>0</v>
      </c>
      <c r="F1118" s="15">
        <v>500</v>
      </c>
      <c r="G1118" s="5">
        <v>500</v>
      </c>
      <c r="H1118" s="10" t="s">
        <v>51</v>
      </c>
      <c r="I1118" s="10" t="s">
        <v>71</v>
      </c>
      <c r="J1118" s="10" t="s">
        <v>32</v>
      </c>
      <c r="K1118" s="10" t="s">
        <v>22</v>
      </c>
      <c r="L1118" s="10" t="s">
        <v>1485</v>
      </c>
    </row>
    <row r="1119" spans="1:12" x14ac:dyDescent="0.35">
      <c r="A1119" s="9">
        <v>1118</v>
      </c>
      <c r="B1119" s="19">
        <v>45933.209687499999</v>
      </c>
      <c r="C1119" s="20">
        <v>45933</v>
      </c>
      <c r="D1119" s="8" t="s">
        <v>342</v>
      </c>
      <c r="E1119" s="12">
        <v>500</v>
      </c>
      <c r="F1119" s="3">
        <v>0</v>
      </c>
      <c r="G1119" s="3">
        <v>0</v>
      </c>
      <c r="H1119" s="8" t="s">
        <v>51</v>
      </c>
      <c r="I1119" s="8" t="s">
        <v>52</v>
      </c>
      <c r="J1119" s="8" t="s">
        <v>33</v>
      </c>
      <c r="K1119" s="8" t="s">
        <v>22</v>
      </c>
      <c r="L1119" s="8" t="s">
        <v>1486</v>
      </c>
    </row>
    <row r="1120" spans="1:12" x14ac:dyDescent="0.35">
      <c r="A1120" s="11">
        <v>1119</v>
      </c>
      <c r="B1120" s="17">
        <v>45933.551226851851</v>
      </c>
      <c r="C1120" s="18">
        <v>45933</v>
      </c>
      <c r="D1120" s="10" t="s">
        <v>1487</v>
      </c>
      <c r="E1120" s="5">
        <v>0</v>
      </c>
      <c r="F1120" s="15">
        <v>27000</v>
      </c>
      <c r="G1120" s="5">
        <v>27000</v>
      </c>
      <c r="H1120" s="10" t="s">
        <v>51</v>
      </c>
      <c r="I1120" s="10" t="s">
        <v>71</v>
      </c>
      <c r="J1120" s="10" t="s">
        <v>31</v>
      </c>
      <c r="K1120" s="10" t="s">
        <v>22</v>
      </c>
      <c r="L1120" s="10" t="s">
        <v>1488</v>
      </c>
    </row>
    <row r="1121" spans="1:12" x14ac:dyDescent="0.35">
      <c r="A1121" s="9">
        <v>1120</v>
      </c>
      <c r="B1121" s="19">
        <v>45933.551249999997</v>
      </c>
      <c r="C1121" s="20">
        <v>45933</v>
      </c>
      <c r="D1121" s="8" t="s">
        <v>79</v>
      </c>
      <c r="E1121" s="12">
        <v>50</v>
      </c>
      <c r="F1121" s="3">
        <v>0</v>
      </c>
      <c r="G1121" s="3">
        <v>26950</v>
      </c>
      <c r="H1121" s="8" t="s">
        <v>51</v>
      </c>
      <c r="I1121" s="8" t="s">
        <v>52</v>
      </c>
      <c r="J1121" s="8" t="s">
        <v>36</v>
      </c>
      <c r="K1121" s="8" t="s">
        <v>22</v>
      </c>
      <c r="L1121" s="8" t="s">
        <v>1489</v>
      </c>
    </row>
    <row r="1122" spans="1:12" x14ac:dyDescent="0.35">
      <c r="A1122" s="11">
        <v>1121</v>
      </c>
      <c r="B1122" s="17">
        <v>45933.716481481482</v>
      </c>
      <c r="C1122" s="18">
        <v>45933</v>
      </c>
      <c r="D1122" s="10" t="s">
        <v>1490</v>
      </c>
      <c r="E1122" s="14">
        <v>1000</v>
      </c>
      <c r="F1122" s="5">
        <v>0</v>
      </c>
      <c r="G1122" s="5">
        <v>25950</v>
      </c>
      <c r="H1122" s="10" t="s">
        <v>51</v>
      </c>
      <c r="I1122" s="10" t="s">
        <v>52</v>
      </c>
      <c r="J1122" s="10" t="s">
        <v>30</v>
      </c>
      <c r="K1122" s="10" t="s">
        <v>22</v>
      </c>
      <c r="L1122" s="10" t="s">
        <v>1491</v>
      </c>
    </row>
    <row r="1123" spans="1:12" x14ac:dyDescent="0.35">
      <c r="A1123" s="9">
        <v>1122</v>
      </c>
      <c r="B1123" s="19">
        <v>45933.755694444437</v>
      </c>
      <c r="C1123" s="20">
        <v>45933</v>
      </c>
      <c r="D1123" s="8" t="s">
        <v>551</v>
      </c>
      <c r="E1123" s="3">
        <v>0</v>
      </c>
      <c r="F1123" s="13">
        <v>20000</v>
      </c>
      <c r="G1123" s="3">
        <v>45950</v>
      </c>
      <c r="H1123" s="8" t="s">
        <v>51</v>
      </c>
      <c r="I1123" s="8" t="s">
        <v>71</v>
      </c>
      <c r="J1123" s="8" t="s">
        <v>31</v>
      </c>
      <c r="K1123" s="8" t="s">
        <v>22</v>
      </c>
      <c r="L1123" s="8" t="s">
        <v>1492</v>
      </c>
    </row>
    <row r="1124" spans="1:12" x14ac:dyDescent="0.35">
      <c r="A1124" s="11">
        <v>1123</v>
      </c>
      <c r="B1124" s="17">
        <v>45933.75571759259</v>
      </c>
      <c r="C1124" s="18">
        <v>45933</v>
      </c>
      <c r="D1124" s="10" t="s">
        <v>79</v>
      </c>
      <c r="E1124" s="14">
        <v>50</v>
      </c>
      <c r="F1124" s="5">
        <v>0</v>
      </c>
      <c r="G1124" s="5">
        <v>45900</v>
      </c>
      <c r="H1124" s="10" t="s">
        <v>51</v>
      </c>
      <c r="I1124" s="10" t="s">
        <v>52</v>
      </c>
      <c r="J1124" s="10" t="s">
        <v>36</v>
      </c>
      <c r="K1124" s="10" t="s">
        <v>22</v>
      </c>
      <c r="L1124" s="10" t="s">
        <v>1493</v>
      </c>
    </row>
    <row r="1125" spans="1:12" x14ac:dyDescent="0.35">
      <c r="A1125" s="9">
        <v>1124</v>
      </c>
      <c r="B1125" s="19">
        <v>45933.780185185176</v>
      </c>
      <c r="C1125" s="20">
        <v>45933</v>
      </c>
      <c r="D1125" s="8" t="s">
        <v>1494</v>
      </c>
      <c r="E1125" s="12">
        <v>43000</v>
      </c>
      <c r="F1125" s="3">
        <v>0</v>
      </c>
      <c r="G1125" s="3">
        <v>2900</v>
      </c>
      <c r="H1125" s="8" t="s">
        <v>51</v>
      </c>
      <c r="I1125" s="8" t="s">
        <v>52</v>
      </c>
      <c r="J1125" s="8" t="s">
        <v>30</v>
      </c>
      <c r="K1125" s="8" t="s">
        <v>22</v>
      </c>
      <c r="L1125" s="8" t="s">
        <v>1495</v>
      </c>
    </row>
    <row r="1126" spans="1:12" x14ac:dyDescent="0.35">
      <c r="A1126" s="11">
        <v>1125</v>
      </c>
      <c r="B1126" s="17">
        <v>45933.927581018521</v>
      </c>
      <c r="C1126" s="18">
        <v>45933</v>
      </c>
      <c r="D1126" s="10" t="s">
        <v>426</v>
      </c>
      <c r="E1126" s="14">
        <v>2900</v>
      </c>
      <c r="F1126" s="5">
        <v>0</v>
      </c>
      <c r="G1126" s="5">
        <v>0</v>
      </c>
      <c r="H1126" s="10" t="s">
        <v>51</v>
      </c>
      <c r="I1126" s="10" t="s">
        <v>52</v>
      </c>
      <c r="J1126" s="10" t="s">
        <v>32</v>
      </c>
      <c r="K1126" s="10" t="s">
        <v>22</v>
      </c>
      <c r="L1126" s="10" t="s">
        <v>1496</v>
      </c>
    </row>
    <row r="1127" spans="1:12" x14ac:dyDescent="0.35">
      <c r="A1127" s="9">
        <v>1126</v>
      </c>
      <c r="B1127" s="19">
        <v>45934.209664351853</v>
      </c>
      <c r="C1127" s="20">
        <v>45934</v>
      </c>
      <c r="D1127" s="8" t="s">
        <v>394</v>
      </c>
      <c r="E1127" s="3">
        <v>0</v>
      </c>
      <c r="F1127" s="13">
        <v>500</v>
      </c>
      <c r="G1127" s="3">
        <v>500</v>
      </c>
      <c r="H1127" s="8" t="s">
        <v>51</v>
      </c>
      <c r="I1127" s="8" t="s">
        <v>71</v>
      </c>
      <c r="J1127" s="8" t="s">
        <v>32</v>
      </c>
      <c r="K1127" s="8" t="s">
        <v>22</v>
      </c>
      <c r="L1127" s="8" t="s">
        <v>1497</v>
      </c>
    </row>
    <row r="1128" spans="1:12" x14ac:dyDescent="0.35">
      <c r="A1128" s="11">
        <v>1127</v>
      </c>
      <c r="B1128" s="17">
        <v>45934.209664351853</v>
      </c>
      <c r="C1128" s="18">
        <v>45934</v>
      </c>
      <c r="D1128" s="10" t="s">
        <v>342</v>
      </c>
      <c r="E1128" s="14">
        <v>500</v>
      </c>
      <c r="F1128" s="5">
        <v>0</v>
      </c>
      <c r="G1128" s="5">
        <v>0</v>
      </c>
      <c r="H1128" s="10" t="s">
        <v>51</v>
      </c>
      <c r="I1128" s="10" t="s">
        <v>52</v>
      </c>
      <c r="J1128" s="10" t="s">
        <v>33</v>
      </c>
      <c r="K1128" s="10" t="s">
        <v>22</v>
      </c>
      <c r="L1128" s="10" t="s">
        <v>1498</v>
      </c>
    </row>
    <row r="1129" spans="1:12" x14ac:dyDescent="0.35">
      <c r="A1129" s="9">
        <v>1128</v>
      </c>
      <c r="B1129" s="19">
        <v>45934.629560185182</v>
      </c>
      <c r="C1129" s="20">
        <v>45934</v>
      </c>
      <c r="D1129" s="8" t="s">
        <v>323</v>
      </c>
      <c r="E1129" s="12">
        <v>1500</v>
      </c>
      <c r="F1129" s="3">
        <v>0</v>
      </c>
      <c r="G1129" s="3">
        <v>0</v>
      </c>
      <c r="H1129" s="8" t="s">
        <v>51</v>
      </c>
      <c r="I1129" s="8" t="s">
        <v>52</v>
      </c>
      <c r="J1129" s="8" t="s">
        <v>30</v>
      </c>
      <c r="K1129" s="8" t="s">
        <v>22</v>
      </c>
      <c r="L1129" s="8" t="s">
        <v>1499</v>
      </c>
    </row>
    <row r="1130" spans="1:12" x14ac:dyDescent="0.35">
      <c r="A1130" s="11">
        <v>1129</v>
      </c>
      <c r="B1130" s="17">
        <v>45934.629664351851</v>
      </c>
      <c r="C1130" s="18">
        <v>45934</v>
      </c>
      <c r="D1130" s="10" t="s">
        <v>394</v>
      </c>
      <c r="E1130" s="5">
        <v>0</v>
      </c>
      <c r="F1130" s="15">
        <v>1500</v>
      </c>
      <c r="G1130" s="5">
        <v>1500</v>
      </c>
      <c r="H1130" s="10" t="s">
        <v>51</v>
      </c>
      <c r="I1130" s="10" t="s">
        <v>71</v>
      </c>
      <c r="J1130" s="10" t="s">
        <v>32</v>
      </c>
      <c r="K1130" s="10" t="s">
        <v>22</v>
      </c>
      <c r="L1130" s="10" t="s">
        <v>1500</v>
      </c>
    </row>
    <row r="1131" spans="1:12" x14ac:dyDescent="0.35">
      <c r="A1131" s="9">
        <v>1130</v>
      </c>
      <c r="B1131" s="19">
        <v>45935.209664351853</v>
      </c>
      <c r="C1131" s="20">
        <v>45935</v>
      </c>
      <c r="D1131" s="8" t="s">
        <v>342</v>
      </c>
      <c r="E1131" s="12">
        <v>500</v>
      </c>
      <c r="F1131" s="3">
        <v>0</v>
      </c>
      <c r="G1131" s="3">
        <v>0</v>
      </c>
      <c r="H1131" s="8" t="s">
        <v>51</v>
      </c>
      <c r="I1131" s="8" t="s">
        <v>52</v>
      </c>
      <c r="J1131" s="8" t="s">
        <v>33</v>
      </c>
      <c r="K1131" s="8" t="s">
        <v>22</v>
      </c>
      <c r="L1131" s="8" t="s">
        <v>1501</v>
      </c>
    </row>
    <row r="1132" spans="1:12" x14ac:dyDescent="0.35">
      <c r="A1132" s="11">
        <v>1131</v>
      </c>
      <c r="B1132" s="17">
        <v>45935.209675925929</v>
      </c>
      <c r="C1132" s="18">
        <v>45935</v>
      </c>
      <c r="D1132" s="10" t="s">
        <v>394</v>
      </c>
      <c r="E1132" s="5">
        <v>0</v>
      </c>
      <c r="F1132" s="15">
        <v>500</v>
      </c>
      <c r="G1132" s="5">
        <v>500</v>
      </c>
      <c r="H1132" s="10" t="s">
        <v>51</v>
      </c>
      <c r="I1132" s="10" t="s">
        <v>71</v>
      </c>
      <c r="J1132" s="10" t="s">
        <v>32</v>
      </c>
      <c r="K1132" s="10" t="s">
        <v>22</v>
      </c>
      <c r="L1132" s="10" t="s">
        <v>1502</v>
      </c>
    </row>
    <row r="1133" spans="1:12" x14ac:dyDescent="0.35">
      <c r="A1133" s="9">
        <v>1132</v>
      </c>
      <c r="B1133" s="19">
        <v>45935.360081018523</v>
      </c>
      <c r="C1133" s="20">
        <v>45935</v>
      </c>
      <c r="D1133" s="8" t="s">
        <v>276</v>
      </c>
      <c r="E1133" s="12">
        <v>900</v>
      </c>
      <c r="F1133" s="3">
        <v>0</v>
      </c>
      <c r="G1133" s="3">
        <v>0</v>
      </c>
      <c r="H1133" s="8" t="s">
        <v>51</v>
      </c>
      <c r="I1133" s="8" t="s">
        <v>52</v>
      </c>
      <c r="J1133" s="8" t="s">
        <v>36</v>
      </c>
      <c r="K1133" s="8" t="s">
        <v>22</v>
      </c>
      <c r="L1133" s="8" t="s">
        <v>1503</v>
      </c>
    </row>
    <row r="1134" spans="1:12" x14ac:dyDescent="0.35">
      <c r="A1134" s="11">
        <v>1133</v>
      </c>
      <c r="B1134" s="17">
        <v>45935.360115740739</v>
      </c>
      <c r="C1134" s="18">
        <v>45935</v>
      </c>
      <c r="D1134" s="10" t="s">
        <v>394</v>
      </c>
      <c r="E1134" s="5">
        <v>0</v>
      </c>
      <c r="F1134" s="15">
        <v>900</v>
      </c>
      <c r="G1134" s="5">
        <v>900</v>
      </c>
      <c r="H1134" s="10" t="s">
        <v>51</v>
      </c>
      <c r="I1134" s="10" t="s">
        <v>71</v>
      </c>
      <c r="J1134" s="10" t="s">
        <v>32</v>
      </c>
      <c r="K1134" s="10" t="s">
        <v>22</v>
      </c>
      <c r="L1134" s="10" t="s">
        <v>1504</v>
      </c>
    </row>
    <row r="1135" spans="1:12" x14ac:dyDescent="0.35">
      <c r="A1135" s="9">
        <v>1134</v>
      </c>
      <c r="B1135" s="19">
        <v>45936.209606481483</v>
      </c>
      <c r="C1135" s="20">
        <v>45936</v>
      </c>
      <c r="D1135" s="8" t="s">
        <v>342</v>
      </c>
      <c r="E1135" s="12">
        <v>500</v>
      </c>
      <c r="F1135" s="3">
        <v>0</v>
      </c>
      <c r="G1135" s="3">
        <v>0</v>
      </c>
      <c r="H1135" s="8" t="s">
        <v>51</v>
      </c>
      <c r="I1135" s="8" t="s">
        <v>52</v>
      </c>
      <c r="J1135" s="8" t="s">
        <v>33</v>
      </c>
      <c r="K1135" s="8" t="s">
        <v>22</v>
      </c>
      <c r="L1135" s="8" t="s">
        <v>1505</v>
      </c>
    </row>
    <row r="1136" spans="1:12" x14ac:dyDescent="0.35">
      <c r="A1136" s="11">
        <v>1135</v>
      </c>
      <c r="B1136" s="17">
        <v>45936.209618055553</v>
      </c>
      <c r="C1136" s="18">
        <v>45936</v>
      </c>
      <c r="D1136" s="10" t="s">
        <v>394</v>
      </c>
      <c r="E1136" s="5">
        <v>0</v>
      </c>
      <c r="F1136" s="15">
        <v>500</v>
      </c>
      <c r="G1136" s="5">
        <v>500</v>
      </c>
      <c r="H1136" s="10" t="s">
        <v>51</v>
      </c>
      <c r="I1136" s="10" t="s">
        <v>71</v>
      </c>
      <c r="J1136" s="10" t="s">
        <v>32</v>
      </c>
      <c r="K1136" s="10" t="s">
        <v>22</v>
      </c>
      <c r="L1136" s="10" t="s">
        <v>1506</v>
      </c>
    </row>
    <row r="1137" spans="1:12" x14ac:dyDescent="0.35">
      <c r="A1137" s="9">
        <v>1136</v>
      </c>
      <c r="B1137" s="19">
        <v>45937.209178240737</v>
      </c>
      <c r="C1137" s="20">
        <v>45937</v>
      </c>
      <c r="D1137" s="8" t="s">
        <v>394</v>
      </c>
      <c r="E1137" s="3">
        <v>0</v>
      </c>
      <c r="F1137" s="13">
        <v>500</v>
      </c>
      <c r="G1137" s="3">
        <v>500</v>
      </c>
      <c r="H1137" s="8" t="s">
        <v>51</v>
      </c>
      <c r="I1137" s="8" t="s">
        <v>71</v>
      </c>
      <c r="J1137" s="8" t="s">
        <v>32</v>
      </c>
      <c r="K1137" s="8" t="s">
        <v>22</v>
      </c>
      <c r="L1137" s="8" t="s">
        <v>1507</v>
      </c>
    </row>
    <row r="1138" spans="1:12" x14ac:dyDescent="0.35">
      <c r="A1138" s="11">
        <v>1137</v>
      </c>
      <c r="B1138" s="17">
        <v>45937.209178240737</v>
      </c>
      <c r="C1138" s="18">
        <v>45937</v>
      </c>
      <c r="D1138" s="10" t="s">
        <v>342</v>
      </c>
      <c r="E1138" s="14">
        <v>500</v>
      </c>
      <c r="F1138" s="5">
        <v>0</v>
      </c>
      <c r="G1138" s="5">
        <v>0</v>
      </c>
      <c r="H1138" s="10" t="s">
        <v>51</v>
      </c>
      <c r="I1138" s="10" t="s">
        <v>52</v>
      </c>
      <c r="J1138" s="10" t="s">
        <v>33</v>
      </c>
      <c r="K1138" s="10" t="s">
        <v>22</v>
      </c>
      <c r="L1138" s="10" t="s">
        <v>1508</v>
      </c>
    </row>
    <row r="1139" spans="1:12" x14ac:dyDescent="0.35">
      <c r="A1139" s="9">
        <v>1138</v>
      </c>
      <c r="B1139" s="19">
        <v>45937.576226851852</v>
      </c>
      <c r="C1139" s="20">
        <v>45937</v>
      </c>
      <c r="D1139" s="8" t="s">
        <v>339</v>
      </c>
      <c r="E1139" s="12">
        <v>452</v>
      </c>
      <c r="F1139" s="3">
        <v>0</v>
      </c>
      <c r="G1139" s="3">
        <v>0</v>
      </c>
      <c r="H1139" s="8" t="s">
        <v>51</v>
      </c>
      <c r="I1139" s="8" t="s">
        <v>52</v>
      </c>
      <c r="J1139" s="8" t="s">
        <v>36</v>
      </c>
      <c r="K1139" s="8" t="s">
        <v>22</v>
      </c>
      <c r="L1139" s="8" t="s">
        <v>1509</v>
      </c>
    </row>
    <row r="1140" spans="1:12" x14ac:dyDescent="0.35">
      <c r="A1140" s="11">
        <v>1139</v>
      </c>
      <c r="B1140" s="17">
        <v>45937.576319444437</v>
      </c>
      <c r="C1140" s="18">
        <v>45937</v>
      </c>
      <c r="D1140" s="10" t="s">
        <v>394</v>
      </c>
      <c r="E1140" s="5">
        <v>0</v>
      </c>
      <c r="F1140" s="15">
        <v>452</v>
      </c>
      <c r="G1140" s="5">
        <v>452</v>
      </c>
      <c r="H1140" s="10" t="s">
        <v>51</v>
      </c>
      <c r="I1140" s="10" t="s">
        <v>71</v>
      </c>
      <c r="J1140" s="10" t="s">
        <v>32</v>
      </c>
      <c r="K1140" s="10" t="s">
        <v>22</v>
      </c>
      <c r="L1140" s="10" t="s">
        <v>1510</v>
      </c>
    </row>
    <row r="1141" spans="1:12" x14ac:dyDescent="0.35">
      <c r="A1141" s="9">
        <v>1140</v>
      </c>
      <c r="B1141" s="19">
        <v>45938.20952546296</v>
      </c>
      <c r="C1141" s="20">
        <v>45938</v>
      </c>
      <c r="D1141" s="8" t="s">
        <v>394</v>
      </c>
      <c r="E1141" s="3">
        <v>0</v>
      </c>
      <c r="F1141" s="13">
        <v>500</v>
      </c>
      <c r="G1141" s="3">
        <v>500</v>
      </c>
      <c r="H1141" s="8" t="s">
        <v>51</v>
      </c>
      <c r="I1141" s="8" t="s">
        <v>71</v>
      </c>
      <c r="J1141" s="8" t="s">
        <v>32</v>
      </c>
      <c r="K1141" s="8" t="s">
        <v>22</v>
      </c>
      <c r="L1141" s="8" t="s">
        <v>1511</v>
      </c>
    </row>
    <row r="1142" spans="1:12" x14ac:dyDescent="0.35">
      <c r="A1142" s="11">
        <v>1141</v>
      </c>
      <c r="B1142" s="17">
        <v>45938.20952546296</v>
      </c>
      <c r="C1142" s="18">
        <v>45938</v>
      </c>
      <c r="D1142" s="10" t="s">
        <v>342</v>
      </c>
      <c r="E1142" s="14">
        <v>500</v>
      </c>
      <c r="F1142" s="5">
        <v>0</v>
      </c>
      <c r="G1142" s="5">
        <v>0</v>
      </c>
      <c r="H1142" s="10" t="s">
        <v>51</v>
      </c>
      <c r="I1142" s="10" t="s">
        <v>52</v>
      </c>
      <c r="J1142" s="10" t="s">
        <v>33</v>
      </c>
      <c r="K1142" s="10" t="s">
        <v>22</v>
      </c>
      <c r="L1142" s="10" t="s">
        <v>1512</v>
      </c>
    </row>
    <row r="1143" spans="1:12" x14ac:dyDescent="0.35">
      <c r="A1143" s="9">
        <v>1142</v>
      </c>
      <c r="B1143" s="19">
        <v>45939.209224537037</v>
      </c>
      <c r="C1143" s="20">
        <v>45939</v>
      </c>
      <c r="D1143" s="8" t="s">
        <v>394</v>
      </c>
      <c r="E1143" s="3">
        <v>0</v>
      </c>
      <c r="F1143" s="13">
        <v>500</v>
      </c>
      <c r="G1143" s="3">
        <v>500</v>
      </c>
      <c r="H1143" s="8" t="s">
        <v>51</v>
      </c>
      <c r="I1143" s="8" t="s">
        <v>71</v>
      </c>
      <c r="J1143" s="8" t="s">
        <v>32</v>
      </c>
      <c r="K1143" s="8" t="s">
        <v>22</v>
      </c>
      <c r="L1143" s="8" t="s">
        <v>1513</v>
      </c>
    </row>
    <row r="1144" spans="1:12" x14ac:dyDescent="0.35">
      <c r="A1144" s="11">
        <v>1143</v>
      </c>
      <c r="B1144" s="17">
        <v>45939.209224537037</v>
      </c>
      <c r="C1144" s="18">
        <v>45939</v>
      </c>
      <c r="D1144" s="10" t="s">
        <v>342</v>
      </c>
      <c r="E1144" s="14">
        <v>500</v>
      </c>
      <c r="F1144" s="5">
        <v>0</v>
      </c>
      <c r="G1144" s="5">
        <v>0</v>
      </c>
      <c r="H1144" s="10" t="s">
        <v>51</v>
      </c>
      <c r="I1144" s="10" t="s">
        <v>52</v>
      </c>
      <c r="J1144" s="10" t="s">
        <v>33</v>
      </c>
      <c r="K1144" s="10" t="s">
        <v>22</v>
      </c>
      <c r="L1144" s="10" t="s">
        <v>1514</v>
      </c>
    </row>
    <row r="1145" spans="1:12" x14ac:dyDescent="0.35">
      <c r="A1145" s="9">
        <v>1144</v>
      </c>
      <c r="B1145" s="19">
        <v>45940.209502314807</v>
      </c>
      <c r="C1145" s="20">
        <v>45940</v>
      </c>
      <c r="D1145" s="8" t="s">
        <v>342</v>
      </c>
      <c r="E1145" s="12">
        <v>500</v>
      </c>
      <c r="F1145" s="3">
        <v>0</v>
      </c>
      <c r="G1145" s="3">
        <v>0</v>
      </c>
      <c r="H1145" s="8" t="s">
        <v>51</v>
      </c>
      <c r="I1145" s="8" t="s">
        <v>52</v>
      </c>
      <c r="J1145" s="8" t="s">
        <v>33</v>
      </c>
      <c r="K1145" s="8" t="s">
        <v>22</v>
      </c>
      <c r="L1145" s="8" t="s">
        <v>1515</v>
      </c>
    </row>
    <row r="1146" spans="1:12" x14ac:dyDescent="0.35">
      <c r="A1146" s="11">
        <v>1145</v>
      </c>
      <c r="B1146" s="17">
        <v>45940.209513888891</v>
      </c>
      <c r="C1146" s="18">
        <v>45940</v>
      </c>
      <c r="D1146" s="10" t="s">
        <v>394</v>
      </c>
      <c r="E1146" s="5">
        <v>0</v>
      </c>
      <c r="F1146" s="15">
        <v>500</v>
      </c>
      <c r="G1146" s="5">
        <v>500</v>
      </c>
      <c r="H1146" s="10" t="s">
        <v>51</v>
      </c>
      <c r="I1146" s="10" t="s">
        <v>71</v>
      </c>
      <c r="J1146" s="10" t="s">
        <v>32</v>
      </c>
      <c r="K1146" s="10" t="s">
        <v>22</v>
      </c>
      <c r="L1146" s="10" t="s">
        <v>1516</v>
      </c>
    </row>
    <row r="1147" spans="1:12" x14ac:dyDescent="0.35">
      <c r="A1147" s="9">
        <v>1146</v>
      </c>
      <c r="B1147" s="19">
        <v>45940.586261574077</v>
      </c>
      <c r="C1147" s="20">
        <v>45940</v>
      </c>
      <c r="D1147" s="8" t="s">
        <v>551</v>
      </c>
      <c r="E1147" s="3">
        <v>0</v>
      </c>
      <c r="F1147" s="13">
        <v>20000</v>
      </c>
      <c r="G1147" s="3">
        <v>20000</v>
      </c>
      <c r="H1147" s="8" t="s">
        <v>51</v>
      </c>
      <c r="I1147" s="8" t="s">
        <v>71</v>
      </c>
      <c r="J1147" s="8" t="s">
        <v>31</v>
      </c>
      <c r="K1147" s="8" t="s">
        <v>22</v>
      </c>
      <c r="L1147" s="8" t="s">
        <v>1517</v>
      </c>
    </row>
    <row r="1148" spans="1:12" x14ac:dyDescent="0.35">
      <c r="A1148" s="11">
        <v>1147</v>
      </c>
      <c r="B1148" s="17">
        <v>45940.586284722223</v>
      </c>
      <c r="C1148" s="18">
        <v>45940</v>
      </c>
      <c r="D1148" s="10" t="s">
        <v>79</v>
      </c>
      <c r="E1148" s="14">
        <v>50</v>
      </c>
      <c r="F1148" s="5">
        <v>0</v>
      </c>
      <c r="G1148" s="5">
        <v>19950</v>
      </c>
      <c r="H1148" s="10" t="s">
        <v>51</v>
      </c>
      <c r="I1148" s="10" t="s">
        <v>52</v>
      </c>
      <c r="J1148" s="10" t="s">
        <v>36</v>
      </c>
      <c r="K1148" s="10" t="s">
        <v>22</v>
      </c>
      <c r="L1148" s="10" t="s">
        <v>1518</v>
      </c>
    </row>
    <row r="1149" spans="1:12" x14ac:dyDescent="0.35">
      <c r="A1149" s="9">
        <v>1148</v>
      </c>
      <c r="B1149" s="19">
        <v>45940.586759259262</v>
      </c>
      <c r="C1149" s="20">
        <v>45940</v>
      </c>
      <c r="D1149" s="8" t="s">
        <v>551</v>
      </c>
      <c r="E1149" s="3">
        <v>0</v>
      </c>
      <c r="F1149" s="13">
        <v>20000</v>
      </c>
      <c r="G1149" s="3">
        <v>39950</v>
      </c>
      <c r="H1149" s="8" t="s">
        <v>51</v>
      </c>
      <c r="I1149" s="8" t="s">
        <v>71</v>
      </c>
      <c r="J1149" s="8" t="s">
        <v>31</v>
      </c>
      <c r="K1149" s="8" t="s">
        <v>22</v>
      </c>
      <c r="L1149" s="8" t="s">
        <v>1519</v>
      </c>
    </row>
    <row r="1150" spans="1:12" x14ac:dyDescent="0.35">
      <c r="A1150" s="11">
        <v>1149</v>
      </c>
      <c r="B1150" s="17">
        <v>45940.586793981478</v>
      </c>
      <c r="C1150" s="18">
        <v>45940</v>
      </c>
      <c r="D1150" s="10" t="s">
        <v>79</v>
      </c>
      <c r="E1150" s="14">
        <v>50</v>
      </c>
      <c r="F1150" s="5">
        <v>0</v>
      </c>
      <c r="G1150" s="5">
        <v>39900</v>
      </c>
      <c r="H1150" s="10" t="s">
        <v>51</v>
      </c>
      <c r="I1150" s="10" t="s">
        <v>52</v>
      </c>
      <c r="J1150" s="10" t="s">
        <v>36</v>
      </c>
      <c r="K1150" s="10" t="s">
        <v>22</v>
      </c>
      <c r="L1150" s="10" t="s">
        <v>1520</v>
      </c>
    </row>
    <row r="1151" spans="1:12" x14ac:dyDescent="0.35">
      <c r="A1151" s="9">
        <v>1150</v>
      </c>
      <c r="B1151" s="19">
        <v>45940.590370370373</v>
      </c>
      <c r="C1151" s="20">
        <v>45940</v>
      </c>
      <c r="D1151" s="8" t="s">
        <v>1521</v>
      </c>
      <c r="E1151" s="12">
        <v>34000</v>
      </c>
      <c r="F1151" s="3">
        <v>0</v>
      </c>
      <c r="G1151" s="3">
        <v>5900</v>
      </c>
      <c r="H1151" s="8" t="s">
        <v>51</v>
      </c>
      <c r="I1151" s="8" t="s">
        <v>52</v>
      </c>
      <c r="J1151" s="8" t="s">
        <v>30</v>
      </c>
      <c r="K1151" s="8" t="s">
        <v>22</v>
      </c>
      <c r="L1151" s="8" t="s">
        <v>1522</v>
      </c>
    </row>
    <row r="1152" spans="1:12" x14ac:dyDescent="0.35">
      <c r="A1152" s="11">
        <v>1151</v>
      </c>
      <c r="B1152" s="17">
        <v>45940.926412037043</v>
      </c>
      <c r="C1152" s="18">
        <v>45940</v>
      </c>
      <c r="D1152" s="10" t="s">
        <v>426</v>
      </c>
      <c r="E1152" s="14">
        <v>5900</v>
      </c>
      <c r="F1152" s="5">
        <v>0</v>
      </c>
      <c r="G1152" s="5">
        <v>0</v>
      </c>
      <c r="H1152" s="10" t="s">
        <v>51</v>
      </c>
      <c r="I1152" s="10" t="s">
        <v>52</v>
      </c>
      <c r="J1152" s="10" t="s">
        <v>32</v>
      </c>
      <c r="K1152" s="10" t="s">
        <v>22</v>
      </c>
      <c r="L1152" s="10" t="s">
        <v>1523</v>
      </c>
    </row>
    <row r="1153" spans="1:12" x14ac:dyDescent="0.35">
      <c r="A1153" s="9">
        <v>1152</v>
      </c>
      <c r="B1153" s="19">
        <v>45941.209490740737</v>
      </c>
      <c r="C1153" s="20">
        <v>45941</v>
      </c>
      <c r="D1153" s="8" t="s">
        <v>342</v>
      </c>
      <c r="E1153" s="12">
        <v>500</v>
      </c>
      <c r="F1153" s="3">
        <v>0</v>
      </c>
      <c r="G1153" s="3">
        <v>0</v>
      </c>
      <c r="H1153" s="8" t="s">
        <v>51</v>
      </c>
      <c r="I1153" s="8" t="s">
        <v>52</v>
      </c>
      <c r="J1153" s="8" t="s">
        <v>33</v>
      </c>
      <c r="K1153" s="8" t="s">
        <v>22</v>
      </c>
      <c r="L1153" s="8" t="s">
        <v>1524</v>
      </c>
    </row>
    <row r="1154" spans="1:12" x14ac:dyDescent="0.35">
      <c r="A1154" s="11">
        <v>1153</v>
      </c>
      <c r="B1154" s="17">
        <v>45941.209502314807</v>
      </c>
      <c r="C1154" s="18">
        <v>45941</v>
      </c>
      <c r="D1154" s="10" t="s">
        <v>394</v>
      </c>
      <c r="E1154" s="5">
        <v>0</v>
      </c>
      <c r="F1154" s="15">
        <v>500</v>
      </c>
      <c r="G1154" s="5">
        <v>500</v>
      </c>
      <c r="H1154" s="10" t="s">
        <v>51</v>
      </c>
      <c r="I1154" s="10" t="s">
        <v>71</v>
      </c>
      <c r="J1154" s="10" t="s">
        <v>32</v>
      </c>
      <c r="K1154" s="10" t="s">
        <v>22</v>
      </c>
      <c r="L1154" s="10" t="s">
        <v>1525</v>
      </c>
    </row>
    <row r="1155" spans="1:12" x14ac:dyDescent="0.35">
      <c r="A1155" s="9">
        <v>1154</v>
      </c>
      <c r="B1155" s="19">
        <v>45942.209479166668</v>
      </c>
      <c r="C1155" s="20">
        <v>45942</v>
      </c>
      <c r="D1155" s="8" t="s">
        <v>394</v>
      </c>
      <c r="E1155" s="3">
        <v>0</v>
      </c>
      <c r="F1155" s="13">
        <v>500</v>
      </c>
      <c r="G1155" s="3">
        <v>500</v>
      </c>
      <c r="H1155" s="8" t="s">
        <v>51</v>
      </c>
      <c r="I1155" s="8" t="s">
        <v>71</v>
      </c>
      <c r="J1155" s="8" t="s">
        <v>32</v>
      </c>
      <c r="K1155" s="8" t="s">
        <v>22</v>
      </c>
      <c r="L1155" s="8" t="s">
        <v>1526</v>
      </c>
    </row>
    <row r="1156" spans="1:12" x14ac:dyDescent="0.35">
      <c r="A1156" s="11">
        <v>1155</v>
      </c>
      <c r="B1156" s="17">
        <v>45942.209479166668</v>
      </c>
      <c r="C1156" s="18">
        <v>45942</v>
      </c>
      <c r="D1156" s="10" t="s">
        <v>342</v>
      </c>
      <c r="E1156" s="14">
        <v>500</v>
      </c>
      <c r="F1156" s="5">
        <v>0</v>
      </c>
      <c r="G1156" s="5">
        <v>0</v>
      </c>
      <c r="H1156" s="10" t="s">
        <v>51</v>
      </c>
      <c r="I1156" s="10" t="s">
        <v>52</v>
      </c>
      <c r="J1156" s="10" t="s">
        <v>33</v>
      </c>
      <c r="K1156" s="10" t="s">
        <v>22</v>
      </c>
      <c r="L1156" s="10" t="s">
        <v>1527</v>
      </c>
    </row>
    <row r="1157" spans="1:12" x14ac:dyDescent="0.35">
      <c r="A1157" s="9">
        <v>1156</v>
      </c>
      <c r="B1157" s="19">
        <v>45942.450856481482</v>
      </c>
      <c r="C1157" s="20">
        <v>45942</v>
      </c>
      <c r="D1157" s="8" t="s">
        <v>1395</v>
      </c>
      <c r="E1157" s="12">
        <v>1500</v>
      </c>
      <c r="F1157" s="3">
        <v>0</v>
      </c>
      <c r="G1157" s="3">
        <v>0</v>
      </c>
      <c r="H1157" s="8" t="s">
        <v>51</v>
      </c>
      <c r="I1157" s="8" t="s">
        <v>52</v>
      </c>
      <c r="J1157" s="8" t="s">
        <v>30</v>
      </c>
      <c r="K1157" s="8" t="s">
        <v>22</v>
      </c>
      <c r="L1157" s="8" t="s">
        <v>1528</v>
      </c>
    </row>
    <row r="1158" spans="1:12" x14ac:dyDescent="0.35">
      <c r="A1158" s="11">
        <v>1157</v>
      </c>
      <c r="B1158" s="17">
        <v>45942.450914351852</v>
      </c>
      <c r="C1158" s="18">
        <v>45942</v>
      </c>
      <c r="D1158" s="10" t="s">
        <v>394</v>
      </c>
      <c r="E1158" s="5">
        <v>0</v>
      </c>
      <c r="F1158" s="15">
        <v>1500</v>
      </c>
      <c r="G1158" s="5">
        <v>1500</v>
      </c>
      <c r="H1158" s="10" t="s">
        <v>51</v>
      </c>
      <c r="I1158" s="10" t="s">
        <v>71</v>
      </c>
      <c r="J1158" s="10" t="s">
        <v>32</v>
      </c>
      <c r="K1158" s="10" t="s">
        <v>22</v>
      </c>
      <c r="L1158" s="10" t="s">
        <v>1529</v>
      </c>
    </row>
    <row r="1159" spans="1:12" x14ac:dyDescent="0.35">
      <c r="A1159" s="9">
        <v>1158</v>
      </c>
      <c r="B1159" s="19">
        <v>45943.20952546296</v>
      </c>
      <c r="C1159" s="20">
        <v>45943</v>
      </c>
      <c r="D1159" s="8" t="s">
        <v>394</v>
      </c>
      <c r="E1159" s="3">
        <v>0</v>
      </c>
      <c r="F1159" s="13">
        <v>500</v>
      </c>
      <c r="G1159" s="3">
        <v>500</v>
      </c>
      <c r="H1159" s="8" t="s">
        <v>51</v>
      </c>
      <c r="I1159" s="8" t="s">
        <v>71</v>
      </c>
      <c r="J1159" s="8" t="s">
        <v>32</v>
      </c>
      <c r="K1159" s="8" t="s">
        <v>22</v>
      </c>
      <c r="L1159" s="8" t="s">
        <v>1530</v>
      </c>
    </row>
    <row r="1160" spans="1:12" x14ac:dyDescent="0.35">
      <c r="A1160" s="11">
        <v>1159</v>
      </c>
      <c r="B1160" s="17">
        <v>45943.20952546296</v>
      </c>
      <c r="C1160" s="18">
        <v>45943</v>
      </c>
      <c r="D1160" s="10" t="s">
        <v>342</v>
      </c>
      <c r="E1160" s="14">
        <v>500</v>
      </c>
      <c r="F1160" s="5">
        <v>0</v>
      </c>
      <c r="G1160" s="5">
        <v>0</v>
      </c>
      <c r="H1160" s="10" t="s">
        <v>51</v>
      </c>
      <c r="I1160" s="10" t="s">
        <v>52</v>
      </c>
      <c r="J1160" s="10" t="s">
        <v>33</v>
      </c>
      <c r="K1160" s="10" t="s">
        <v>22</v>
      </c>
      <c r="L1160" s="10" t="s">
        <v>1531</v>
      </c>
    </row>
    <row r="1161" spans="1:12" x14ac:dyDescent="0.35">
      <c r="A1161" s="9">
        <v>1160</v>
      </c>
      <c r="B1161" s="19">
        <v>45943.386840277781</v>
      </c>
      <c r="C1161" s="20">
        <v>45943</v>
      </c>
      <c r="D1161" s="8" t="s">
        <v>276</v>
      </c>
      <c r="E1161" s="12">
        <v>890</v>
      </c>
      <c r="F1161" s="3">
        <v>0</v>
      </c>
      <c r="G1161" s="3">
        <v>0</v>
      </c>
      <c r="H1161" s="8" t="s">
        <v>51</v>
      </c>
      <c r="I1161" s="8" t="s">
        <v>52</v>
      </c>
      <c r="J1161" s="8" t="s">
        <v>36</v>
      </c>
      <c r="K1161" s="8" t="s">
        <v>22</v>
      </c>
      <c r="L1161" s="8" t="s">
        <v>1532</v>
      </c>
    </row>
    <row r="1162" spans="1:12" x14ac:dyDescent="0.35">
      <c r="A1162" s="11">
        <v>1161</v>
      </c>
      <c r="B1162" s="17">
        <v>45943.386944444443</v>
      </c>
      <c r="C1162" s="18">
        <v>45943</v>
      </c>
      <c r="D1162" s="10" t="s">
        <v>394</v>
      </c>
      <c r="E1162" s="5">
        <v>0</v>
      </c>
      <c r="F1162" s="15">
        <v>890</v>
      </c>
      <c r="G1162" s="5">
        <v>890</v>
      </c>
      <c r="H1162" s="10" t="s">
        <v>51</v>
      </c>
      <c r="I1162" s="10" t="s">
        <v>71</v>
      </c>
      <c r="J1162" s="10" t="s">
        <v>32</v>
      </c>
      <c r="K1162" s="10" t="s">
        <v>22</v>
      </c>
      <c r="L1162" s="10" t="s">
        <v>1533</v>
      </c>
    </row>
    <row r="1163" spans="1:12" x14ac:dyDescent="0.35">
      <c r="A1163" s="9">
        <v>1162</v>
      </c>
      <c r="B1163" s="19">
        <v>45943.515740740739</v>
      </c>
      <c r="C1163" s="20">
        <v>45943</v>
      </c>
      <c r="D1163" s="8" t="s">
        <v>1534</v>
      </c>
      <c r="E1163" s="12">
        <v>1000</v>
      </c>
      <c r="F1163" s="3">
        <v>0</v>
      </c>
      <c r="G1163" s="3">
        <v>0</v>
      </c>
      <c r="H1163" s="8" t="s">
        <v>51</v>
      </c>
      <c r="I1163" s="8" t="s">
        <v>52</v>
      </c>
      <c r="J1163" s="8" t="s">
        <v>30</v>
      </c>
      <c r="K1163" s="8" t="s">
        <v>22</v>
      </c>
      <c r="L1163" s="8" t="s">
        <v>1535</v>
      </c>
    </row>
    <row r="1164" spans="1:12" x14ac:dyDescent="0.35">
      <c r="A1164" s="11">
        <v>1163</v>
      </c>
      <c r="B1164" s="17">
        <v>45943.515798611108</v>
      </c>
      <c r="C1164" s="18">
        <v>45943</v>
      </c>
      <c r="D1164" s="10" t="s">
        <v>394</v>
      </c>
      <c r="E1164" s="5">
        <v>0</v>
      </c>
      <c r="F1164" s="15">
        <v>1000</v>
      </c>
      <c r="G1164" s="5">
        <v>1000</v>
      </c>
      <c r="H1164" s="10" t="s">
        <v>51</v>
      </c>
      <c r="I1164" s="10" t="s">
        <v>71</v>
      </c>
      <c r="J1164" s="10" t="s">
        <v>32</v>
      </c>
      <c r="K1164" s="10" t="s">
        <v>22</v>
      </c>
      <c r="L1164" s="10" t="s">
        <v>1536</v>
      </c>
    </row>
    <row r="1165" spans="1:12" x14ac:dyDescent="0.35">
      <c r="A1165" s="9">
        <v>1164</v>
      </c>
      <c r="B1165" s="19">
        <v>45944.209490740737</v>
      </c>
      <c r="C1165" s="20">
        <v>45944</v>
      </c>
      <c r="D1165" s="8" t="s">
        <v>394</v>
      </c>
      <c r="E1165" s="3">
        <v>0</v>
      </c>
      <c r="F1165" s="13">
        <v>500</v>
      </c>
      <c r="G1165" s="3">
        <v>500</v>
      </c>
      <c r="H1165" s="8" t="s">
        <v>51</v>
      </c>
      <c r="I1165" s="8" t="s">
        <v>71</v>
      </c>
      <c r="J1165" s="8" t="s">
        <v>32</v>
      </c>
      <c r="K1165" s="8" t="s">
        <v>22</v>
      </c>
      <c r="L1165" s="8" t="s">
        <v>1537</v>
      </c>
    </row>
    <row r="1166" spans="1:12" x14ac:dyDescent="0.35">
      <c r="A1166" s="11">
        <v>1165</v>
      </c>
      <c r="B1166" s="17">
        <v>45944.209490740737</v>
      </c>
      <c r="C1166" s="18">
        <v>45944</v>
      </c>
      <c r="D1166" s="10" t="s">
        <v>342</v>
      </c>
      <c r="E1166" s="14">
        <v>500</v>
      </c>
      <c r="F1166" s="5">
        <v>0</v>
      </c>
      <c r="G1166" s="5">
        <v>0</v>
      </c>
      <c r="H1166" s="10" t="s">
        <v>51</v>
      </c>
      <c r="I1166" s="10" t="s">
        <v>52</v>
      </c>
      <c r="J1166" s="10" t="s">
        <v>33</v>
      </c>
      <c r="K1166" s="10" t="s">
        <v>22</v>
      </c>
      <c r="L1166" s="10" t="s">
        <v>1538</v>
      </c>
    </row>
    <row r="1167" spans="1:12" x14ac:dyDescent="0.35">
      <c r="A1167" s="9">
        <v>1166</v>
      </c>
      <c r="B1167" s="19">
        <v>45945.20894675926</v>
      </c>
      <c r="C1167" s="20">
        <v>45945</v>
      </c>
      <c r="D1167" s="8" t="s">
        <v>342</v>
      </c>
      <c r="E1167" s="12">
        <v>500</v>
      </c>
      <c r="F1167" s="3">
        <v>0</v>
      </c>
      <c r="G1167" s="3">
        <v>0</v>
      </c>
      <c r="H1167" s="8" t="s">
        <v>51</v>
      </c>
      <c r="I1167" s="8" t="s">
        <v>52</v>
      </c>
      <c r="J1167" s="8" t="s">
        <v>33</v>
      </c>
      <c r="K1167" s="8" t="s">
        <v>22</v>
      </c>
      <c r="L1167" s="8" t="s">
        <v>1539</v>
      </c>
    </row>
    <row r="1168" spans="1:12" x14ac:dyDescent="0.35">
      <c r="A1168" s="11">
        <v>1167</v>
      </c>
      <c r="B1168" s="17">
        <v>45945.208958333344</v>
      </c>
      <c r="C1168" s="18">
        <v>45945</v>
      </c>
      <c r="D1168" s="10" t="s">
        <v>394</v>
      </c>
      <c r="E1168" s="5">
        <v>0</v>
      </c>
      <c r="F1168" s="15">
        <v>500</v>
      </c>
      <c r="G1168" s="5">
        <v>500</v>
      </c>
      <c r="H1168" s="10" t="s">
        <v>51</v>
      </c>
      <c r="I1168" s="10" t="s">
        <v>71</v>
      </c>
      <c r="J1168" s="10" t="s">
        <v>32</v>
      </c>
      <c r="K1168" s="10" t="s">
        <v>22</v>
      </c>
      <c r="L1168" s="10" t="s">
        <v>1540</v>
      </c>
    </row>
    <row r="1169" spans="1:12" x14ac:dyDescent="0.35">
      <c r="A1169" s="9">
        <v>1168</v>
      </c>
      <c r="B1169" s="19">
        <v>45946.209189814806</v>
      </c>
      <c r="C1169" s="20">
        <v>45946</v>
      </c>
      <c r="D1169" s="8" t="s">
        <v>394</v>
      </c>
      <c r="E1169" s="3">
        <v>0</v>
      </c>
      <c r="F1169" s="13">
        <v>500</v>
      </c>
      <c r="G1169" s="3">
        <v>500</v>
      </c>
      <c r="H1169" s="8" t="s">
        <v>51</v>
      </c>
      <c r="I1169" s="8" t="s">
        <v>71</v>
      </c>
      <c r="J1169" s="8" t="s">
        <v>32</v>
      </c>
      <c r="K1169" s="8" t="s">
        <v>22</v>
      </c>
      <c r="L1169" s="8" t="s">
        <v>1541</v>
      </c>
    </row>
    <row r="1170" spans="1:12" x14ac:dyDescent="0.35">
      <c r="A1170" s="11">
        <v>1169</v>
      </c>
      <c r="B1170" s="17">
        <v>45946.209189814806</v>
      </c>
      <c r="C1170" s="18">
        <v>45946</v>
      </c>
      <c r="D1170" s="10" t="s">
        <v>342</v>
      </c>
      <c r="E1170" s="14">
        <v>500</v>
      </c>
      <c r="F1170" s="5">
        <v>0</v>
      </c>
      <c r="G1170" s="5">
        <v>0</v>
      </c>
      <c r="H1170" s="10" t="s">
        <v>51</v>
      </c>
      <c r="I1170" s="10" t="s">
        <v>52</v>
      </c>
      <c r="J1170" s="10" t="s">
        <v>33</v>
      </c>
      <c r="K1170" s="10" t="s">
        <v>22</v>
      </c>
      <c r="L1170" s="10" t="s">
        <v>1542</v>
      </c>
    </row>
    <row r="1171" spans="1:12" x14ac:dyDescent="0.35">
      <c r="A1171" s="9">
        <v>1170</v>
      </c>
      <c r="B1171" s="19">
        <v>45952.589594907397</v>
      </c>
      <c r="C1171" s="20">
        <v>45952</v>
      </c>
      <c r="D1171" s="8" t="s">
        <v>1543</v>
      </c>
      <c r="E1171" s="3">
        <v>0</v>
      </c>
      <c r="F1171" s="13">
        <v>20000</v>
      </c>
      <c r="G1171" s="3">
        <v>20000</v>
      </c>
      <c r="H1171" s="8" t="s">
        <v>51</v>
      </c>
      <c r="I1171" s="8" t="s">
        <v>71</v>
      </c>
      <c r="J1171" s="8" t="s">
        <v>30</v>
      </c>
      <c r="K1171" s="8" t="s">
        <v>22</v>
      </c>
      <c r="L1171" s="8" t="s">
        <v>1544</v>
      </c>
    </row>
    <row r="1172" spans="1:12" x14ac:dyDescent="0.35">
      <c r="A1172" s="11">
        <v>1171</v>
      </c>
      <c r="B1172" s="17">
        <v>45952.589618055557</v>
      </c>
      <c r="C1172" s="18">
        <v>45952</v>
      </c>
      <c r="D1172" s="10" t="s">
        <v>79</v>
      </c>
      <c r="E1172" s="14">
        <v>50</v>
      </c>
      <c r="F1172" s="5">
        <v>0</v>
      </c>
      <c r="G1172" s="5">
        <v>19950</v>
      </c>
      <c r="H1172" s="10" t="s">
        <v>51</v>
      </c>
      <c r="I1172" s="10" t="s">
        <v>52</v>
      </c>
      <c r="J1172" s="10" t="s">
        <v>36</v>
      </c>
      <c r="K1172" s="10" t="s">
        <v>22</v>
      </c>
      <c r="L1172" s="10" t="s">
        <v>1545</v>
      </c>
    </row>
    <row r="1173" spans="1:12" x14ac:dyDescent="0.35">
      <c r="A1173" s="9">
        <v>1172</v>
      </c>
      <c r="B1173" s="19">
        <v>45952.638923611114</v>
      </c>
      <c r="C1173" s="20">
        <v>45952</v>
      </c>
      <c r="D1173" s="8" t="s">
        <v>488</v>
      </c>
      <c r="E1173" s="12">
        <v>3000</v>
      </c>
      <c r="F1173" s="3">
        <v>0</v>
      </c>
      <c r="G1173" s="3">
        <v>16950</v>
      </c>
      <c r="H1173" s="8" t="s">
        <v>51</v>
      </c>
      <c r="I1173" s="8" t="s">
        <v>52</v>
      </c>
      <c r="J1173" s="8" t="s">
        <v>30</v>
      </c>
      <c r="K1173" s="8" t="s">
        <v>22</v>
      </c>
      <c r="L1173" s="8" t="s">
        <v>1546</v>
      </c>
    </row>
    <row r="1174" spans="1:12" x14ac:dyDescent="0.35">
      <c r="A1174" s="11">
        <v>1173</v>
      </c>
      <c r="B1174" s="17">
        <v>45952.653599537043</v>
      </c>
      <c r="C1174" s="18">
        <v>45952</v>
      </c>
      <c r="D1174" s="10" t="s">
        <v>1547</v>
      </c>
      <c r="E1174" s="14">
        <v>840</v>
      </c>
      <c r="F1174" s="5">
        <v>0</v>
      </c>
      <c r="G1174" s="5">
        <v>16110</v>
      </c>
      <c r="H1174" s="10" t="s">
        <v>33</v>
      </c>
      <c r="I1174" s="10" t="s">
        <v>52</v>
      </c>
      <c r="J1174" s="10" t="s">
        <v>34</v>
      </c>
      <c r="K1174" s="10" t="s">
        <v>22</v>
      </c>
      <c r="L1174" s="10" t="s">
        <v>1548</v>
      </c>
    </row>
    <row r="1175" spans="1:12" x14ac:dyDescent="0.35">
      <c r="A1175" s="9">
        <v>1174</v>
      </c>
      <c r="B1175" s="19">
        <v>45952.734710648147</v>
      </c>
      <c r="C1175" s="20">
        <v>45952</v>
      </c>
      <c r="D1175" s="8" t="s">
        <v>1549</v>
      </c>
      <c r="E1175" s="12">
        <v>2100</v>
      </c>
      <c r="F1175" s="3">
        <v>0</v>
      </c>
      <c r="G1175" s="3">
        <v>14010</v>
      </c>
      <c r="H1175" s="8" t="s">
        <v>33</v>
      </c>
      <c r="I1175" s="8" t="s">
        <v>52</v>
      </c>
      <c r="J1175" s="8" t="s">
        <v>34</v>
      </c>
      <c r="K1175" s="8" t="s">
        <v>22</v>
      </c>
      <c r="L1175" s="8" t="s">
        <v>1550</v>
      </c>
    </row>
    <row r="1176" spans="1:12" x14ac:dyDescent="0.35">
      <c r="A1176" s="11">
        <v>1175</v>
      </c>
      <c r="B1176" s="17">
        <v>45952.801087962973</v>
      </c>
      <c r="C1176" s="18">
        <v>45952</v>
      </c>
      <c r="D1176" s="10" t="s">
        <v>699</v>
      </c>
      <c r="E1176" s="5">
        <v>0</v>
      </c>
      <c r="F1176" s="15">
        <v>70000</v>
      </c>
      <c r="G1176" s="5">
        <v>84010</v>
      </c>
      <c r="H1176" s="10" t="s">
        <v>51</v>
      </c>
      <c r="I1176" s="10" t="s">
        <v>71</v>
      </c>
      <c r="J1176" s="10" t="s">
        <v>31</v>
      </c>
      <c r="K1176" s="10" t="s">
        <v>22</v>
      </c>
      <c r="L1176" s="10" t="s">
        <v>1551</v>
      </c>
    </row>
    <row r="1177" spans="1:12" x14ac:dyDescent="0.35">
      <c r="A1177" s="9">
        <v>1176</v>
      </c>
      <c r="B1177" s="19">
        <v>45952.801099537042</v>
      </c>
      <c r="C1177" s="20">
        <v>45952</v>
      </c>
      <c r="D1177" s="8" t="s">
        <v>79</v>
      </c>
      <c r="E1177" s="12">
        <v>50</v>
      </c>
      <c r="F1177" s="3">
        <v>0</v>
      </c>
      <c r="G1177" s="3">
        <v>83960</v>
      </c>
      <c r="H1177" s="8" t="s">
        <v>51</v>
      </c>
      <c r="I1177" s="8" t="s">
        <v>52</v>
      </c>
      <c r="J1177" s="8" t="s">
        <v>36</v>
      </c>
      <c r="K1177" s="8" t="s">
        <v>22</v>
      </c>
      <c r="L1177" s="8" t="s">
        <v>1552</v>
      </c>
    </row>
    <row r="1178" spans="1:12" x14ac:dyDescent="0.35">
      <c r="A1178" s="11">
        <v>1177</v>
      </c>
      <c r="B1178" s="17">
        <v>45952.804618055547</v>
      </c>
      <c r="C1178" s="18">
        <v>45952</v>
      </c>
      <c r="D1178" s="10" t="s">
        <v>1259</v>
      </c>
      <c r="E1178" s="14">
        <v>20000</v>
      </c>
      <c r="F1178" s="5">
        <v>0</v>
      </c>
      <c r="G1178" s="5">
        <v>63960</v>
      </c>
      <c r="H1178" s="10" t="s">
        <v>51</v>
      </c>
      <c r="I1178" s="10" t="s">
        <v>52</v>
      </c>
      <c r="J1178" s="10" t="s">
        <v>30</v>
      </c>
      <c r="K1178" s="10" t="s">
        <v>22</v>
      </c>
      <c r="L1178" s="10" t="s">
        <v>1553</v>
      </c>
    </row>
    <row r="1179" spans="1:12" x14ac:dyDescent="0.35">
      <c r="A1179" s="9">
        <v>1178</v>
      </c>
      <c r="B1179" s="19">
        <v>45952.926944444444</v>
      </c>
      <c r="C1179" s="20">
        <v>45952</v>
      </c>
      <c r="D1179" s="8" t="s">
        <v>426</v>
      </c>
      <c r="E1179" s="12">
        <v>63960</v>
      </c>
      <c r="F1179" s="3">
        <v>0</v>
      </c>
      <c r="G1179" s="3">
        <v>0</v>
      </c>
      <c r="H1179" s="8" t="s">
        <v>51</v>
      </c>
      <c r="I1179" s="8" t="s">
        <v>52</v>
      </c>
      <c r="J1179" s="8" t="s">
        <v>32</v>
      </c>
      <c r="K1179" s="8" t="s">
        <v>22</v>
      </c>
      <c r="L1179" s="8" t="s">
        <v>1554</v>
      </c>
    </row>
    <row r="1180" spans="1:12" x14ac:dyDescent="0.35">
      <c r="A1180" s="11">
        <v>1179</v>
      </c>
      <c r="B1180" s="17">
        <v>45953.209016203713</v>
      </c>
      <c r="C1180" s="18">
        <v>45953</v>
      </c>
      <c r="D1180" s="10" t="s">
        <v>394</v>
      </c>
      <c r="E1180" s="5">
        <v>0</v>
      </c>
      <c r="F1180" s="15">
        <v>500</v>
      </c>
      <c r="G1180" s="5">
        <v>500</v>
      </c>
      <c r="H1180" s="10" t="s">
        <v>51</v>
      </c>
      <c r="I1180" s="10" t="s">
        <v>71</v>
      </c>
      <c r="J1180" s="10" t="s">
        <v>32</v>
      </c>
      <c r="K1180" s="10" t="s">
        <v>22</v>
      </c>
      <c r="L1180" s="10" t="s">
        <v>1555</v>
      </c>
    </row>
    <row r="1181" spans="1:12" x14ac:dyDescent="0.35">
      <c r="A1181" s="9">
        <v>1180</v>
      </c>
      <c r="B1181" s="19">
        <v>45953.209016203713</v>
      </c>
      <c r="C1181" s="20">
        <v>45953</v>
      </c>
      <c r="D1181" s="8" t="s">
        <v>342</v>
      </c>
      <c r="E1181" s="12">
        <v>500</v>
      </c>
      <c r="F1181" s="3">
        <v>0</v>
      </c>
      <c r="G1181" s="3">
        <v>0</v>
      </c>
      <c r="H1181" s="8" t="s">
        <v>51</v>
      </c>
      <c r="I1181" s="8" t="s">
        <v>52</v>
      </c>
      <c r="J1181" s="8" t="s">
        <v>33</v>
      </c>
      <c r="K1181" s="8" t="s">
        <v>22</v>
      </c>
      <c r="L1181" s="8" t="s">
        <v>1556</v>
      </c>
    </row>
    <row r="1182" spans="1:12" x14ac:dyDescent="0.35">
      <c r="A1182" s="11">
        <v>1181</v>
      </c>
      <c r="B1182" s="17">
        <v>45953.385983796303</v>
      </c>
      <c r="C1182" s="18">
        <v>45953</v>
      </c>
      <c r="D1182" s="10" t="s">
        <v>188</v>
      </c>
      <c r="E1182" s="14">
        <v>1982</v>
      </c>
      <c r="F1182" s="5">
        <v>0</v>
      </c>
      <c r="G1182" s="5">
        <v>0</v>
      </c>
      <c r="H1182" s="10" t="s">
        <v>51</v>
      </c>
      <c r="I1182" s="10" t="s">
        <v>52</v>
      </c>
      <c r="J1182" s="10" t="s">
        <v>37</v>
      </c>
      <c r="K1182" s="10" t="s">
        <v>22</v>
      </c>
      <c r="L1182" s="10" t="s">
        <v>1557</v>
      </c>
    </row>
    <row r="1183" spans="1:12" x14ac:dyDescent="0.35">
      <c r="A1183" s="9">
        <v>1182</v>
      </c>
      <c r="B1183" s="19">
        <v>45953.386134259257</v>
      </c>
      <c r="C1183" s="20">
        <v>45953</v>
      </c>
      <c r="D1183" s="8" t="s">
        <v>394</v>
      </c>
      <c r="E1183" s="3">
        <v>0</v>
      </c>
      <c r="F1183" s="13">
        <v>1982</v>
      </c>
      <c r="G1183" s="3">
        <v>1982</v>
      </c>
      <c r="H1183" s="8" t="s">
        <v>51</v>
      </c>
      <c r="I1183" s="8" t="s">
        <v>71</v>
      </c>
      <c r="J1183" s="8" t="s">
        <v>32</v>
      </c>
      <c r="K1183" s="8" t="s">
        <v>22</v>
      </c>
      <c r="L1183" s="8" t="s">
        <v>1558</v>
      </c>
    </row>
    <row r="1184" spans="1:12" x14ac:dyDescent="0.35">
      <c r="A1184" s="11">
        <v>1183</v>
      </c>
      <c r="B1184" s="17">
        <v>45953.722175925926</v>
      </c>
      <c r="C1184" s="18">
        <v>45953</v>
      </c>
      <c r="D1184" s="10" t="s">
        <v>1559</v>
      </c>
      <c r="E1184" s="14">
        <v>2000</v>
      </c>
      <c r="F1184" s="5">
        <v>0</v>
      </c>
      <c r="G1184" s="5">
        <v>0</v>
      </c>
      <c r="H1184" s="10" t="s">
        <v>33</v>
      </c>
      <c r="I1184" s="10" t="s">
        <v>52</v>
      </c>
      <c r="J1184" s="10" t="s">
        <v>34</v>
      </c>
      <c r="K1184" s="10" t="s">
        <v>22</v>
      </c>
      <c r="L1184" s="10" t="s">
        <v>1560</v>
      </c>
    </row>
    <row r="1185" spans="1:12" x14ac:dyDescent="0.35">
      <c r="A1185" s="9">
        <v>1184</v>
      </c>
      <c r="B1185" s="19">
        <v>45953.722187500003</v>
      </c>
      <c r="C1185" s="20">
        <v>45953</v>
      </c>
      <c r="D1185" s="8" t="s">
        <v>394</v>
      </c>
      <c r="E1185" s="3">
        <v>0</v>
      </c>
      <c r="F1185" s="13">
        <v>2000</v>
      </c>
      <c r="G1185" s="3">
        <v>2000</v>
      </c>
      <c r="H1185" s="8" t="s">
        <v>51</v>
      </c>
      <c r="I1185" s="8" t="s">
        <v>71</v>
      </c>
      <c r="J1185" s="8" t="s">
        <v>32</v>
      </c>
      <c r="K1185" s="8" t="s">
        <v>22</v>
      </c>
      <c r="L1185" s="8" t="s">
        <v>1561</v>
      </c>
    </row>
    <row r="1186" spans="1:12" x14ac:dyDescent="0.35">
      <c r="A1186" s="11">
        <v>1185</v>
      </c>
      <c r="B1186" s="17">
        <v>45953.77275462963</v>
      </c>
      <c r="C1186" s="18">
        <v>45953</v>
      </c>
      <c r="D1186" s="10" t="s">
        <v>1562</v>
      </c>
      <c r="E1186" s="14">
        <v>9000</v>
      </c>
      <c r="F1186" s="5">
        <v>0</v>
      </c>
      <c r="G1186" s="5">
        <v>0</v>
      </c>
      <c r="H1186" s="10" t="s">
        <v>33</v>
      </c>
      <c r="I1186" s="10" t="s">
        <v>52</v>
      </c>
      <c r="J1186" s="10" t="s">
        <v>34</v>
      </c>
      <c r="K1186" s="10" t="s">
        <v>22</v>
      </c>
      <c r="L1186" s="10" t="s">
        <v>1563</v>
      </c>
    </row>
    <row r="1187" spans="1:12" x14ac:dyDescent="0.35">
      <c r="A1187" s="9">
        <v>1186</v>
      </c>
      <c r="B1187" s="19">
        <v>45953.77275462963</v>
      </c>
      <c r="C1187" s="20">
        <v>45953</v>
      </c>
      <c r="D1187" s="8" t="s">
        <v>394</v>
      </c>
      <c r="E1187" s="3">
        <v>0</v>
      </c>
      <c r="F1187" s="13">
        <v>9000</v>
      </c>
      <c r="G1187" s="3">
        <v>9000</v>
      </c>
      <c r="H1187" s="8" t="s">
        <v>51</v>
      </c>
      <c r="I1187" s="8" t="s">
        <v>71</v>
      </c>
      <c r="J1187" s="8" t="s">
        <v>32</v>
      </c>
      <c r="K1187" s="8" t="s">
        <v>22</v>
      </c>
      <c r="L1187" s="8" t="s">
        <v>1564</v>
      </c>
    </row>
    <row r="1188" spans="1:12" x14ac:dyDescent="0.35">
      <c r="A1188" s="11">
        <v>1187</v>
      </c>
      <c r="B1188" s="17">
        <v>45953.776597222219</v>
      </c>
      <c r="C1188" s="18">
        <v>45953</v>
      </c>
      <c r="D1188" s="10" t="s">
        <v>1317</v>
      </c>
      <c r="E1188" s="14">
        <v>2000</v>
      </c>
      <c r="F1188" s="5">
        <v>0</v>
      </c>
      <c r="G1188" s="5">
        <v>0</v>
      </c>
      <c r="H1188" s="10" t="s">
        <v>51</v>
      </c>
      <c r="I1188" s="10" t="s">
        <v>52</v>
      </c>
      <c r="J1188" s="10" t="s">
        <v>30</v>
      </c>
      <c r="K1188" s="10" t="s">
        <v>22</v>
      </c>
      <c r="L1188" s="10" t="s">
        <v>1565</v>
      </c>
    </row>
    <row r="1189" spans="1:12" x14ac:dyDescent="0.35">
      <c r="A1189" s="9">
        <v>1188</v>
      </c>
      <c r="B1189" s="19">
        <v>45953.776666666658</v>
      </c>
      <c r="C1189" s="20">
        <v>45953</v>
      </c>
      <c r="D1189" s="8" t="s">
        <v>394</v>
      </c>
      <c r="E1189" s="3">
        <v>0</v>
      </c>
      <c r="F1189" s="13">
        <v>2000</v>
      </c>
      <c r="G1189" s="3">
        <v>2000</v>
      </c>
      <c r="H1189" s="8" t="s">
        <v>51</v>
      </c>
      <c r="I1189" s="8" t="s">
        <v>71</v>
      </c>
      <c r="J1189" s="8" t="s">
        <v>32</v>
      </c>
      <c r="K1189" s="8" t="s">
        <v>22</v>
      </c>
      <c r="L1189" s="8" t="s">
        <v>1566</v>
      </c>
    </row>
    <row r="1190" spans="1:12" x14ac:dyDescent="0.35">
      <c r="A1190" s="11">
        <v>1189</v>
      </c>
      <c r="B1190" s="17">
        <v>45953.778182870366</v>
      </c>
      <c r="C1190" s="18">
        <v>45953</v>
      </c>
      <c r="D1190" s="10" t="s">
        <v>1567</v>
      </c>
      <c r="E1190" s="14">
        <v>2450</v>
      </c>
      <c r="F1190" s="5">
        <v>0</v>
      </c>
      <c r="G1190" s="5">
        <v>0</v>
      </c>
      <c r="H1190" s="10" t="s">
        <v>51</v>
      </c>
      <c r="I1190" s="10" t="s">
        <v>52</v>
      </c>
      <c r="J1190" s="10" t="s">
        <v>30</v>
      </c>
      <c r="K1190" s="10" t="s">
        <v>22</v>
      </c>
      <c r="L1190" s="10" t="s">
        <v>1568</v>
      </c>
    </row>
    <row r="1191" spans="1:12" x14ac:dyDescent="0.35">
      <c r="A1191" s="9">
        <v>1190</v>
      </c>
      <c r="B1191" s="19">
        <v>45953.778217592589</v>
      </c>
      <c r="C1191" s="20">
        <v>45953</v>
      </c>
      <c r="D1191" s="8" t="s">
        <v>394</v>
      </c>
      <c r="E1191" s="3">
        <v>0</v>
      </c>
      <c r="F1191" s="13">
        <v>2450</v>
      </c>
      <c r="G1191" s="3">
        <v>2450</v>
      </c>
      <c r="H1191" s="8" t="s">
        <v>51</v>
      </c>
      <c r="I1191" s="8" t="s">
        <v>71</v>
      </c>
      <c r="J1191" s="8" t="s">
        <v>32</v>
      </c>
      <c r="K1191" s="8" t="s">
        <v>22</v>
      </c>
      <c r="L1191" s="8" t="s">
        <v>1569</v>
      </c>
    </row>
    <row r="1192" spans="1:12" x14ac:dyDescent="0.35">
      <c r="A1192" s="11">
        <v>1191</v>
      </c>
      <c r="B1192" s="17">
        <v>45953.779780092591</v>
      </c>
      <c r="C1192" s="18">
        <v>45953</v>
      </c>
      <c r="D1192" s="10" t="s">
        <v>1438</v>
      </c>
      <c r="E1192" s="14">
        <v>4300</v>
      </c>
      <c r="F1192" s="5">
        <v>0</v>
      </c>
      <c r="G1192" s="5">
        <v>0</v>
      </c>
      <c r="H1192" s="10" t="s">
        <v>51</v>
      </c>
      <c r="I1192" s="10" t="s">
        <v>52</v>
      </c>
      <c r="J1192" s="10" t="s">
        <v>30</v>
      </c>
      <c r="K1192" s="10" t="s">
        <v>22</v>
      </c>
      <c r="L1192" s="10" t="s">
        <v>1570</v>
      </c>
    </row>
    <row r="1193" spans="1:12" x14ac:dyDescent="0.35">
      <c r="A1193" s="9">
        <v>1192</v>
      </c>
      <c r="B1193" s="19">
        <v>45953.779861111107</v>
      </c>
      <c r="C1193" s="20">
        <v>45953</v>
      </c>
      <c r="D1193" s="8" t="s">
        <v>394</v>
      </c>
      <c r="E1193" s="3">
        <v>0</v>
      </c>
      <c r="F1193" s="13">
        <v>4300</v>
      </c>
      <c r="G1193" s="3">
        <v>4300</v>
      </c>
      <c r="H1193" s="8" t="s">
        <v>51</v>
      </c>
      <c r="I1193" s="8" t="s">
        <v>71</v>
      </c>
      <c r="J1193" s="8" t="s">
        <v>32</v>
      </c>
      <c r="K1193" s="8" t="s">
        <v>22</v>
      </c>
      <c r="L1193" s="8" t="s">
        <v>1571</v>
      </c>
    </row>
    <row r="1194" spans="1:12" x14ac:dyDescent="0.35">
      <c r="A1194" s="11">
        <v>1193</v>
      </c>
      <c r="B1194" s="17">
        <v>45954.209016203713</v>
      </c>
      <c r="C1194" s="18">
        <v>45954</v>
      </c>
      <c r="D1194" s="10" t="s">
        <v>342</v>
      </c>
      <c r="E1194" s="14">
        <v>500</v>
      </c>
      <c r="F1194" s="5">
        <v>0</v>
      </c>
      <c r="G1194" s="5">
        <v>0</v>
      </c>
      <c r="H1194" s="10" t="s">
        <v>51</v>
      </c>
      <c r="I1194" s="10" t="s">
        <v>52</v>
      </c>
      <c r="J1194" s="10" t="s">
        <v>33</v>
      </c>
      <c r="K1194" s="10" t="s">
        <v>22</v>
      </c>
      <c r="L1194" s="10" t="s">
        <v>1572</v>
      </c>
    </row>
    <row r="1195" spans="1:12" x14ac:dyDescent="0.35">
      <c r="A1195" s="9">
        <v>1194</v>
      </c>
      <c r="B1195" s="19">
        <v>45954.209027777782</v>
      </c>
      <c r="C1195" s="20">
        <v>45954</v>
      </c>
      <c r="D1195" s="8" t="s">
        <v>394</v>
      </c>
      <c r="E1195" s="3">
        <v>0</v>
      </c>
      <c r="F1195" s="13">
        <v>500</v>
      </c>
      <c r="G1195" s="3">
        <v>500</v>
      </c>
      <c r="H1195" s="8" t="s">
        <v>51</v>
      </c>
      <c r="I1195" s="8" t="s">
        <v>71</v>
      </c>
      <c r="J1195" s="8" t="s">
        <v>32</v>
      </c>
      <c r="K1195" s="8" t="s">
        <v>22</v>
      </c>
      <c r="L1195" s="8" t="s">
        <v>1573</v>
      </c>
    </row>
    <row r="1196" spans="1:12" x14ac:dyDescent="0.35">
      <c r="A1196" s="11">
        <v>1195</v>
      </c>
      <c r="B1196" s="17">
        <v>45954.275416666656</v>
      </c>
      <c r="C1196" s="18">
        <v>45954</v>
      </c>
      <c r="D1196" s="10" t="s">
        <v>1574</v>
      </c>
      <c r="E1196" s="14">
        <v>2500</v>
      </c>
      <c r="F1196" s="5">
        <v>0</v>
      </c>
      <c r="G1196" s="5">
        <v>0</v>
      </c>
      <c r="H1196" s="10" t="s">
        <v>51</v>
      </c>
      <c r="I1196" s="10" t="s">
        <v>52</v>
      </c>
      <c r="J1196" s="10" t="s">
        <v>30</v>
      </c>
      <c r="K1196" s="10" t="s">
        <v>22</v>
      </c>
      <c r="L1196" s="10" t="s">
        <v>1575</v>
      </c>
    </row>
    <row r="1197" spans="1:12" x14ac:dyDescent="0.35">
      <c r="A1197" s="9">
        <v>1196</v>
      </c>
      <c r="B1197" s="19">
        <v>45954.275451388887</v>
      </c>
      <c r="C1197" s="20">
        <v>45954</v>
      </c>
      <c r="D1197" s="8" t="s">
        <v>394</v>
      </c>
      <c r="E1197" s="3">
        <v>0</v>
      </c>
      <c r="F1197" s="13">
        <v>2500</v>
      </c>
      <c r="G1197" s="3">
        <v>2500</v>
      </c>
      <c r="H1197" s="8" t="s">
        <v>51</v>
      </c>
      <c r="I1197" s="8" t="s">
        <v>71</v>
      </c>
      <c r="J1197" s="8" t="s">
        <v>32</v>
      </c>
      <c r="K1197" s="8" t="s">
        <v>22</v>
      </c>
      <c r="L1197" s="8" t="s">
        <v>1576</v>
      </c>
    </row>
    <row r="1198" spans="1:12" x14ac:dyDescent="0.35">
      <c r="A1198" s="11">
        <v>1197</v>
      </c>
      <c r="B1198" s="17">
        <v>45954.371979166674</v>
      </c>
      <c r="C1198" s="18">
        <v>45954</v>
      </c>
      <c r="D1198" s="10" t="s">
        <v>1577</v>
      </c>
      <c r="E1198" s="14">
        <v>3100</v>
      </c>
      <c r="F1198" s="5">
        <v>0</v>
      </c>
      <c r="G1198" s="5">
        <v>0</v>
      </c>
      <c r="H1198" s="10" t="s">
        <v>33</v>
      </c>
      <c r="I1198" s="10" t="s">
        <v>52</v>
      </c>
      <c r="J1198" s="10" t="s">
        <v>34</v>
      </c>
      <c r="K1198" s="10" t="s">
        <v>22</v>
      </c>
      <c r="L1198" s="10" t="s">
        <v>1578</v>
      </c>
    </row>
    <row r="1199" spans="1:12" x14ac:dyDescent="0.35">
      <c r="A1199" s="9">
        <v>1198</v>
      </c>
      <c r="B1199" s="19">
        <v>45954.371979166674</v>
      </c>
      <c r="C1199" s="20">
        <v>45954</v>
      </c>
      <c r="D1199" s="8" t="s">
        <v>394</v>
      </c>
      <c r="E1199" s="3">
        <v>0</v>
      </c>
      <c r="F1199" s="13">
        <v>3100</v>
      </c>
      <c r="G1199" s="3">
        <v>3100</v>
      </c>
      <c r="H1199" s="8" t="s">
        <v>51</v>
      </c>
      <c r="I1199" s="8" t="s">
        <v>71</v>
      </c>
      <c r="J1199" s="8" t="s">
        <v>32</v>
      </c>
      <c r="K1199" s="8" t="s">
        <v>22</v>
      </c>
      <c r="L1199" s="8" t="s">
        <v>1579</v>
      </c>
    </row>
    <row r="1200" spans="1:12" x14ac:dyDescent="0.35">
      <c r="A1200" s="11">
        <v>1199</v>
      </c>
      <c r="B1200" s="17">
        <v>45954.628738425927</v>
      </c>
      <c r="C1200" s="18">
        <v>45954</v>
      </c>
      <c r="D1200" s="10" t="s">
        <v>1580</v>
      </c>
      <c r="E1200" s="5">
        <v>0</v>
      </c>
      <c r="F1200" s="15">
        <v>35000</v>
      </c>
      <c r="G1200" s="5">
        <v>35000</v>
      </c>
      <c r="H1200" s="10" t="s">
        <v>51</v>
      </c>
      <c r="I1200" s="10" t="s">
        <v>71</v>
      </c>
      <c r="J1200" s="10" t="s">
        <v>31</v>
      </c>
      <c r="K1200" s="10" t="s">
        <v>22</v>
      </c>
      <c r="L1200" s="10" t="s">
        <v>1581</v>
      </c>
    </row>
    <row r="1201" spans="1:12" x14ac:dyDescent="0.35">
      <c r="A1201" s="9">
        <v>1200</v>
      </c>
      <c r="B1201" s="19">
        <v>45954.628761574073</v>
      </c>
      <c r="C1201" s="20">
        <v>45954</v>
      </c>
      <c r="D1201" s="8" t="s">
        <v>79</v>
      </c>
      <c r="E1201" s="12">
        <v>50</v>
      </c>
      <c r="F1201" s="3">
        <v>0</v>
      </c>
      <c r="G1201" s="3">
        <v>34950</v>
      </c>
      <c r="H1201" s="8" t="s">
        <v>51</v>
      </c>
      <c r="I1201" s="8" t="s">
        <v>52</v>
      </c>
      <c r="J1201" s="8" t="s">
        <v>36</v>
      </c>
      <c r="K1201" s="8" t="s">
        <v>22</v>
      </c>
      <c r="L1201" s="8" t="s">
        <v>1582</v>
      </c>
    </row>
    <row r="1202" spans="1:12" x14ac:dyDescent="0.35">
      <c r="A1202" s="11">
        <v>1201</v>
      </c>
      <c r="B1202" s="17">
        <v>45954.63077546296</v>
      </c>
      <c r="C1202" s="18">
        <v>45954</v>
      </c>
      <c r="D1202" s="10" t="s">
        <v>386</v>
      </c>
      <c r="E1202" s="14">
        <v>30000</v>
      </c>
      <c r="F1202" s="5">
        <v>0</v>
      </c>
      <c r="G1202" s="5">
        <v>4950</v>
      </c>
      <c r="H1202" s="10" t="s">
        <v>51</v>
      </c>
      <c r="I1202" s="10" t="s">
        <v>52</v>
      </c>
      <c r="J1202" s="10" t="s">
        <v>30</v>
      </c>
      <c r="K1202" s="10" t="s">
        <v>22</v>
      </c>
      <c r="L1202" s="10" t="s">
        <v>1583</v>
      </c>
    </row>
    <row r="1203" spans="1:12" x14ac:dyDescent="0.35">
      <c r="A1203" s="9">
        <v>1202</v>
      </c>
      <c r="B1203" s="19">
        <v>45954.652002314811</v>
      </c>
      <c r="C1203" s="20">
        <v>45954</v>
      </c>
      <c r="D1203" s="8" t="s">
        <v>1584</v>
      </c>
      <c r="E1203" s="12">
        <v>4170</v>
      </c>
      <c r="F1203" s="3">
        <v>0</v>
      </c>
      <c r="G1203" s="3">
        <v>780</v>
      </c>
      <c r="H1203" s="8" t="s">
        <v>33</v>
      </c>
      <c r="I1203" s="8" t="s">
        <v>52</v>
      </c>
      <c r="J1203" s="8" t="s">
        <v>34</v>
      </c>
      <c r="K1203" s="8" t="s">
        <v>22</v>
      </c>
      <c r="L1203" s="8" t="s">
        <v>1585</v>
      </c>
    </row>
    <row r="1204" spans="1:12" x14ac:dyDescent="0.35">
      <c r="A1204" s="11">
        <v>1203</v>
      </c>
      <c r="B1204" s="17">
        <v>45954.727453703701</v>
      </c>
      <c r="C1204" s="18">
        <v>45954</v>
      </c>
      <c r="D1204" s="10" t="s">
        <v>1586</v>
      </c>
      <c r="E1204" s="14">
        <v>3800</v>
      </c>
      <c r="F1204" s="5">
        <v>0</v>
      </c>
      <c r="G1204" s="5">
        <v>0</v>
      </c>
      <c r="H1204" s="10" t="s">
        <v>33</v>
      </c>
      <c r="I1204" s="10" t="s">
        <v>52</v>
      </c>
      <c r="J1204" s="10" t="s">
        <v>34</v>
      </c>
      <c r="K1204" s="10" t="s">
        <v>22</v>
      </c>
      <c r="L1204" s="10" t="s">
        <v>1587</v>
      </c>
    </row>
    <row r="1205" spans="1:12" x14ac:dyDescent="0.35">
      <c r="A1205" s="9">
        <v>1204</v>
      </c>
      <c r="B1205" s="19">
        <v>45954.727453703701</v>
      </c>
      <c r="C1205" s="20">
        <v>45954</v>
      </c>
      <c r="D1205" s="8" t="s">
        <v>394</v>
      </c>
      <c r="E1205" s="3">
        <v>0</v>
      </c>
      <c r="F1205" s="13">
        <v>3020</v>
      </c>
      <c r="G1205" s="3">
        <v>3800</v>
      </c>
      <c r="H1205" s="8" t="s">
        <v>51</v>
      </c>
      <c r="I1205" s="8" t="s">
        <v>71</v>
      </c>
      <c r="J1205" s="8" t="s">
        <v>32</v>
      </c>
      <c r="K1205" s="8" t="s">
        <v>22</v>
      </c>
      <c r="L1205" s="8" t="s">
        <v>1588</v>
      </c>
    </row>
    <row r="1206" spans="1:12" x14ac:dyDescent="0.35">
      <c r="A1206" s="11">
        <v>1205</v>
      </c>
      <c r="B1206" s="17">
        <v>45954.856249999997</v>
      </c>
      <c r="C1206" s="18">
        <v>45954</v>
      </c>
      <c r="D1206" s="10" t="s">
        <v>1589</v>
      </c>
      <c r="E1206" s="5">
        <v>0</v>
      </c>
      <c r="F1206" s="15">
        <v>11000</v>
      </c>
      <c r="G1206" s="5">
        <v>11000</v>
      </c>
      <c r="H1206" s="10" t="s">
        <v>51</v>
      </c>
      <c r="I1206" s="10" t="s">
        <v>71</v>
      </c>
      <c r="J1206" s="10" t="s">
        <v>31</v>
      </c>
      <c r="K1206" s="10" t="s">
        <v>22</v>
      </c>
      <c r="L1206" s="10" t="s">
        <v>1590</v>
      </c>
    </row>
    <row r="1207" spans="1:12" x14ac:dyDescent="0.35">
      <c r="A1207" s="9">
        <v>1206</v>
      </c>
      <c r="B1207" s="19">
        <v>45954.856307870366</v>
      </c>
      <c r="C1207" s="20">
        <v>45954</v>
      </c>
      <c r="D1207" s="8" t="s">
        <v>79</v>
      </c>
      <c r="E1207" s="12">
        <v>50</v>
      </c>
      <c r="F1207" s="3">
        <v>0</v>
      </c>
      <c r="G1207" s="3">
        <v>10950</v>
      </c>
      <c r="H1207" s="8" t="s">
        <v>51</v>
      </c>
      <c r="I1207" s="8" t="s">
        <v>52</v>
      </c>
      <c r="J1207" s="8" t="s">
        <v>36</v>
      </c>
      <c r="K1207" s="8" t="s">
        <v>22</v>
      </c>
      <c r="L1207" s="8" t="s">
        <v>1591</v>
      </c>
    </row>
    <row r="1208" spans="1:12" x14ac:dyDescent="0.35">
      <c r="A1208" s="11">
        <v>1207</v>
      </c>
      <c r="B1208" s="17">
        <v>45954.859074074076</v>
      </c>
      <c r="C1208" s="18">
        <v>45954</v>
      </c>
      <c r="D1208" s="10" t="s">
        <v>1366</v>
      </c>
      <c r="E1208" s="14">
        <v>11000</v>
      </c>
      <c r="F1208" s="5">
        <v>0</v>
      </c>
      <c r="G1208" s="5">
        <v>0</v>
      </c>
      <c r="H1208" s="10" t="s">
        <v>328</v>
      </c>
      <c r="I1208" s="10" t="s">
        <v>52</v>
      </c>
      <c r="J1208" s="10" t="s">
        <v>34</v>
      </c>
      <c r="K1208" s="10" t="s">
        <v>22</v>
      </c>
      <c r="L1208" s="10" t="s">
        <v>1592</v>
      </c>
    </row>
    <row r="1209" spans="1:12" x14ac:dyDescent="0.35">
      <c r="A1209" s="9">
        <v>1208</v>
      </c>
      <c r="B1209" s="19">
        <v>45954.859074074076</v>
      </c>
      <c r="C1209" s="20">
        <v>45954</v>
      </c>
      <c r="D1209" s="8" t="s">
        <v>394</v>
      </c>
      <c r="E1209" s="3">
        <v>0</v>
      </c>
      <c r="F1209" s="13">
        <v>50</v>
      </c>
      <c r="G1209" s="3">
        <v>11000</v>
      </c>
      <c r="H1209" s="8" t="s">
        <v>51</v>
      </c>
      <c r="I1209" s="8" t="s">
        <v>71</v>
      </c>
      <c r="J1209" s="8" t="s">
        <v>32</v>
      </c>
      <c r="K1209" s="8" t="s">
        <v>22</v>
      </c>
      <c r="L1209" s="8" t="s">
        <v>1593</v>
      </c>
    </row>
    <row r="1210" spans="1:12" x14ac:dyDescent="0.35">
      <c r="A1210" s="11">
        <v>1209</v>
      </c>
      <c r="B1210" s="17">
        <v>45955.208807870367</v>
      </c>
      <c r="C1210" s="18">
        <v>45955</v>
      </c>
      <c r="D1210" s="10" t="s">
        <v>394</v>
      </c>
      <c r="E1210" s="5">
        <v>0</v>
      </c>
      <c r="F1210" s="15">
        <v>500</v>
      </c>
      <c r="G1210" s="5">
        <v>500</v>
      </c>
      <c r="H1210" s="10" t="s">
        <v>51</v>
      </c>
      <c r="I1210" s="10" t="s">
        <v>71</v>
      </c>
      <c r="J1210" s="10" t="s">
        <v>32</v>
      </c>
      <c r="K1210" s="10" t="s">
        <v>22</v>
      </c>
      <c r="L1210" s="10" t="s">
        <v>1594</v>
      </c>
    </row>
    <row r="1211" spans="1:12" x14ac:dyDescent="0.35">
      <c r="A1211" s="9">
        <v>1210</v>
      </c>
      <c r="B1211" s="19">
        <v>45955.208807870367</v>
      </c>
      <c r="C1211" s="20">
        <v>45955</v>
      </c>
      <c r="D1211" s="8" t="s">
        <v>342</v>
      </c>
      <c r="E1211" s="12">
        <v>500</v>
      </c>
      <c r="F1211" s="3">
        <v>0</v>
      </c>
      <c r="G1211" s="3">
        <v>0</v>
      </c>
      <c r="H1211" s="8" t="s">
        <v>51</v>
      </c>
      <c r="I1211" s="8" t="s">
        <v>52</v>
      </c>
      <c r="J1211" s="8" t="s">
        <v>33</v>
      </c>
      <c r="K1211" s="8" t="s">
        <v>22</v>
      </c>
      <c r="L1211" s="8" t="s">
        <v>1595</v>
      </c>
    </row>
    <row r="1212" spans="1:12" x14ac:dyDescent="0.35">
      <c r="A1212" s="11">
        <v>1211</v>
      </c>
      <c r="B1212" s="17">
        <v>45955.797349537039</v>
      </c>
      <c r="C1212" s="18">
        <v>45955</v>
      </c>
      <c r="D1212" s="10" t="s">
        <v>1596</v>
      </c>
      <c r="E1212" s="14">
        <v>2100</v>
      </c>
      <c r="F1212" s="5">
        <v>0</v>
      </c>
      <c r="G1212" s="5">
        <v>0</v>
      </c>
      <c r="H1212" s="10" t="s">
        <v>33</v>
      </c>
      <c r="I1212" s="10" t="s">
        <v>52</v>
      </c>
      <c r="J1212" s="10" t="s">
        <v>34</v>
      </c>
      <c r="K1212" s="10" t="s">
        <v>22</v>
      </c>
      <c r="L1212" s="10" t="s">
        <v>1597</v>
      </c>
    </row>
    <row r="1213" spans="1:12" x14ac:dyDescent="0.35">
      <c r="A1213" s="9">
        <v>1212</v>
      </c>
      <c r="B1213" s="19">
        <v>45955.797349537039</v>
      </c>
      <c r="C1213" s="20">
        <v>45955</v>
      </c>
      <c r="D1213" s="8" t="s">
        <v>394</v>
      </c>
      <c r="E1213" s="3">
        <v>0</v>
      </c>
      <c r="F1213" s="13">
        <v>2100</v>
      </c>
      <c r="G1213" s="3">
        <v>2100</v>
      </c>
      <c r="H1213" s="8" t="s">
        <v>51</v>
      </c>
      <c r="I1213" s="8" t="s">
        <v>71</v>
      </c>
      <c r="J1213" s="8" t="s">
        <v>32</v>
      </c>
      <c r="K1213" s="8" t="s">
        <v>22</v>
      </c>
      <c r="L1213" s="8" t="s">
        <v>1598</v>
      </c>
    </row>
    <row r="1214" spans="1:12" x14ac:dyDescent="0.35">
      <c r="A1214" s="11">
        <v>1213</v>
      </c>
      <c r="B1214" s="17">
        <v>45955.965798611112</v>
      </c>
      <c r="C1214" s="18">
        <v>45955</v>
      </c>
      <c r="D1214" s="10" t="s">
        <v>1599</v>
      </c>
      <c r="E1214" s="14">
        <v>6700</v>
      </c>
      <c r="F1214" s="5">
        <v>0</v>
      </c>
      <c r="G1214" s="5">
        <v>0</v>
      </c>
      <c r="H1214" s="10" t="s">
        <v>51</v>
      </c>
      <c r="I1214" s="10" t="s">
        <v>52</v>
      </c>
      <c r="J1214" s="10" t="s">
        <v>30</v>
      </c>
      <c r="K1214" s="10" t="s">
        <v>22</v>
      </c>
      <c r="L1214" s="10" t="s">
        <v>1600</v>
      </c>
    </row>
    <row r="1215" spans="1:12" x14ac:dyDescent="0.35">
      <c r="A1215" s="9">
        <v>1214</v>
      </c>
      <c r="B1215" s="19">
        <v>45955.965844907398</v>
      </c>
      <c r="C1215" s="20">
        <v>45955</v>
      </c>
      <c r="D1215" s="8" t="s">
        <v>394</v>
      </c>
      <c r="E1215" s="3">
        <v>0</v>
      </c>
      <c r="F1215" s="13">
        <v>6700</v>
      </c>
      <c r="G1215" s="3">
        <v>6700</v>
      </c>
      <c r="H1215" s="8" t="s">
        <v>51</v>
      </c>
      <c r="I1215" s="8" t="s">
        <v>71</v>
      </c>
      <c r="J1215" s="8" t="s">
        <v>32</v>
      </c>
      <c r="K1215" s="8" t="s">
        <v>22</v>
      </c>
      <c r="L1215" s="8" t="s">
        <v>1601</v>
      </c>
    </row>
    <row r="1216" spans="1:12" x14ac:dyDescent="0.35">
      <c r="A1216" s="11">
        <v>1215</v>
      </c>
      <c r="B1216" s="17">
        <v>45956.209097222221</v>
      </c>
      <c r="C1216" s="18">
        <v>45956</v>
      </c>
      <c r="D1216" s="10" t="s">
        <v>342</v>
      </c>
      <c r="E1216" s="14">
        <v>500</v>
      </c>
      <c r="F1216" s="5">
        <v>0</v>
      </c>
      <c r="G1216" s="5">
        <v>0</v>
      </c>
      <c r="H1216" s="10" t="s">
        <v>51</v>
      </c>
      <c r="I1216" s="10" t="s">
        <v>52</v>
      </c>
      <c r="J1216" s="10" t="s">
        <v>33</v>
      </c>
      <c r="K1216" s="10" t="s">
        <v>22</v>
      </c>
      <c r="L1216" s="10" t="s">
        <v>1602</v>
      </c>
    </row>
    <row r="1217" spans="1:12" x14ac:dyDescent="0.35">
      <c r="A1217" s="9">
        <v>1216</v>
      </c>
      <c r="B1217" s="19">
        <v>45956.209108796298</v>
      </c>
      <c r="C1217" s="20">
        <v>45956</v>
      </c>
      <c r="D1217" s="8" t="s">
        <v>394</v>
      </c>
      <c r="E1217" s="3">
        <v>0</v>
      </c>
      <c r="F1217" s="13">
        <v>500</v>
      </c>
      <c r="G1217" s="3">
        <v>500</v>
      </c>
      <c r="H1217" s="8" t="s">
        <v>51</v>
      </c>
      <c r="I1217" s="8" t="s">
        <v>71</v>
      </c>
      <c r="J1217" s="8" t="s">
        <v>32</v>
      </c>
      <c r="K1217" s="8" t="s">
        <v>22</v>
      </c>
      <c r="L1217" s="8" t="s">
        <v>1603</v>
      </c>
    </row>
    <row r="1218" spans="1:12" x14ac:dyDescent="0.35">
      <c r="A1218" s="11">
        <v>1217</v>
      </c>
      <c r="B1218" s="17">
        <v>45956.410624999997</v>
      </c>
      <c r="C1218" s="18">
        <v>45956</v>
      </c>
      <c r="D1218" s="10" t="s">
        <v>1604</v>
      </c>
      <c r="E1218" s="14">
        <v>3300</v>
      </c>
      <c r="F1218" s="5">
        <v>0</v>
      </c>
      <c r="G1218" s="5">
        <v>0</v>
      </c>
      <c r="H1218" s="10" t="s">
        <v>51</v>
      </c>
      <c r="I1218" s="10" t="s">
        <v>52</v>
      </c>
      <c r="J1218" s="10" t="s">
        <v>30</v>
      </c>
      <c r="K1218" s="10" t="s">
        <v>22</v>
      </c>
      <c r="L1218" s="10" t="s">
        <v>1605</v>
      </c>
    </row>
    <row r="1219" spans="1:12" x14ac:dyDescent="0.35">
      <c r="A1219" s="9">
        <v>1218</v>
      </c>
      <c r="B1219" s="19">
        <v>45956.410682870373</v>
      </c>
      <c r="C1219" s="20">
        <v>45956</v>
      </c>
      <c r="D1219" s="8" t="s">
        <v>394</v>
      </c>
      <c r="E1219" s="3">
        <v>0</v>
      </c>
      <c r="F1219" s="13">
        <v>3300</v>
      </c>
      <c r="G1219" s="3">
        <v>3300</v>
      </c>
      <c r="H1219" s="8" t="s">
        <v>51</v>
      </c>
      <c r="I1219" s="8" t="s">
        <v>71</v>
      </c>
      <c r="J1219" s="8" t="s">
        <v>32</v>
      </c>
      <c r="K1219" s="8" t="s">
        <v>22</v>
      </c>
      <c r="L1219" s="8" t="s">
        <v>1606</v>
      </c>
    </row>
    <row r="1220" spans="1:12" x14ac:dyDescent="0.35">
      <c r="A1220" s="11">
        <v>1219</v>
      </c>
      <c r="B1220" s="17">
        <v>45956.470277777778</v>
      </c>
      <c r="C1220" s="18">
        <v>45956</v>
      </c>
      <c r="D1220" s="10" t="s">
        <v>1395</v>
      </c>
      <c r="E1220" s="14">
        <v>1500</v>
      </c>
      <c r="F1220" s="5">
        <v>0</v>
      </c>
      <c r="G1220" s="5">
        <v>0</v>
      </c>
      <c r="H1220" s="10" t="s">
        <v>51</v>
      </c>
      <c r="I1220" s="10" t="s">
        <v>52</v>
      </c>
      <c r="J1220" s="10" t="s">
        <v>30</v>
      </c>
      <c r="K1220" s="10" t="s">
        <v>22</v>
      </c>
      <c r="L1220" s="10" t="s">
        <v>1607</v>
      </c>
    </row>
    <row r="1221" spans="1:12" x14ac:dyDescent="0.35">
      <c r="A1221" s="9">
        <v>1220</v>
      </c>
      <c r="B1221" s="19">
        <v>45956.470335648148</v>
      </c>
      <c r="C1221" s="20">
        <v>45956</v>
      </c>
      <c r="D1221" s="8" t="s">
        <v>394</v>
      </c>
      <c r="E1221" s="3">
        <v>0</v>
      </c>
      <c r="F1221" s="13">
        <v>1500</v>
      </c>
      <c r="G1221" s="3">
        <v>1500</v>
      </c>
      <c r="H1221" s="8" t="s">
        <v>51</v>
      </c>
      <c r="I1221" s="8" t="s">
        <v>71</v>
      </c>
      <c r="J1221" s="8" t="s">
        <v>32</v>
      </c>
      <c r="K1221" s="8" t="s">
        <v>22</v>
      </c>
      <c r="L1221" s="8" t="s">
        <v>1608</v>
      </c>
    </row>
    <row r="1222" spans="1:12" x14ac:dyDescent="0.35">
      <c r="A1222" s="11">
        <v>1221</v>
      </c>
      <c r="B1222" s="17">
        <v>45956.538761574076</v>
      </c>
      <c r="C1222" s="18">
        <v>45956</v>
      </c>
      <c r="D1222" s="10" t="s">
        <v>1609</v>
      </c>
      <c r="E1222" s="14">
        <v>3100</v>
      </c>
      <c r="F1222" s="5">
        <v>0</v>
      </c>
      <c r="G1222" s="5">
        <v>0</v>
      </c>
      <c r="H1222" s="10" t="s">
        <v>33</v>
      </c>
      <c r="I1222" s="10" t="s">
        <v>52</v>
      </c>
      <c r="J1222" s="10" t="s">
        <v>34</v>
      </c>
      <c r="K1222" s="10" t="s">
        <v>22</v>
      </c>
      <c r="L1222" s="10" t="s">
        <v>1610</v>
      </c>
    </row>
    <row r="1223" spans="1:12" x14ac:dyDescent="0.35">
      <c r="A1223" s="9">
        <v>1222</v>
      </c>
      <c r="B1223" s="19">
        <v>45956.538761574076</v>
      </c>
      <c r="C1223" s="20">
        <v>45956</v>
      </c>
      <c r="D1223" s="8" t="s">
        <v>394</v>
      </c>
      <c r="E1223" s="3">
        <v>0</v>
      </c>
      <c r="F1223" s="13">
        <v>3100</v>
      </c>
      <c r="G1223" s="3">
        <v>3100</v>
      </c>
      <c r="H1223" s="8" t="s">
        <v>51</v>
      </c>
      <c r="I1223" s="8" t="s">
        <v>71</v>
      </c>
      <c r="J1223" s="8" t="s">
        <v>32</v>
      </c>
      <c r="K1223" s="8" t="s">
        <v>22</v>
      </c>
      <c r="L1223" s="8" t="s">
        <v>1611</v>
      </c>
    </row>
    <row r="1224" spans="1:12" x14ac:dyDescent="0.35">
      <c r="A1224" s="11">
        <v>1223</v>
      </c>
      <c r="B1224" s="17">
        <v>45956.558217592603</v>
      </c>
      <c r="C1224" s="18">
        <v>45956</v>
      </c>
      <c r="D1224" s="10" t="s">
        <v>1612</v>
      </c>
      <c r="E1224" s="14">
        <v>3100</v>
      </c>
      <c r="F1224" s="5">
        <v>0</v>
      </c>
      <c r="G1224" s="5">
        <v>0</v>
      </c>
      <c r="H1224" s="10" t="s">
        <v>33</v>
      </c>
      <c r="I1224" s="10" t="s">
        <v>52</v>
      </c>
      <c r="J1224" s="10" t="s">
        <v>34</v>
      </c>
      <c r="K1224" s="10" t="s">
        <v>22</v>
      </c>
      <c r="L1224" s="10" t="s">
        <v>1613</v>
      </c>
    </row>
    <row r="1225" spans="1:12" x14ac:dyDescent="0.35">
      <c r="A1225" s="9">
        <v>1224</v>
      </c>
      <c r="B1225" s="19">
        <v>45956.558217592603</v>
      </c>
      <c r="C1225" s="20">
        <v>45956</v>
      </c>
      <c r="D1225" s="8" t="s">
        <v>394</v>
      </c>
      <c r="E1225" s="3">
        <v>0</v>
      </c>
      <c r="F1225" s="13">
        <v>3100</v>
      </c>
      <c r="G1225" s="3">
        <v>3100</v>
      </c>
      <c r="H1225" s="8" t="s">
        <v>51</v>
      </c>
      <c r="I1225" s="8" t="s">
        <v>71</v>
      </c>
      <c r="J1225" s="8" t="s">
        <v>32</v>
      </c>
      <c r="K1225" s="8" t="s">
        <v>22</v>
      </c>
      <c r="L1225" s="8" t="s">
        <v>1614</v>
      </c>
    </row>
    <row r="1226" spans="1:12" x14ac:dyDescent="0.35">
      <c r="A1226" s="11">
        <v>1225</v>
      </c>
      <c r="B1226" s="17">
        <v>45957.209074074082</v>
      </c>
      <c r="C1226" s="18">
        <v>45957</v>
      </c>
      <c r="D1226" s="10" t="s">
        <v>394</v>
      </c>
      <c r="E1226" s="5">
        <v>0</v>
      </c>
      <c r="F1226" s="15">
        <v>500</v>
      </c>
      <c r="G1226" s="5">
        <v>500</v>
      </c>
      <c r="H1226" s="10" t="s">
        <v>51</v>
      </c>
      <c r="I1226" s="10" t="s">
        <v>71</v>
      </c>
      <c r="J1226" s="10" t="s">
        <v>32</v>
      </c>
      <c r="K1226" s="10" t="s">
        <v>22</v>
      </c>
      <c r="L1226" s="10" t="s">
        <v>1615</v>
      </c>
    </row>
    <row r="1227" spans="1:12" x14ac:dyDescent="0.35">
      <c r="A1227" s="9">
        <v>1226</v>
      </c>
      <c r="B1227" s="19">
        <v>45957.209074074082</v>
      </c>
      <c r="C1227" s="20">
        <v>45957</v>
      </c>
      <c r="D1227" s="8" t="s">
        <v>342</v>
      </c>
      <c r="E1227" s="12">
        <v>500</v>
      </c>
      <c r="F1227" s="3">
        <v>0</v>
      </c>
      <c r="G1227" s="3">
        <v>0</v>
      </c>
      <c r="H1227" s="8" t="s">
        <v>51</v>
      </c>
      <c r="I1227" s="8" t="s">
        <v>52</v>
      </c>
      <c r="J1227" s="8" t="s">
        <v>33</v>
      </c>
      <c r="K1227" s="8" t="s">
        <v>22</v>
      </c>
      <c r="L1227" s="8" t="s">
        <v>1616</v>
      </c>
    </row>
    <row r="1228" spans="1:12" x14ac:dyDescent="0.35">
      <c r="A1228" s="11">
        <v>1227</v>
      </c>
      <c r="B1228" s="17">
        <v>45957.394560185188</v>
      </c>
      <c r="C1228" s="18">
        <v>45957</v>
      </c>
      <c r="D1228" s="10" t="s">
        <v>1617</v>
      </c>
      <c r="E1228" s="14">
        <v>1600</v>
      </c>
      <c r="F1228" s="5">
        <v>0</v>
      </c>
      <c r="G1228" s="5">
        <v>0</v>
      </c>
      <c r="H1228" s="10" t="s">
        <v>51</v>
      </c>
      <c r="I1228" s="10" t="s">
        <v>52</v>
      </c>
      <c r="J1228" s="10" t="s">
        <v>30</v>
      </c>
      <c r="K1228" s="10" t="s">
        <v>22</v>
      </c>
      <c r="L1228" s="10" t="s">
        <v>1618</v>
      </c>
    </row>
    <row r="1229" spans="1:12" x14ac:dyDescent="0.35">
      <c r="A1229" s="9">
        <v>1228</v>
      </c>
      <c r="B1229" s="19">
        <v>45957.394618055558</v>
      </c>
      <c r="C1229" s="20">
        <v>45957</v>
      </c>
      <c r="D1229" s="8" t="s">
        <v>394</v>
      </c>
      <c r="E1229" s="3">
        <v>0</v>
      </c>
      <c r="F1229" s="13">
        <v>1600</v>
      </c>
      <c r="G1229" s="3">
        <v>1600</v>
      </c>
      <c r="H1229" s="8" t="s">
        <v>51</v>
      </c>
      <c r="I1229" s="8" t="s">
        <v>71</v>
      </c>
      <c r="J1229" s="8" t="s">
        <v>32</v>
      </c>
      <c r="K1229" s="8" t="s">
        <v>22</v>
      </c>
      <c r="L1229" s="8" t="s">
        <v>1619</v>
      </c>
    </row>
    <row r="1230" spans="1:12" x14ac:dyDescent="0.35">
      <c r="A1230" s="11">
        <v>1229</v>
      </c>
      <c r="B1230" s="17">
        <v>45957.593969907408</v>
      </c>
      <c r="C1230" s="18">
        <v>45957</v>
      </c>
      <c r="D1230" s="10" t="s">
        <v>1620</v>
      </c>
      <c r="E1230" s="14">
        <v>3000</v>
      </c>
      <c r="F1230" s="5">
        <v>0</v>
      </c>
      <c r="G1230" s="5">
        <v>0</v>
      </c>
      <c r="H1230" s="10" t="s">
        <v>33</v>
      </c>
      <c r="I1230" s="10" t="s">
        <v>52</v>
      </c>
      <c r="J1230" s="10" t="s">
        <v>34</v>
      </c>
      <c r="K1230" s="10" t="s">
        <v>22</v>
      </c>
      <c r="L1230" s="10" t="s">
        <v>1621</v>
      </c>
    </row>
    <row r="1231" spans="1:12" x14ac:dyDescent="0.35">
      <c r="A1231" s="9">
        <v>1230</v>
      </c>
      <c r="B1231" s="19">
        <v>45957.593969907408</v>
      </c>
      <c r="C1231" s="20">
        <v>45957</v>
      </c>
      <c r="D1231" s="8" t="s">
        <v>394</v>
      </c>
      <c r="E1231" s="3">
        <v>0</v>
      </c>
      <c r="F1231" s="13">
        <v>3000</v>
      </c>
      <c r="G1231" s="3">
        <v>3000</v>
      </c>
      <c r="H1231" s="8" t="s">
        <v>51</v>
      </c>
      <c r="I1231" s="8" t="s">
        <v>71</v>
      </c>
      <c r="J1231" s="8" t="s">
        <v>32</v>
      </c>
      <c r="K1231" s="8" t="s">
        <v>22</v>
      </c>
      <c r="L1231" s="8" t="s">
        <v>1622</v>
      </c>
    </row>
    <row r="1232" spans="1:12" x14ac:dyDescent="0.35">
      <c r="A1232" s="11">
        <v>1231</v>
      </c>
      <c r="B1232" s="17">
        <v>45957.78230324074</v>
      </c>
      <c r="C1232" s="18">
        <v>45957</v>
      </c>
      <c r="D1232" s="10" t="s">
        <v>1623</v>
      </c>
      <c r="E1232" s="5">
        <v>0</v>
      </c>
      <c r="F1232" s="15">
        <v>15050</v>
      </c>
      <c r="G1232" s="5">
        <v>15050</v>
      </c>
      <c r="H1232" s="10" t="s">
        <v>51</v>
      </c>
      <c r="I1232" s="10" t="s">
        <v>71</v>
      </c>
      <c r="J1232" s="10" t="s">
        <v>31</v>
      </c>
      <c r="K1232" s="10" t="s">
        <v>22</v>
      </c>
      <c r="L1232" s="10" t="s">
        <v>1624</v>
      </c>
    </row>
    <row r="1233" spans="1:12" x14ac:dyDescent="0.35">
      <c r="A1233" s="9">
        <v>1232</v>
      </c>
      <c r="B1233" s="19">
        <v>45957.782372685193</v>
      </c>
      <c r="C1233" s="20">
        <v>45957</v>
      </c>
      <c r="D1233" s="8" t="s">
        <v>79</v>
      </c>
      <c r="E1233" s="12">
        <v>50</v>
      </c>
      <c r="F1233" s="3">
        <v>0</v>
      </c>
      <c r="G1233" s="3">
        <v>15000</v>
      </c>
      <c r="H1233" s="8" t="s">
        <v>51</v>
      </c>
      <c r="I1233" s="8" t="s">
        <v>52</v>
      </c>
      <c r="J1233" s="8" t="s">
        <v>36</v>
      </c>
      <c r="K1233" s="8" t="s">
        <v>22</v>
      </c>
      <c r="L1233" s="8" t="s">
        <v>1625</v>
      </c>
    </row>
    <row r="1234" spans="1:12" x14ac:dyDescent="0.35">
      <c r="A1234" s="11">
        <v>1233</v>
      </c>
      <c r="B1234" s="17">
        <v>45957.782476851848</v>
      </c>
      <c r="C1234" s="18">
        <v>45957</v>
      </c>
      <c r="D1234" s="10" t="s">
        <v>1626</v>
      </c>
      <c r="E1234" s="14">
        <v>10000</v>
      </c>
      <c r="F1234" s="5">
        <v>0</v>
      </c>
      <c r="G1234" s="5">
        <v>5000</v>
      </c>
      <c r="H1234" s="10" t="s">
        <v>51</v>
      </c>
      <c r="I1234" s="10" t="s">
        <v>52</v>
      </c>
      <c r="J1234" s="10" t="s">
        <v>30</v>
      </c>
      <c r="K1234" s="10" t="s">
        <v>22</v>
      </c>
      <c r="L1234" s="10" t="s">
        <v>1627</v>
      </c>
    </row>
    <row r="1235" spans="1:12" x14ac:dyDescent="0.35">
      <c r="A1235" s="9">
        <v>1234</v>
      </c>
      <c r="B1235" s="19">
        <v>45957.926354166673</v>
      </c>
      <c r="C1235" s="20">
        <v>45957</v>
      </c>
      <c r="D1235" s="8" t="s">
        <v>426</v>
      </c>
      <c r="E1235" s="12">
        <v>5000</v>
      </c>
      <c r="F1235" s="3">
        <v>0</v>
      </c>
      <c r="G1235" s="3">
        <v>0</v>
      </c>
      <c r="H1235" s="8" t="s">
        <v>51</v>
      </c>
      <c r="I1235" s="8" t="s">
        <v>52</v>
      </c>
      <c r="J1235" s="8" t="s">
        <v>32</v>
      </c>
      <c r="K1235" s="8" t="s">
        <v>22</v>
      </c>
      <c r="L1235" s="8" t="s">
        <v>1628</v>
      </c>
    </row>
    <row r="1236" spans="1:12" x14ac:dyDescent="0.35">
      <c r="A1236" s="11">
        <v>1235</v>
      </c>
      <c r="B1236" s="17">
        <v>45958.208981481483</v>
      </c>
      <c r="C1236" s="18">
        <v>45958</v>
      </c>
      <c r="D1236" s="10" t="s">
        <v>394</v>
      </c>
      <c r="E1236" s="5">
        <v>0</v>
      </c>
      <c r="F1236" s="15">
        <v>500</v>
      </c>
      <c r="G1236" s="5">
        <v>500</v>
      </c>
      <c r="H1236" s="10" t="s">
        <v>51</v>
      </c>
      <c r="I1236" s="10" t="s">
        <v>71</v>
      </c>
      <c r="J1236" s="10" t="s">
        <v>32</v>
      </c>
      <c r="K1236" s="10" t="s">
        <v>22</v>
      </c>
      <c r="L1236" s="10" t="s">
        <v>1629</v>
      </c>
    </row>
    <row r="1237" spans="1:12" x14ac:dyDescent="0.35">
      <c r="A1237" s="9">
        <v>1236</v>
      </c>
      <c r="B1237" s="19">
        <v>45958.208981481483</v>
      </c>
      <c r="C1237" s="20">
        <v>45958</v>
      </c>
      <c r="D1237" s="8" t="s">
        <v>342</v>
      </c>
      <c r="E1237" s="12">
        <v>500</v>
      </c>
      <c r="F1237" s="3">
        <v>0</v>
      </c>
      <c r="G1237" s="3">
        <v>0</v>
      </c>
      <c r="H1237" s="8" t="s">
        <v>51</v>
      </c>
      <c r="I1237" s="8" t="s">
        <v>52</v>
      </c>
      <c r="J1237" s="8" t="s">
        <v>33</v>
      </c>
      <c r="K1237" s="8" t="s">
        <v>22</v>
      </c>
      <c r="L1237" s="8" t="s">
        <v>1630</v>
      </c>
    </row>
    <row r="1238" spans="1:12" x14ac:dyDescent="0.35">
      <c r="A1238" s="11">
        <v>1237</v>
      </c>
      <c r="B1238" s="17">
        <v>45958.596967592603</v>
      </c>
      <c r="C1238" s="18">
        <v>45958</v>
      </c>
      <c r="D1238" s="10" t="s">
        <v>1480</v>
      </c>
      <c r="E1238" s="5">
        <v>0</v>
      </c>
      <c r="F1238" s="15">
        <v>15000</v>
      </c>
      <c r="G1238" s="5">
        <v>15000</v>
      </c>
      <c r="H1238" s="10" t="s">
        <v>51</v>
      </c>
      <c r="I1238" s="10" t="s">
        <v>71</v>
      </c>
      <c r="J1238" s="10" t="s">
        <v>30</v>
      </c>
      <c r="K1238" s="10" t="s">
        <v>22</v>
      </c>
      <c r="L1238" s="10" t="s">
        <v>1631</v>
      </c>
    </row>
    <row r="1239" spans="1:12" x14ac:dyDescent="0.35">
      <c r="A1239" s="9">
        <v>1238</v>
      </c>
      <c r="B1239" s="19">
        <v>45958.596990740742</v>
      </c>
      <c r="C1239" s="20">
        <v>45958</v>
      </c>
      <c r="D1239" s="8" t="s">
        <v>79</v>
      </c>
      <c r="E1239" s="12">
        <v>50</v>
      </c>
      <c r="F1239" s="3">
        <v>0</v>
      </c>
      <c r="G1239" s="3">
        <v>14950</v>
      </c>
      <c r="H1239" s="8" t="s">
        <v>51</v>
      </c>
      <c r="I1239" s="8" t="s">
        <v>52</v>
      </c>
      <c r="J1239" s="8" t="s">
        <v>36</v>
      </c>
      <c r="K1239" s="8" t="s">
        <v>22</v>
      </c>
      <c r="L1239" s="8" t="s">
        <v>1632</v>
      </c>
    </row>
    <row r="1240" spans="1:12" x14ac:dyDescent="0.35">
      <c r="A1240" s="11">
        <v>1239</v>
      </c>
      <c r="B1240" s="17">
        <v>45958.702766203707</v>
      </c>
      <c r="C1240" s="18">
        <v>45958</v>
      </c>
      <c r="D1240" s="10" t="s">
        <v>276</v>
      </c>
      <c r="E1240" s="14">
        <v>900</v>
      </c>
      <c r="F1240" s="5">
        <v>0</v>
      </c>
      <c r="G1240" s="5">
        <v>14050</v>
      </c>
      <c r="H1240" s="10" t="s">
        <v>51</v>
      </c>
      <c r="I1240" s="10" t="s">
        <v>52</v>
      </c>
      <c r="J1240" s="10" t="s">
        <v>36</v>
      </c>
      <c r="K1240" s="10" t="s">
        <v>22</v>
      </c>
      <c r="L1240" s="10" t="s">
        <v>1633</v>
      </c>
    </row>
    <row r="1241" spans="1:12" x14ac:dyDescent="0.35">
      <c r="A1241" s="9">
        <v>1240</v>
      </c>
      <c r="B1241" s="19">
        <v>45958.926215277781</v>
      </c>
      <c r="C1241" s="20">
        <v>45958</v>
      </c>
      <c r="D1241" s="8" t="s">
        <v>426</v>
      </c>
      <c r="E1241" s="12">
        <v>14050</v>
      </c>
      <c r="F1241" s="3">
        <v>0</v>
      </c>
      <c r="G1241" s="3">
        <v>0</v>
      </c>
      <c r="H1241" s="8" t="s">
        <v>51</v>
      </c>
      <c r="I1241" s="8" t="s">
        <v>52</v>
      </c>
      <c r="J1241" s="8" t="s">
        <v>32</v>
      </c>
      <c r="K1241" s="8" t="s">
        <v>22</v>
      </c>
      <c r="L1241" s="8" t="s">
        <v>1634</v>
      </c>
    </row>
    <row r="1242" spans="1:12" x14ac:dyDescent="0.35">
      <c r="A1242" s="11">
        <v>1241</v>
      </c>
      <c r="B1242" s="17">
        <v>45959.209004629629</v>
      </c>
      <c r="C1242" s="18">
        <v>45959</v>
      </c>
      <c r="D1242" s="10" t="s">
        <v>394</v>
      </c>
      <c r="E1242" s="5">
        <v>0</v>
      </c>
      <c r="F1242" s="15">
        <v>500</v>
      </c>
      <c r="G1242" s="5">
        <v>500</v>
      </c>
      <c r="H1242" s="10" t="s">
        <v>51</v>
      </c>
      <c r="I1242" s="10" t="s">
        <v>71</v>
      </c>
      <c r="J1242" s="10" t="s">
        <v>32</v>
      </c>
      <c r="K1242" s="10" t="s">
        <v>22</v>
      </c>
      <c r="L1242" s="10" t="s">
        <v>1635</v>
      </c>
    </row>
    <row r="1243" spans="1:12" x14ac:dyDescent="0.35">
      <c r="A1243" s="9">
        <v>1242</v>
      </c>
      <c r="B1243" s="19">
        <v>45959.209004629629</v>
      </c>
      <c r="C1243" s="20">
        <v>45959</v>
      </c>
      <c r="D1243" s="8" t="s">
        <v>342</v>
      </c>
      <c r="E1243" s="12">
        <v>500</v>
      </c>
      <c r="F1243" s="3">
        <v>0</v>
      </c>
      <c r="G1243" s="3">
        <v>0</v>
      </c>
      <c r="H1243" s="8" t="s">
        <v>51</v>
      </c>
      <c r="I1243" s="8" t="s">
        <v>52</v>
      </c>
      <c r="J1243" s="8" t="s">
        <v>33</v>
      </c>
      <c r="K1243" s="8" t="s">
        <v>22</v>
      </c>
      <c r="L1243" s="8" t="s">
        <v>1636</v>
      </c>
    </row>
    <row r="1244" spans="1:12" x14ac:dyDescent="0.35">
      <c r="A1244" s="11">
        <v>1243</v>
      </c>
      <c r="B1244" s="17">
        <v>45959.457384259258</v>
      </c>
      <c r="C1244" s="18">
        <v>45959</v>
      </c>
      <c r="D1244" s="10" t="s">
        <v>1637</v>
      </c>
      <c r="E1244" s="14">
        <v>3200</v>
      </c>
      <c r="F1244" s="5">
        <v>0</v>
      </c>
      <c r="G1244" s="5">
        <v>0</v>
      </c>
      <c r="H1244" s="10" t="s">
        <v>51</v>
      </c>
      <c r="I1244" s="10" t="s">
        <v>52</v>
      </c>
      <c r="J1244" s="10" t="s">
        <v>30</v>
      </c>
      <c r="K1244" s="10" t="s">
        <v>22</v>
      </c>
      <c r="L1244" s="10" t="s">
        <v>1638</v>
      </c>
    </row>
    <row r="1245" spans="1:12" x14ac:dyDescent="0.35">
      <c r="A1245" s="9">
        <v>1244</v>
      </c>
      <c r="B1245" s="19">
        <v>45959.457418981481</v>
      </c>
      <c r="C1245" s="20">
        <v>45959</v>
      </c>
      <c r="D1245" s="8" t="s">
        <v>394</v>
      </c>
      <c r="E1245" s="3">
        <v>0</v>
      </c>
      <c r="F1245" s="13">
        <v>3200</v>
      </c>
      <c r="G1245" s="3">
        <v>3200</v>
      </c>
      <c r="H1245" s="8" t="s">
        <v>51</v>
      </c>
      <c r="I1245" s="8" t="s">
        <v>71</v>
      </c>
      <c r="J1245" s="8" t="s">
        <v>32</v>
      </c>
      <c r="K1245" s="8" t="s">
        <v>22</v>
      </c>
      <c r="L1245" s="8" t="s">
        <v>1639</v>
      </c>
    </row>
    <row r="1246" spans="1:12" x14ac:dyDescent="0.35">
      <c r="A1246" s="11">
        <v>1245</v>
      </c>
      <c r="B1246" s="17">
        <v>45959.476469907408</v>
      </c>
      <c r="C1246" s="18">
        <v>45959</v>
      </c>
      <c r="D1246" s="10" t="s">
        <v>1637</v>
      </c>
      <c r="E1246" s="14">
        <v>2500</v>
      </c>
      <c r="F1246" s="5">
        <v>0</v>
      </c>
      <c r="G1246" s="5">
        <v>0</v>
      </c>
      <c r="H1246" s="10" t="s">
        <v>51</v>
      </c>
      <c r="I1246" s="10" t="s">
        <v>52</v>
      </c>
      <c r="J1246" s="10" t="s">
        <v>30</v>
      </c>
      <c r="K1246" s="10" t="s">
        <v>22</v>
      </c>
      <c r="L1246" s="10" t="s">
        <v>1640</v>
      </c>
    </row>
    <row r="1247" spans="1:12" x14ac:dyDescent="0.35">
      <c r="A1247" s="9">
        <v>1246</v>
      </c>
      <c r="B1247" s="19">
        <v>45959.476539351846</v>
      </c>
      <c r="C1247" s="20">
        <v>45959</v>
      </c>
      <c r="D1247" s="8" t="s">
        <v>394</v>
      </c>
      <c r="E1247" s="3">
        <v>0</v>
      </c>
      <c r="F1247" s="13">
        <v>2500</v>
      </c>
      <c r="G1247" s="3">
        <v>2500</v>
      </c>
      <c r="H1247" s="8" t="s">
        <v>51</v>
      </c>
      <c r="I1247" s="8" t="s">
        <v>71</v>
      </c>
      <c r="J1247" s="8" t="s">
        <v>32</v>
      </c>
      <c r="K1247" s="8" t="s">
        <v>22</v>
      </c>
      <c r="L1247" s="8" t="s">
        <v>1641</v>
      </c>
    </row>
    <row r="1248" spans="1:12" x14ac:dyDescent="0.35">
      <c r="A1248" s="11">
        <v>1247</v>
      </c>
      <c r="B1248" s="17">
        <v>45959.560069444437</v>
      </c>
      <c r="C1248" s="18">
        <v>45959</v>
      </c>
      <c r="D1248" s="10" t="s">
        <v>1642</v>
      </c>
      <c r="E1248" s="14">
        <v>3100</v>
      </c>
      <c r="F1248" s="5">
        <v>0</v>
      </c>
      <c r="G1248" s="5">
        <v>0</v>
      </c>
      <c r="H1248" s="10" t="s">
        <v>33</v>
      </c>
      <c r="I1248" s="10" t="s">
        <v>52</v>
      </c>
      <c r="J1248" s="10" t="s">
        <v>34</v>
      </c>
      <c r="K1248" s="10" t="s">
        <v>22</v>
      </c>
      <c r="L1248" s="10" t="s">
        <v>1643</v>
      </c>
    </row>
    <row r="1249" spans="1:12" x14ac:dyDescent="0.35">
      <c r="A1249" s="9">
        <v>1248</v>
      </c>
      <c r="B1249" s="19">
        <v>45959.560069444437</v>
      </c>
      <c r="C1249" s="20">
        <v>45959</v>
      </c>
      <c r="D1249" s="8" t="s">
        <v>394</v>
      </c>
      <c r="E1249" s="3">
        <v>0</v>
      </c>
      <c r="F1249" s="13">
        <v>3100</v>
      </c>
      <c r="G1249" s="3">
        <v>3100</v>
      </c>
      <c r="H1249" s="8" t="s">
        <v>51</v>
      </c>
      <c r="I1249" s="8" t="s">
        <v>71</v>
      </c>
      <c r="J1249" s="8" t="s">
        <v>32</v>
      </c>
      <c r="K1249" s="8" t="s">
        <v>22</v>
      </c>
      <c r="L1249" s="8" t="s">
        <v>1644</v>
      </c>
    </row>
    <row r="1250" spans="1:12" x14ac:dyDescent="0.35">
      <c r="A1250" s="11">
        <v>1249</v>
      </c>
      <c r="B1250" s="17">
        <v>45959.862870370373</v>
      </c>
      <c r="C1250" s="18">
        <v>45959</v>
      </c>
      <c r="D1250" s="10" t="s">
        <v>276</v>
      </c>
      <c r="E1250" s="14">
        <v>900</v>
      </c>
      <c r="F1250" s="5">
        <v>0</v>
      </c>
      <c r="G1250" s="5">
        <v>0</v>
      </c>
      <c r="H1250" s="10" t="s">
        <v>51</v>
      </c>
      <c r="I1250" s="10" t="s">
        <v>52</v>
      </c>
      <c r="J1250" s="10" t="s">
        <v>36</v>
      </c>
      <c r="K1250" s="10" t="s">
        <v>22</v>
      </c>
      <c r="L1250" s="10" t="s">
        <v>1645</v>
      </c>
    </row>
    <row r="1251" spans="1:12" x14ac:dyDescent="0.35">
      <c r="A1251" s="9">
        <v>1250</v>
      </c>
      <c r="B1251" s="19">
        <v>45959.862905092603</v>
      </c>
      <c r="C1251" s="20">
        <v>45959</v>
      </c>
      <c r="D1251" s="8" t="s">
        <v>394</v>
      </c>
      <c r="E1251" s="3">
        <v>0</v>
      </c>
      <c r="F1251" s="13">
        <v>900</v>
      </c>
      <c r="G1251" s="3">
        <v>900</v>
      </c>
      <c r="H1251" s="8" t="s">
        <v>51</v>
      </c>
      <c r="I1251" s="8" t="s">
        <v>71</v>
      </c>
      <c r="J1251" s="8" t="s">
        <v>32</v>
      </c>
      <c r="K1251" s="8" t="s">
        <v>22</v>
      </c>
      <c r="L1251" s="8" t="s">
        <v>1646</v>
      </c>
    </row>
    <row r="1252" spans="1:12" x14ac:dyDescent="0.35">
      <c r="A1252" s="11">
        <v>1251</v>
      </c>
      <c r="B1252" s="17">
        <v>45960.209004629629</v>
      </c>
      <c r="C1252" s="18">
        <v>45960</v>
      </c>
      <c r="D1252" s="10" t="s">
        <v>394</v>
      </c>
      <c r="E1252" s="5">
        <v>0</v>
      </c>
      <c r="F1252" s="15">
        <v>500</v>
      </c>
      <c r="G1252" s="5">
        <v>500</v>
      </c>
      <c r="H1252" s="10" t="s">
        <v>51</v>
      </c>
      <c r="I1252" s="10" t="s">
        <v>71</v>
      </c>
      <c r="J1252" s="10" t="s">
        <v>32</v>
      </c>
      <c r="K1252" s="10" t="s">
        <v>22</v>
      </c>
      <c r="L1252" s="10" t="s">
        <v>1647</v>
      </c>
    </row>
    <row r="1253" spans="1:12" x14ac:dyDescent="0.35">
      <c r="A1253" s="9">
        <v>1252</v>
      </c>
      <c r="B1253" s="19">
        <v>45960.209004629629</v>
      </c>
      <c r="C1253" s="20">
        <v>45960</v>
      </c>
      <c r="D1253" s="8" t="s">
        <v>342</v>
      </c>
      <c r="E1253" s="12">
        <v>500</v>
      </c>
      <c r="F1253" s="3">
        <v>0</v>
      </c>
      <c r="G1253" s="3">
        <v>0</v>
      </c>
      <c r="H1253" s="8" t="s">
        <v>51</v>
      </c>
      <c r="I1253" s="8" t="s">
        <v>52</v>
      </c>
      <c r="J1253" s="8" t="s">
        <v>33</v>
      </c>
      <c r="K1253" s="8" t="s">
        <v>22</v>
      </c>
      <c r="L1253" s="8" t="s">
        <v>1648</v>
      </c>
    </row>
    <row r="1254" spans="1:12" x14ac:dyDescent="0.35">
      <c r="A1254" s="11">
        <v>1253</v>
      </c>
      <c r="B1254" s="17">
        <v>45960.490520833337</v>
      </c>
      <c r="C1254" s="18">
        <v>45960</v>
      </c>
      <c r="D1254" s="10" t="s">
        <v>1649</v>
      </c>
      <c r="E1254" s="5">
        <v>0</v>
      </c>
      <c r="F1254" s="15">
        <v>100000</v>
      </c>
      <c r="G1254" s="5">
        <v>100000</v>
      </c>
      <c r="H1254" s="10" t="s">
        <v>51</v>
      </c>
      <c r="I1254" s="10" t="s">
        <v>71</v>
      </c>
      <c r="J1254" s="10" t="s">
        <v>30</v>
      </c>
      <c r="K1254" s="10" t="s">
        <v>22</v>
      </c>
      <c r="L1254" s="10" t="s">
        <v>1650</v>
      </c>
    </row>
    <row r="1255" spans="1:12" x14ac:dyDescent="0.35">
      <c r="A1255" s="9">
        <v>1254</v>
      </c>
      <c r="B1255" s="19">
        <v>45960.490543981483</v>
      </c>
      <c r="C1255" s="20">
        <v>45960</v>
      </c>
      <c r="D1255" s="8" t="s">
        <v>79</v>
      </c>
      <c r="E1255" s="12">
        <v>50</v>
      </c>
      <c r="F1255" s="3">
        <v>0</v>
      </c>
      <c r="G1255" s="3">
        <v>99950</v>
      </c>
      <c r="H1255" s="8" t="s">
        <v>51</v>
      </c>
      <c r="I1255" s="8" t="s">
        <v>52</v>
      </c>
      <c r="J1255" s="8" t="s">
        <v>36</v>
      </c>
      <c r="K1255" s="8" t="s">
        <v>22</v>
      </c>
      <c r="L1255" s="8" t="s">
        <v>1651</v>
      </c>
    </row>
    <row r="1256" spans="1:12" x14ac:dyDescent="0.35">
      <c r="A1256" s="11">
        <v>1255</v>
      </c>
      <c r="B1256" s="17">
        <v>45960.491400462961</v>
      </c>
      <c r="C1256" s="18">
        <v>45960</v>
      </c>
      <c r="D1256" s="10" t="s">
        <v>342</v>
      </c>
      <c r="E1256" s="14">
        <v>68000</v>
      </c>
      <c r="F1256" s="5">
        <v>0</v>
      </c>
      <c r="G1256" s="5">
        <v>31950</v>
      </c>
      <c r="H1256" s="10" t="s">
        <v>51</v>
      </c>
      <c r="I1256" s="10" t="s">
        <v>52</v>
      </c>
      <c r="J1256" s="10" t="s">
        <v>33</v>
      </c>
      <c r="K1256" s="10" t="s">
        <v>22</v>
      </c>
      <c r="L1256" s="10" t="s">
        <v>1652</v>
      </c>
    </row>
    <row r="1257" spans="1:12" x14ac:dyDescent="0.35">
      <c r="A1257" s="9">
        <v>1256</v>
      </c>
      <c r="B1257" s="19">
        <v>45960.492638888893</v>
      </c>
      <c r="C1257" s="20">
        <v>45960</v>
      </c>
      <c r="D1257" s="8" t="s">
        <v>1653</v>
      </c>
      <c r="E1257" s="12">
        <v>31950</v>
      </c>
      <c r="F1257" s="3">
        <v>0</v>
      </c>
      <c r="G1257" s="3">
        <v>0</v>
      </c>
      <c r="H1257" s="8" t="s">
        <v>51</v>
      </c>
      <c r="I1257" s="8" t="s">
        <v>52</v>
      </c>
      <c r="J1257" s="8" t="s">
        <v>32</v>
      </c>
      <c r="K1257" s="8" t="s">
        <v>22</v>
      </c>
      <c r="L1257" s="8" t="s">
        <v>1654</v>
      </c>
    </row>
    <row r="1258" spans="1:12" x14ac:dyDescent="0.35">
      <c r="A1258" s="11">
        <v>1257</v>
      </c>
      <c r="B1258" s="17">
        <v>45960.49386574074</v>
      </c>
      <c r="C1258" s="18">
        <v>45960</v>
      </c>
      <c r="D1258" s="10" t="s">
        <v>1655</v>
      </c>
      <c r="E1258" s="5">
        <v>0</v>
      </c>
      <c r="F1258" s="15">
        <v>46842</v>
      </c>
      <c r="G1258" s="5">
        <v>46842</v>
      </c>
      <c r="H1258" s="10" t="s">
        <v>51</v>
      </c>
      <c r="I1258" s="10" t="s">
        <v>71</v>
      </c>
      <c r="J1258" s="10" t="s">
        <v>32</v>
      </c>
      <c r="K1258" s="10" t="s">
        <v>22</v>
      </c>
      <c r="L1258" s="10" t="s">
        <v>1656</v>
      </c>
    </row>
    <row r="1259" spans="1:12" x14ac:dyDescent="0.35">
      <c r="A1259" s="9">
        <v>1258</v>
      </c>
      <c r="B1259" s="19">
        <v>45960.604166666657</v>
      </c>
      <c r="C1259" s="20">
        <v>45960</v>
      </c>
      <c r="D1259" s="8" t="s">
        <v>1657</v>
      </c>
      <c r="E1259" s="12">
        <v>6300</v>
      </c>
      <c r="F1259" s="3">
        <v>0</v>
      </c>
      <c r="G1259" s="3">
        <v>40542</v>
      </c>
      <c r="H1259" s="8" t="s">
        <v>33</v>
      </c>
      <c r="I1259" s="8" t="s">
        <v>52</v>
      </c>
      <c r="J1259" s="8" t="s">
        <v>34</v>
      </c>
      <c r="K1259" s="8" t="s">
        <v>22</v>
      </c>
      <c r="L1259" s="8" t="s">
        <v>1658</v>
      </c>
    </row>
    <row r="1260" spans="1:12" x14ac:dyDescent="0.35">
      <c r="A1260" s="11">
        <v>1259</v>
      </c>
      <c r="B1260" s="17">
        <v>45960.926678240743</v>
      </c>
      <c r="C1260" s="18">
        <v>45960</v>
      </c>
      <c r="D1260" s="10" t="s">
        <v>426</v>
      </c>
      <c r="E1260" s="14">
        <v>40542</v>
      </c>
      <c r="F1260" s="5">
        <v>0</v>
      </c>
      <c r="G1260" s="5">
        <v>0</v>
      </c>
      <c r="H1260" s="10" t="s">
        <v>51</v>
      </c>
      <c r="I1260" s="10" t="s">
        <v>52</v>
      </c>
      <c r="J1260" s="10" t="s">
        <v>32</v>
      </c>
      <c r="K1260" s="10" t="s">
        <v>22</v>
      </c>
      <c r="L1260" s="10" t="s">
        <v>1659</v>
      </c>
    </row>
    <row r="1261" spans="1:12" x14ac:dyDescent="0.35">
      <c r="A1261" s="9">
        <v>1260</v>
      </c>
      <c r="B1261" s="19">
        <v>45961.209004629629</v>
      </c>
      <c r="C1261" s="20">
        <v>45961</v>
      </c>
      <c r="D1261" s="8" t="s">
        <v>342</v>
      </c>
      <c r="E1261" s="12">
        <v>500</v>
      </c>
      <c r="F1261" s="3">
        <v>0</v>
      </c>
      <c r="G1261" s="3">
        <v>0</v>
      </c>
      <c r="H1261" s="8" t="s">
        <v>51</v>
      </c>
      <c r="I1261" s="8" t="s">
        <v>52</v>
      </c>
      <c r="J1261" s="8" t="s">
        <v>33</v>
      </c>
      <c r="K1261" s="8" t="s">
        <v>22</v>
      </c>
      <c r="L1261" s="8" t="s">
        <v>1660</v>
      </c>
    </row>
    <row r="1262" spans="1:12" x14ac:dyDescent="0.35">
      <c r="A1262" s="11">
        <v>1261</v>
      </c>
      <c r="B1262" s="17">
        <v>45961.209016203713</v>
      </c>
      <c r="C1262" s="18">
        <v>45961</v>
      </c>
      <c r="D1262" s="10" t="s">
        <v>394</v>
      </c>
      <c r="E1262" s="5">
        <v>0</v>
      </c>
      <c r="F1262" s="15">
        <v>500</v>
      </c>
      <c r="G1262" s="5">
        <v>500</v>
      </c>
      <c r="H1262" s="10" t="s">
        <v>51</v>
      </c>
      <c r="I1262" s="10" t="s">
        <v>71</v>
      </c>
      <c r="J1262" s="10" t="s">
        <v>32</v>
      </c>
      <c r="K1262" s="10" t="s">
        <v>22</v>
      </c>
      <c r="L1262" s="10" t="s">
        <v>1661</v>
      </c>
    </row>
    <row r="1263" spans="1:12" x14ac:dyDescent="0.35">
      <c r="A1263" s="9">
        <v>1262</v>
      </c>
      <c r="B1263" s="19">
        <v>45961.371192129627</v>
      </c>
      <c r="C1263" s="20">
        <v>45961</v>
      </c>
      <c r="D1263" s="8" t="s">
        <v>276</v>
      </c>
      <c r="E1263" s="12">
        <v>900</v>
      </c>
      <c r="F1263" s="3">
        <v>0</v>
      </c>
      <c r="G1263" s="3">
        <v>0</v>
      </c>
      <c r="H1263" s="8" t="s">
        <v>51</v>
      </c>
      <c r="I1263" s="8" t="s">
        <v>52</v>
      </c>
      <c r="J1263" s="8" t="s">
        <v>36</v>
      </c>
      <c r="K1263" s="8" t="s">
        <v>22</v>
      </c>
      <c r="L1263" s="8" t="s">
        <v>1662</v>
      </c>
    </row>
    <row r="1264" spans="1:12" x14ac:dyDescent="0.35">
      <c r="A1264" s="11">
        <v>1263</v>
      </c>
      <c r="B1264" s="17">
        <v>45961.371238425927</v>
      </c>
      <c r="C1264" s="18">
        <v>45961</v>
      </c>
      <c r="D1264" s="10" t="s">
        <v>394</v>
      </c>
      <c r="E1264" s="5">
        <v>0</v>
      </c>
      <c r="F1264" s="15">
        <v>900</v>
      </c>
      <c r="G1264" s="5">
        <v>900</v>
      </c>
      <c r="H1264" s="10" t="s">
        <v>51</v>
      </c>
      <c r="I1264" s="10" t="s">
        <v>71</v>
      </c>
      <c r="J1264" s="10" t="s">
        <v>32</v>
      </c>
      <c r="K1264" s="10" t="s">
        <v>22</v>
      </c>
      <c r="L1264" s="10" t="s">
        <v>1663</v>
      </c>
    </row>
    <row r="1265" spans="1:12" x14ac:dyDescent="0.35">
      <c r="A1265" s="9">
        <v>1264</v>
      </c>
      <c r="B1265" s="19">
        <v>45961.401261574072</v>
      </c>
      <c r="C1265" s="20">
        <v>45961</v>
      </c>
      <c r="D1265" s="8" t="s">
        <v>1664</v>
      </c>
      <c r="E1265" s="12">
        <v>8500</v>
      </c>
      <c r="F1265" s="3">
        <v>0</v>
      </c>
      <c r="G1265" s="3">
        <v>0</v>
      </c>
      <c r="H1265" s="8" t="s">
        <v>51</v>
      </c>
      <c r="I1265" s="8" t="s">
        <v>52</v>
      </c>
      <c r="J1265" s="8" t="s">
        <v>30</v>
      </c>
      <c r="K1265" s="8" t="s">
        <v>22</v>
      </c>
      <c r="L1265" s="8" t="s">
        <v>1665</v>
      </c>
    </row>
    <row r="1266" spans="1:12" x14ac:dyDescent="0.35">
      <c r="A1266" s="11">
        <v>1265</v>
      </c>
      <c r="B1266" s="17">
        <v>45961.401307870372</v>
      </c>
      <c r="C1266" s="18">
        <v>45961</v>
      </c>
      <c r="D1266" s="10" t="s">
        <v>394</v>
      </c>
      <c r="E1266" s="5">
        <v>0</v>
      </c>
      <c r="F1266" s="15">
        <v>8500</v>
      </c>
      <c r="G1266" s="5">
        <v>8500</v>
      </c>
      <c r="H1266" s="10" t="s">
        <v>51</v>
      </c>
      <c r="I1266" s="10" t="s">
        <v>71</v>
      </c>
      <c r="J1266" s="10" t="s">
        <v>32</v>
      </c>
      <c r="K1266" s="10" t="s">
        <v>22</v>
      </c>
      <c r="L1266" s="10" t="s">
        <v>1666</v>
      </c>
    </row>
    <row r="1267" spans="1:12" x14ac:dyDescent="0.35">
      <c r="A1267" s="9">
        <v>1266</v>
      </c>
      <c r="B1267" s="19">
        <v>45961.429016203707</v>
      </c>
      <c r="C1267" s="20">
        <v>45961</v>
      </c>
      <c r="D1267" s="8" t="s">
        <v>1667</v>
      </c>
      <c r="E1267" s="12">
        <v>2100</v>
      </c>
      <c r="F1267" s="3">
        <v>0</v>
      </c>
      <c r="G1267" s="3">
        <v>0</v>
      </c>
      <c r="H1267" s="8" t="s">
        <v>33</v>
      </c>
      <c r="I1267" s="8" t="s">
        <v>52</v>
      </c>
      <c r="J1267" s="8" t="s">
        <v>34</v>
      </c>
      <c r="K1267" s="8" t="s">
        <v>22</v>
      </c>
      <c r="L1267" s="8" t="s">
        <v>1668</v>
      </c>
    </row>
    <row r="1268" spans="1:12" x14ac:dyDescent="0.35">
      <c r="A1268" s="11">
        <v>1267</v>
      </c>
      <c r="B1268" s="17">
        <v>45961.429027777784</v>
      </c>
      <c r="C1268" s="18">
        <v>45961</v>
      </c>
      <c r="D1268" s="10" t="s">
        <v>394</v>
      </c>
      <c r="E1268" s="5">
        <v>0</v>
      </c>
      <c r="F1268" s="15">
        <v>2100</v>
      </c>
      <c r="G1268" s="5">
        <v>2100</v>
      </c>
      <c r="H1268" s="10" t="s">
        <v>51</v>
      </c>
      <c r="I1268" s="10" t="s">
        <v>71</v>
      </c>
      <c r="J1268" s="10" t="s">
        <v>32</v>
      </c>
      <c r="K1268" s="10" t="s">
        <v>22</v>
      </c>
      <c r="L1268" s="10" t="s">
        <v>1669</v>
      </c>
    </row>
    <row r="1269" spans="1:12" x14ac:dyDescent="0.35">
      <c r="A1269" s="9">
        <v>1268</v>
      </c>
      <c r="B1269" s="19">
        <v>45962.209062499998</v>
      </c>
      <c r="C1269" s="20">
        <v>45962</v>
      </c>
      <c r="D1269" s="8" t="s">
        <v>342</v>
      </c>
      <c r="E1269" s="12">
        <v>500</v>
      </c>
      <c r="F1269" s="3">
        <v>0</v>
      </c>
      <c r="G1269" s="3">
        <v>0</v>
      </c>
      <c r="H1269" s="8" t="s">
        <v>51</v>
      </c>
      <c r="I1269" s="8" t="s">
        <v>52</v>
      </c>
      <c r="J1269" s="8" t="s">
        <v>33</v>
      </c>
      <c r="K1269" s="8" t="s">
        <v>23</v>
      </c>
      <c r="L1269" s="8" t="s">
        <v>1670</v>
      </c>
    </row>
    <row r="1270" spans="1:12" x14ac:dyDescent="0.35">
      <c r="A1270" s="11">
        <v>1269</v>
      </c>
      <c r="B1270" s="17">
        <v>45962.209074074082</v>
      </c>
      <c r="C1270" s="18">
        <v>45962</v>
      </c>
      <c r="D1270" s="10" t="s">
        <v>394</v>
      </c>
      <c r="E1270" s="5">
        <v>0</v>
      </c>
      <c r="F1270" s="15">
        <v>500</v>
      </c>
      <c r="G1270" s="5">
        <v>500</v>
      </c>
      <c r="H1270" s="10" t="s">
        <v>51</v>
      </c>
      <c r="I1270" s="10" t="s">
        <v>71</v>
      </c>
      <c r="J1270" s="10" t="s">
        <v>32</v>
      </c>
      <c r="K1270" s="10" t="s">
        <v>23</v>
      </c>
      <c r="L1270" s="10" t="s">
        <v>1671</v>
      </c>
    </row>
    <row r="1271" spans="1:12" x14ac:dyDescent="0.35">
      <c r="A1271" s="9">
        <v>1270</v>
      </c>
      <c r="B1271" s="19">
        <v>45962.556157407409</v>
      </c>
      <c r="C1271" s="20">
        <v>45962</v>
      </c>
      <c r="D1271" s="8" t="s">
        <v>276</v>
      </c>
      <c r="E1271" s="12">
        <v>900</v>
      </c>
      <c r="F1271" s="3">
        <v>0</v>
      </c>
      <c r="G1271" s="3">
        <v>0</v>
      </c>
      <c r="H1271" s="8" t="s">
        <v>51</v>
      </c>
      <c r="I1271" s="8" t="s">
        <v>52</v>
      </c>
      <c r="J1271" s="8" t="s">
        <v>36</v>
      </c>
      <c r="K1271" s="8" t="s">
        <v>23</v>
      </c>
      <c r="L1271" s="8" t="s">
        <v>1672</v>
      </c>
    </row>
    <row r="1272" spans="1:12" x14ac:dyDescent="0.35">
      <c r="A1272" s="11">
        <v>1271</v>
      </c>
      <c r="B1272" s="17">
        <v>45962.556203703702</v>
      </c>
      <c r="C1272" s="18">
        <v>45962</v>
      </c>
      <c r="D1272" s="10" t="s">
        <v>394</v>
      </c>
      <c r="E1272" s="5">
        <v>0</v>
      </c>
      <c r="F1272" s="15">
        <v>900</v>
      </c>
      <c r="G1272" s="5">
        <v>900</v>
      </c>
      <c r="H1272" s="10" t="s">
        <v>51</v>
      </c>
      <c r="I1272" s="10" t="s">
        <v>71</v>
      </c>
      <c r="J1272" s="10" t="s">
        <v>32</v>
      </c>
      <c r="K1272" s="10" t="s">
        <v>23</v>
      </c>
      <c r="L1272" s="10" t="s">
        <v>1673</v>
      </c>
    </row>
    <row r="1273" spans="1:12" x14ac:dyDescent="0.35">
      <c r="A1273" s="9">
        <v>1272</v>
      </c>
      <c r="B1273" s="19">
        <v>45962.55914351852</v>
      </c>
      <c r="C1273" s="20">
        <v>45962</v>
      </c>
      <c r="D1273" s="8" t="s">
        <v>276</v>
      </c>
      <c r="E1273" s="12">
        <v>900</v>
      </c>
      <c r="F1273" s="3">
        <v>0</v>
      </c>
      <c r="G1273" s="3">
        <v>0</v>
      </c>
      <c r="H1273" s="8" t="s">
        <v>51</v>
      </c>
      <c r="I1273" s="8" t="s">
        <v>52</v>
      </c>
      <c r="J1273" s="8" t="s">
        <v>36</v>
      </c>
      <c r="K1273" s="8" t="s">
        <v>23</v>
      </c>
      <c r="L1273" s="8" t="s">
        <v>1674</v>
      </c>
    </row>
    <row r="1274" spans="1:12" x14ac:dyDescent="0.35">
      <c r="A1274" s="11">
        <v>1273</v>
      </c>
      <c r="B1274" s="17">
        <v>45962.559189814812</v>
      </c>
      <c r="C1274" s="18">
        <v>45962</v>
      </c>
      <c r="D1274" s="10" t="s">
        <v>394</v>
      </c>
      <c r="E1274" s="5">
        <v>0</v>
      </c>
      <c r="F1274" s="15">
        <v>900</v>
      </c>
      <c r="G1274" s="5">
        <v>900</v>
      </c>
      <c r="H1274" s="10" t="s">
        <v>51</v>
      </c>
      <c r="I1274" s="10" t="s">
        <v>71</v>
      </c>
      <c r="J1274" s="10" t="s">
        <v>32</v>
      </c>
      <c r="K1274" s="10" t="s">
        <v>23</v>
      </c>
      <c r="L1274" s="10" t="s">
        <v>1675</v>
      </c>
    </row>
    <row r="1275" spans="1:12" x14ac:dyDescent="0.35">
      <c r="A1275" s="9">
        <v>1274</v>
      </c>
      <c r="B1275" s="19">
        <v>45963.209016203713</v>
      </c>
      <c r="C1275" s="20">
        <v>45963</v>
      </c>
      <c r="D1275" s="8" t="s">
        <v>394</v>
      </c>
      <c r="E1275" s="3">
        <v>0</v>
      </c>
      <c r="F1275" s="13">
        <v>500</v>
      </c>
      <c r="G1275" s="3">
        <v>500</v>
      </c>
      <c r="H1275" s="8" t="s">
        <v>51</v>
      </c>
      <c r="I1275" s="8" t="s">
        <v>71</v>
      </c>
      <c r="J1275" s="8" t="s">
        <v>32</v>
      </c>
      <c r="K1275" s="8" t="s">
        <v>23</v>
      </c>
      <c r="L1275" s="8" t="s">
        <v>1676</v>
      </c>
    </row>
    <row r="1276" spans="1:12" x14ac:dyDescent="0.35">
      <c r="A1276" s="11">
        <v>1275</v>
      </c>
      <c r="B1276" s="17">
        <v>45963.209016203713</v>
      </c>
      <c r="C1276" s="18">
        <v>45963</v>
      </c>
      <c r="D1276" s="10" t="s">
        <v>342</v>
      </c>
      <c r="E1276" s="14">
        <v>500</v>
      </c>
      <c r="F1276" s="5">
        <v>0</v>
      </c>
      <c r="G1276" s="5">
        <v>0</v>
      </c>
      <c r="H1276" s="10" t="s">
        <v>51</v>
      </c>
      <c r="I1276" s="10" t="s">
        <v>52</v>
      </c>
      <c r="J1276" s="10" t="s">
        <v>33</v>
      </c>
      <c r="K1276" s="10" t="s">
        <v>23</v>
      </c>
      <c r="L1276" s="10" t="s">
        <v>1677</v>
      </c>
    </row>
    <row r="1277" spans="1:12" x14ac:dyDescent="0.35">
      <c r="A1277" s="9">
        <v>1276</v>
      </c>
      <c r="B1277" s="19">
        <v>45963.609189814822</v>
      </c>
      <c r="C1277" s="20">
        <v>45963</v>
      </c>
      <c r="D1277" s="8" t="s">
        <v>1589</v>
      </c>
      <c r="E1277" s="3">
        <v>0</v>
      </c>
      <c r="F1277" s="13">
        <v>107000</v>
      </c>
      <c r="G1277" s="3">
        <v>107000</v>
      </c>
      <c r="H1277" s="8" t="s">
        <v>51</v>
      </c>
      <c r="I1277" s="8" t="s">
        <v>71</v>
      </c>
      <c r="J1277" s="8" t="s">
        <v>31</v>
      </c>
      <c r="K1277" s="8" t="s">
        <v>23</v>
      </c>
      <c r="L1277" s="8" t="s">
        <v>1678</v>
      </c>
    </row>
    <row r="1278" spans="1:12" x14ac:dyDescent="0.35">
      <c r="A1278" s="11">
        <v>1277</v>
      </c>
      <c r="B1278" s="17">
        <v>45963.609236111108</v>
      </c>
      <c r="C1278" s="18">
        <v>45963</v>
      </c>
      <c r="D1278" s="10" t="s">
        <v>79</v>
      </c>
      <c r="E1278" s="14">
        <v>50</v>
      </c>
      <c r="F1278" s="5">
        <v>0</v>
      </c>
      <c r="G1278" s="5">
        <v>106950</v>
      </c>
      <c r="H1278" s="10" t="s">
        <v>51</v>
      </c>
      <c r="I1278" s="10" t="s">
        <v>52</v>
      </c>
      <c r="J1278" s="10" t="s">
        <v>36</v>
      </c>
      <c r="K1278" s="10" t="s">
        <v>23</v>
      </c>
      <c r="L1278" s="10" t="s">
        <v>1679</v>
      </c>
    </row>
    <row r="1279" spans="1:12" x14ac:dyDescent="0.35">
      <c r="A1279" s="9">
        <v>1278</v>
      </c>
      <c r="B1279" s="19">
        <v>45963.820729166669</v>
      </c>
      <c r="C1279" s="20">
        <v>45963</v>
      </c>
      <c r="D1279" s="8" t="s">
        <v>236</v>
      </c>
      <c r="E1279" s="12">
        <v>107000</v>
      </c>
      <c r="F1279" s="3">
        <v>0</v>
      </c>
      <c r="G1279" s="3">
        <v>0</v>
      </c>
      <c r="H1279" s="8" t="s">
        <v>51</v>
      </c>
      <c r="I1279" s="8" t="s">
        <v>52</v>
      </c>
      <c r="J1279" s="8" t="s">
        <v>30</v>
      </c>
      <c r="K1279" s="8" t="s">
        <v>23</v>
      </c>
      <c r="L1279" s="8" t="s">
        <v>1680</v>
      </c>
    </row>
    <row r="1280" spans="1:12" x14ac:dyDescent="0.35">
      <c r="A1280" s="11">
        <v>1279</v>
      </c>
      <c r="B1280" s="17">
        <v>45963.820775462962</v>
      </c>
      <c r="C1280" s="18">
        <v>45963</v>
      </c>
      <c r="D1280" s="10" t="s">
        <v>394</v>
      </c>
      <c r="E1280" s="5">
        <v>0</v>
      </c>
      <c r="F1280" s="15">
        <v>50</v>
      </c>
      <c r="G1280" s="5">
        <v>107000</v>
      </c>
      <c r="H1280" s="10" t="s">
        <v>51</v>
      </c>
      <c r="I1280" s="10" t="s">
        <v>71</v>
      </c>
      <c r="J1280" s="10" t="s">
        <v>32</v>
      </c>
      <c r="K1280" s="10" t="s">
        <v>23</v>
      </c>
      <c r="L1280" s="10" t="s">
        <v>1681</v>
      </c>
    </row>
    <row r="1281" spans="1:12" x14ac:dyDescent="0.35">
      <c r="A1281" s="9">
        <v>1280</v>
      </c>
      <c r="B1281" s="19">
        <v>45963.828379629631</v>
      </c>
      <c r="C1281" s="20">
        <v>45963</v>
      </c>
      <c r="D1281" s="8" t="s">
        <v>236</v>
      </c>
      <c r="E1281" s="12">
        <v>10000</v>
      </c>
      <c r="F1281" s="3">
        <v>0</v>
      </c>
      <c r="G1281" s="3">
        <v>0</v>
      </c>
      <c r="H1281" s="8" t="s">
        <v>51</v>
      </c>
      <c r="I1281" s="8" t="s">
        <v>52</v>
      </c>
      <c r="J1281" s="8" t="s">
        <v>30</v>
      </c>
      <c r="K1281" s="8" t="s">
        <v>23</v>
      </c>
      <c r="L1281" s="8" t="s">
        <v>1682</v>
      </c>
    </row>
    <row r="1282" spans="1:12" x14ac:dyDescent="0.35">
      <c r="A1282" s="11">
        <v>1281</v>
      </c>
      <c r="B1282" s="17">
        <v>45963.828622685192</v>
      </c>
      <c r="C1282" s="18">
        <v>45963</v>
      </c>
      <c r="D1282" s="10" t="s">
        <v>394</v>
      </c>
      <c r="E1282" s="5">
        <v>0</v>
      </c>
      <c r="F1282" s="15">
        <v>10000</v>
      </c>
      <c r="G1282" s="5">
        <v>10000</v>
      </c>
      <c r="H1282" s="10" t="s">
        <v>51</v>
      </c>
      <c r="I1282" s="10" t="s">
        <v>71</v>
      </c>
      <c r="J1282" s="10" t="s">
        <v>32</v>
      </c>
      <c r="K1282" s="10" t="s">
        <v>23</v>
      </c>
      <c r="L1282" s="10" t="s">
        <v>1683</v>
      </c>
    </row>
    <row r="1283" spans="1:12" x14ac:dyDescent="0.35">
      <c r="A1283" s="9">
        <v>1282</v>
      </c>
      <c r="B1283" s="19">
        <v>45964.209016203713</v>
      </c>
      <c r="C1283" s="20">
        <v>45964</v>
      </c>
      <c r="D1283" s="8" t="s">
        <v>394</v>
      </c>
      <c r="E1283" s="3">
        <v>0</v>
      </c>
      <c r="F1283" s="13">
        <v>500</v>
      </c>
      <c r="G1283" s="3">
        <v>500</v>
      </c>
      <c r="H1283" s="8" t="s">
        <v>51</v>
      </c>
      <c r="I1283" s="8" t="s">
        <v>71</v>
      </c>
      <c r="J1283" s="8" t="s">
        <v>32</v>
      </c>
      <c r="K1283" s="8" t="s">
        <v>23</v>
      </c>
      <c r="L1283" s="8" t="s">
        <v>1684</v>
      </c>
    </row>
    <row r="1284" spans="1:12" x14ac:dyDescent="0.35">
      <c r="A1284" s="11">
        <v>1283</v>
      </c>
      <c r="B1284" s="17">
        <v>45964.209016203713</v>
      </c>
      <c r="C1284" s="18">
        <v>45964</v>
      </c>
      <c r="D1284" s="10" t="s">
        <v>342</v>
      </c>
      <c r="E1284" s="14">
        <v>500</v>
      </c>
      <c r="F1284" s="5">
        <v>0</v>
      </c>
      <c r="G1284" s="5">
        <v>0</v>
      </c>
      <c r="H1284" s="10" t="s">
        <v>51</v>
      </c>
      <c r="I1284" s="10" t="s">
        <v>52</v>
      </c>
      <c r="J1284" s="10" t="s">
        <v>33</v>
      </c>
      <c r="K1284" s="10" t="s">
        <v>23</v>
      </c>
      <c r="L1284" s="10" t="s">
        <v>1685</v>
      </c>
    </row>
    <row r="1285" spans="1:12" x14ac:dyDescent="0.35">
      <c r="A1285" s="9">
        <v>1284</v>
      </c>
      <c r="B1285" s="19">
        <v>45964.420775462961</v>
      </c>
      <c r="C1285" s="20">
        <v>45964</v>
      </c>
      <c r="D1285" s="8" t="s">
        <v>1686</v>
      </c>
      <c r="E1285" s="12">
        <v>750</v>
      </c>
      <c r="F1285" s="3">
        <v>0</v>
      </c>
      <c r="G1285" s="3">
        <v>0</v>
      </c>
      <c r="H1285" s="8" t="s">
        <v>51</v>
      </c>
      <c r="I1285" s="8" t="s">
        <v>52</v>
      </c>
      <c r="J1285" s="8" t="s">
        <v>36</v>
      </c>
      <c r="K1285" s="8" t="s">
        <v>23</v>
      </c>
      <c r="L1285" s="8" t="s">
        <v>1687</v>
      </c>
    </row>
    <row r="1286" spans="1:12" x14ac:dyDescent="0.35">
      <c r="A1286" s="11">
        <v>1285</v>
      </c>
      <c r="B1286" s="17">
        <v>45964.42082175926</v>
      </c>
      <c r="C1286" s="18">
        <v>45964</v>
      </c>
      <c r="D1286" s="10" t="s">
        <v>394</v>
      </c>
      <c r="E1286" s="5">
        <v>0</v>
      </c>
      <c r="F1286" s="15">
        <v>750</v>
      </c>
      <c r="G1286" s="5">
        <v>750</v>
      </c>
      <c r="H1286" s="10" t="s">
        <v>51</v>
      </c>
      <c r="I1286" s="10" t="s">
        <v>71</v>
      </c>
      <c r="J1286" s="10" t="s">
        <v>32</v>
      </c>
      <c r="K1286" s="10" t="s">
        <v>23</v>
      </c>
      <c r="L1286" s="10" t="s">
        <v>1688</v>
      </c>
    </row>
    <row r="1287" spans="1:12" x14ac:dyDescent="0.35">
      <c r="A1287" s="9">
        <v>1286</v>
      </c>
      <c r="B1287" s="19">
        <v>45964.551874999997</v>
      </c>
      <c r="C1287" s="20">
        <v>45964</v>
      </c>
      <c r="D1287" s="8" t="s">
        <v>1689</v>
      </c>
      <c r="E1287" s="12">
        <v>1800</v>
      </c>
      <c r="F1287" s="3">
        <v>0</v>
      </c>
      <c r="G1287" s="3">
        <v>0</v>
      </c>
      <c r="H1287" s="8" t="s">
        <v>51</v>
      </c>
      <c r="I1287" s="8" t="s">
        <v>52</v>
      </c>
      <c r="J1287" s="8" t="s">
        <v>30</v>
      </c>
      <c r="K1287" s="8" t="s">
        <v>23</v>
      </c>
      <c r="L1287" s="8" t="s">
        <v>1690</v>
      </c>
    </row>
    <row r="1288" spans="1:12" x14ac:dyDescent="0.35">
      <c r="A1288" s="11">
        <v>1287</v>
      </c>
      <c r="B1288" s="17">
        <v>45964.551921296297</v>
      </c>
      <c r="C1288" s="18">
        <v>45964</v>
      </c>
      <c r="D1288" s="10" t="s">
        <v>394</v>
      </c>
      <c r="E1288" s="5">
        <v>0</v>
      </c>
      <c r="F1288" s="15">
        <v>1800</v>
      </c>
      <c r="G1288" s="5">
        <v>1800</v>
      </c>
      <c r="H1288" s="10" t="s">
        <v>51</v>
      </c>
      <c r="I1288" s="10" t="s">
        <v>71</v>
      </c>
      <c r="J1288" s="10" t="s">
        <v>32</v>
      </c>
      <c r="K1288" s="10" t="s">
        <v>23</v>
      </c>
      <c r="L1288" s="10" t="s">
        <v>1691</v>
      </c>
    </row>
    <row r="1289" spans="1:12" x14ac:dyDescent="0.35">
      <c r="A1289" s="9">
        <v>1288</v>
      </c>
      <c r="B1289" s="19">
        <v>45965.209027777782</v>
      </c>
      <c r="C1289" s="20">
        <v>45965</v>
      </c>
      <c r="D1289" s="8" t="s">
        <v>394</v>
      </c>
      <c r="E1289" s="3">
        <v>0</v>
      </c>
      <c r="F1289" s="13">
        <v>500</v>
      </c>
      <c r="G1289" s="3">
        <v>500</v>
      </c>
      <c r="H1289" s="8" t="s">
        <v>51</v>
      </c>
      <c r="I1289" s="8" t="s">
        <v>71</v>
      </c>
      <c r="J1289" s="8" t="s">
        <v>32</v>
      </c>
      <c r="K1289" s="8" t="s">
        <v>23</v>
      </c>
      <c r="L1289" s="8" t="s">
        <v>1692</v>
      </c>
    </row>
    <row r="1290" spans="1:12" x14ac:dyDescent="0.35">
      <c r="A1290" s="11">
        <v>1289</v>
      </c>
      <c r="B1290" s="17">
        <v>45965.209027777782</v>
      </c>
      <c r="C1290" s="18">
        <v>45965</v>
      </c>
      <c r="D1290" s="10" t="s">
        <v>342</v>
      </c>
      <c r="E1290" s="14">
        <v>500</v>
      </c>
      <c r="F1290" s="5">
        <v>0</v>
      </c>
      <c r="G1290" s="5">
        <v>0</v>
      </c>
      <c r="H1290" s="10" t="s">
        <v>51</v>
      </c>
      <c r="I1290" s="10" t="s">
        <v>52</v>
      </c>
      <c r="J1290" s="10" t="s">
        <v>33</v>
      </c>
      <c r="K1290" s="10" t="s">
        <v>23</v>
      </c>
      <c r="L1290" s="10" t="s">
        <v>1693</v>
      </c>
    </row>
    <row r="1291" spans="1:12" x14ac:dyDescent="0.35">
      <c r="A1291" s="9">
        <v>1290</v>
      </c>
      <c r="B1291" s="19">
        <v>45965.304085648153</v>
      </c>
      <c r="C1291" s="20">
        <v>45965</v>
      </c>
      <c r="D1291" s="8" t="s">
        <v>1694</v>
      </c>
      <c r="E1291" s="12">
        <v>1600</v>
      </c>
      <c r="F1291" s="3">
        <v>0</v>
      </c>
      <c r="G1291" s="3">
        <v>0</v>
      </c>
      <c r="H1291" s="8" t="s">
        <v>51</v>
      </c>
      <c r="I1291" s="8" t="s">
        <v>52</v>
      </c>
      <c r="J1291" s="8" t="s">
        <v>30</v>
      </c>
      <c r="K1291" s="8" t="s">
        <v>23</v>
      </c>
      <c r="L1291" s="8" t="s">
        <v>1695</v>
      </c>
    </row>
    <row r="1292" spans="1:12" x14ac:dyDescent="0.35">
      <c r="A1292" s="11">
        <v>1291</v>
      </c>
      <c r="B1292" s="17">
        <v>45965.304131944453</v>
      </c>
      <c r="C1292" s="18">
        <v>45965</v>
      </c>
      <c r="D1292" s="10" t="s">
        <v>394</v>
      </c>
      <c r="E1292" s="5">
        <v>0</v>
      </c>
      <c r="F1292" s="15">
        <v>1600</v>
      </c>
      <c r="G1292" s="5">
        <v>1600</v>
      </c>
      <c r="H1292" s="10" t="s">
        <v>51</v>
      </c>
      <c r="I1292" s="10" t="s">
        <v>71</v>
      </c>
      <c r="J1292" s="10" t="s">
        <v>32</v>
      </c>
      <c r="K1292" s="10" t="s">
        <v>23</v>
      </c>
      <c r="L1292" s="10" t="s">
        <v>1696</v>
      </c>
    </row>
    <row r="1293" spans="1:12" x14ac:dyDescent="0.35">
      <c r="A1293" s="9">
        <v>1292</v>
      </c>
      <c r="B1293" s="19">
        <v>45965.326539351852</v>
      </c>
      <c r="C1293" s="20">
        <v>45965</v>
      </c>
      <c r="D1293" s="8" t="s">
        <v>188</v>
      </c>
      <c r="E1293" s="12">
        <v>1000</v>
      </c>
      <c r="F1293" s="3">
        <v>0</v>
      </c>
      <c r="G1293" s="3">
        <v>0</v>
      </c>
      <c r="H1293" s="8" t="s">
        <v>51</v>
      </c>
      <c r="I1293" s="8" t="s">
        <v>52</v>
      </c>
      <c r="J1293" s="8" t="s">
        <v>37</v>
      </c>
      <c r="K1293" s="8" t="s">
        <v>23</v>
      </c>
      <c r="L1293" s="8" t="s">
        <v>1697</v>
      </c>
    </row>
    <row r="1294" spans="1:12" x14ac:dyDescent="0.35">
      <c r="A1294" s="11">
        <v>1293</v>
      </c>
      <c r="B1294" s="17">
        <v>45965.326585648138</v>
      </c>
      <c r="C1294" s="18">
        <v>45965</v>
      </c>
      <c r="D1294" s="10" t="s">
        <v>394</v>
      </c>
      <c r="E1294" s="5">
        <v>0</v>
      </c>
      <c r="F1294" s="15">
        <v>1000</v>
      </c>
      <c r="G1294" s="5">
        <v>1000</v>
      </c>
      <c r="H1294" s="10" t="s">
        <v>51</v>
      </c>
      <c r="I1294" s="10" t="s">
        <v>71</v>
      </c>
      <c r="J1294" s="10" t="s">
        <v>32</v>
      </c>
      <c r="K1294" s="10" t="s">
        <v>23</v>
      </c>
      <c r="L1294" s="10" t="s">
        <v>1698</v>
      </c>
    </row>
    <row r="1295" spans="1:12" x14ac:dyDescent="0.35">
      <c r="A1295" s="9">
        <v>1294</v>
      </c>
      <c r="B1295" s="19">
        <v>45965.458645833343</v>
      </c>
      <c r="C1295" s="20">
        <v>45965</v>
      </c>
      <c r="D1295" s="8" t="s">
        <v>1699</v>
      </c>
      <c r="E1295" s="12">
        <v>3000</v>
      </c>
      <c r="F1295" s="3">
        <v>0</v>
      </c>
      <c r="G1295" s="3">
        <v>0</v>
      </c>
      <c r="H1295" s="8" t="s">
        <v>51</v>
      </c>
      <c r="I1295" s="8" t="s">
        <v>52</v>
      </c>
      <c r="J1295" s="8" t="s">
        <v>30</v>
      </c>
      <c r="K1295" s="8" t="s">
        <v>23</v>
      </c>
      <c r="L1295" s="8" t="s">
        <v>1700</v>
      </c>
    </row>
    <row r="1296" spans="1:12" x14ac:dyDescent="0.35">
      <c r="A1296" s="11">
        <v>1295</v>
      </c>
      <c r="B1296" s="17">
        <v>45965.458680555559</v>
      </c>
      <c r="C1296" s="18">
        <v>45965</v>
      </c>
      <c r="D1296" s="10" t="s">
        <v>394</v>
      </c>
      <c r="E1296" s="5">
        <v>0</v>
      </c>
      <c r="F1296" s="15">
        <v>3000</v>
      </c>
      <c r="G1296" s="5">
        <v>3000</v>
      </c>
      <c r="H1296" s="10" t="s">
        <v>51</v>
      </c>
      <c r="I1296" s="10" t="s">
        <v>71</v>
      </c>
      <c r="J1296" s="10" t="s">
        <v>32</v>
      </c>
      <c r="K1296" s="10" t="s">
        <v>23</v>
      </c>
      <c r="L1296" s="10" t="s">
        <v>1701</v>
      </c>
    </row>
    <row r="1297" spans="1:12" x14ac:dyDescent="0.35">
      <c r="A1297" s="9">
        <v>1296</v>
      </c>
      <c r="B1297" s="19">
        <v>45965.558263888888</v>
      </c>
      <c r="C1297" s="20">
        <v>45965</v>
      </c>
      <c r="D1297" s="8" t="s">
        <v>1411</v>
      </c>
      <c r="E1297" s="12">
        <v>1300</v>
      </c>
      <c r="F1297" s="3">
        <v>0</v>
      </c>
      <c r="G1297" s="3">
        <v>0</v>
      </c>
      <c r="H1297" s="8" t="s">
        <v>51</v>
      </c>
      <c r="I1297" s="8" t="s">
        <v>52</v>
      </c>
      <c r="J1297" s="8" t="s">
        <v>30</v>
      </c>
      <c r="K1297" s="8" t="s">
        <v>23</v>
      </c>
      <c r="L1297" s="8" t="s">
        <v>1702</v>
      </c>
    </row>
    <row r="1298" spans="1:12" x14ac:dyDescent="0.35">
      <c r="A1298" s="11">
        <v>1297</v>
      </c>
      <c r="B1298" s="17">
        <v>45965.558310185188</v>
      </c>
      <c r="C1298" s="18">
        <v>45965</v>
      </c>
      <c r="D1298" s="10" t="s">
        <v>394</v>
      </c>
      <c r="E1298" s="5">
        <v>0</v>
      </c>
      <c r="F1298" s="15">
        <v>1300</v>
      </c>
      <c r="G1298" s="5">
        <v>1300</v>
      </c>
      <c r="H1298" s="10" t="s">
        <v>51</v>
      </c>
      <c r="I1298" s="10" t="s">
        <v>71</v>
      </c>
      <c r="J1298" s="10" t="s">
        <v>32</v>
      </c>
      <c r="K1298" s="10" t="s">
        <v>23</v>
      </c>
      <c r="L1298" s="10" t="s">
        <v>1703</v>
      </c>
    </row>
    <row r="1299" spans="1:12" x14ac:dyDescent="0.35">
      <c r="A1299" s="9">
        <v>1298</v>
      </c>
      <c r="B1299" s="19">
        <v>45965.687326388892</v>
      </c>
      <c r="C1299" s="20">
        <v>45965</v>
      </c>
      <c r="D1299" s="8" t="s">
        <v>1686</v>
      </c>
      <c r="E1299" s="12">
        <v>750</v>
      </c>
      <c r="F1299" s="3">
        <v>0</v>
      </c>
      <c r="G1299" s="3">
        <v>0</v>
      </c>
      <c r="H1299" s="8" t="s">
        <v>51</v>
      </c>
      <c r="I1299" s="8" t="s">
        <v>52</v>
      </c>
      <c r="J1299" s="8" t="s">
        <v>36</v>
      </c>
      <c r="K1299" s="8" t="s">
        <v>23</v>
      </c>
      <c r="L1299" s="8" t="s">
        <v>1704</v>
      </c>
    </row>
    <row r="1300" spans="1:12" x14ac:dyDescent="0.35">
      <c r="A1300" s="11">
        <v>1299</v>
      </c>
      <c r="B1300" s="17">
        <v>45965.687372685177</v>
      </c>
      <c r="C1300" s="18">
        <v>45965</v>
      </c>
      <c r="D1300" s="10" t="s">
        <v>394</v>
      </c>
      <c r="E1300" s="5">
        <v>0</v>
      </c>
      <c r="F1300" s="15">
        <v>750</v>
      </c>
      <c r="G1300" s="5">
        <v>750</v>
      </c>
      <c r="H1300" s="10" t="s">
        <v>51</v>
      </c>
      <c r="I1300" s="10" t="s">
        <v>71</v>
      </c>
      <c r="J1300" s="10" t="s">
        <v>32</v>
      </c>
      <c r="K1300" s="10" t="s">
        <v>23</v>
      </c>
      <c r="L1300" s="10" t="s">
        <v>1705</v>
      </c>
    </row>
    <row r="1301" spans="1:12" x14ac:dyDescent="0.35">
      <c r="A1301" s="9">
        <v>1300</v>
      </c>
      <c r="B1301" s="19">
        <v>45966.209016203713</v>
      </c>
      <c r="C1301" s="20">
        <v>45966</v>
      </c>
      <c r="D1301" s="8" t="s">
        <v>394</v>
      </c>
      <c r="E1301" s="3">
        <v>0</v>
      </c>
      <c r="F1301" s="13">
        <v>500</v>
      </c>
      <c r="G1301" s="3">
        <v>500</v>
      </c>
      <c r="H1301" s="8" t="s">
        <v>51</v>
      </c>
      <c r="I1301" s="8" t="s">
        <v>71</v>
      </c>
      <c r="J1301" s="8" t="s">
        <v>32</v>
      </c>
      <c r="K1301" s="8" t="s">
        <v>23</v>
      </c>
      <c r="L1301" s="8" t="s">
        <v>1706</v>
      </c>
    </row>
    <row r="1302" spans="1:12" x14ac:dyDescent="0.35">
      <c r="A1302" s="11">
        <v>1301</v>
      </c>
      <c r="B1302" s="17">
        <v>45966.209016203713</v>
      </c>
      <c r="C1302" s="18">
        <v>45966</v>
      </c>
      <c r="D1302" s="10" t="s">
        <v>342</v>
      </c>
      <c r="E1302" s="14">
        <v>500</v>
      </c>
      <c r="F1302" s="5">
        <v>0</v>
      </c>
      <c r="G1302" s="5">
        <v>0</v>
      </c>
      <c r="H1302" s="10" t="s">
        <v>51</v>
      </c>
      <c r="I1302" s="10" t="s">
        <v>52</v>
      </c>
      <c r="J1302" s="10" t="s">
        <v>33</v>
      </c>
      <c r="K1302" s="10" t="s">
        <v>23</v>
      </c>
      <c r="L1302" s="10" t="s">
        <v>1707</v>
      </c>
    </row>
    <row r="1303" spans="1:12" x14ac:dyDescent="0.35">
      <c r="A1303" s="9">
        <v>1302</v>
      </c>
      <c r="B1303" s="19">
        <v>45966.302083333343</v>
      </c>
      <c r="C1303" s="20">
        <v>45966</v>
      </c>
      <c r="D1303" s="8" t="s">
        <v>1708</v>
      </c>
      <c r="E1303" s="12">
        <v>1600</v>
      </c>
      <c r="F1303" s="3">
        <v>0</v>
      </c>
      <c r="G1303" s="3">
        <v>0</v>
      </c>
      <c r="H1303" s="8" t="s">
        <v>51</v>
      </c>
      <c r="I1303" s="8" t="s">
        <v>52</v>
      </c>
      <c r="J1303" s="8" t="s">
        <v>30</v>
      </c>
      <c r="K1303" s="8" t="s">
        <v>23</v>
      </c>
      <c r="L1303" s="8" t="s">
        <v>1709</v>
      </c>
    </row>
    <row r="1304" spans="1:12" x14ac:dyDescent="0.35">
      <c r="A1304" s="11">
        <v>1303</v>
      </c>
      <c r="B1304" s="17">
        <v>45966.302118055559</v>
      </c>
      <c r="C1304" s="18">
        <v>45966</v>
      </c>
      <c r="D1304" s="10" t="s">
        <v>394</v>
      </c>
      <c r="E1304" s="5">
        <v>0</v>
      </c>
      <c r="F1304" s="15">
        <v>1600</v>
      </c>
      <c r="G1304" s="5">
        <v>1600</v>
      </c>
      <c r="H1304" s="10" t="s">
        <v>51</v>
      </c>
      <c r="I1304" s="10" t="s">
        <v>71</v>
      </c>
      <c r="J1304" s="10" t="s">
        <v>32</v>
      </c>
      <c r="K1304" s="10" t="s">
        <v>23</v>
      </c>
      <c r="L1304" s="10" t="s">
        <v>1710</v>
      </c>
    </row>
    <row r="1305" spans="1:12" x14ac:dyDescent="0.35">
      <c r="A1305" s="9">
        <v>1304</v>
      </c>
      <c r="B1305" s="19">
        <v>45966.528993055559</v>
      </c>
      <c r="C1305" s="20">
        <v>45966</v>
      </c>
      <c r="D1305" s="8" t="s">
        <v>1686</v>
      </c>
      <c r="E1305" s="12">
        <v>750</v>
      </c>
      <c r="F1305" s="3">
        <v>0</v>
      </c>
      <c r="G1305" s="3">
        <v>0</v>
      </c>
      <c r="H1305" s="8" t="s">
        <v>51</v>
      </c>
      <c r="I1305" s="8" t="s">
        <v>52</v>
      </c>
      <c r="J1305" s="8" t="s">
        <v>36</v>
      </c>
      <c r="K1305" s="8" t="s">
        <v>23</v>
      </c>
      <c r="L1305" s="8" t="s">
        <v>1711</v>
      </c>
    </row>
    <row r="1306" spans="1:12" x14ac:dyDescent="0.35">
      <c r="A1306" s="11">
        <v>1305</v>
      </c>
      <c r="B1306" s="17">
        <v>45966.529027777768</v>
      </c>
      <c r="C1306" s="18">
        <v>45966</v>
      </c>
      <c r="D1306" s="10" t="s">
        <v>394</v>
      </c>
      <c r="E1306" s="5">
        <v>0</v>
      </c>
      <c r="F1306" s="15">
        <v>750</v>
      </c>
      <c r="G1306" s="5">
        <v>750</v>
      </c>
      <c r="H1306" s="10" t="s">
        <v>51</v>
      </c>
      <c r="I1306" s="10" t="s">
        <v>71</v>
      </c>
      <c r="J1306" s="10" t="s">
        <v>32</v>
      </c>
      <c r="K1306" s="10" t="s">
        <v>23</v>
      </c>
      <c r="L1306" s="10" t="s">
        <v>1712</v>
      </c>
    </row>
    <row r="1307" spans="1:12" x14ac:dyDescent="0.35">
      <c r="A1307" s="9">
        <v>1306</v>
      </c>
      <c r="B1307" s="19">
        <v>45966.617442129631</v>
      </c>
      <c r="C1307" s="20">
        <v>45966</v>
      </c>
      <c r="D1307" s="8" t="s">
        <v>1713</v>
      </c>
      <c r="E1307" s="3">
        <v>0</v>
      </c>
      <c r="F1307" s="13">
        <v>7500</v>
      </c>
      <c r="G1307" s="3">
        <v>7500</v>
      </c>
      <c r="H1307" s="8" t="s">
        <v>51</v>
      </c>
      <c r="I1307" s="8" t="s">
        <v>71</v>
      </c>
      <c r="J1307" s="8" t="s">
        <v>31</v>
      </c>
      <c r="K1307" s="8" t="s">
        <v>23</v>
      </c>
      <c r="L1307" s="8" t="s">
        <v>1714</v>
      </c>
    </row>
    <row r="1308" spans="1:12" x14ac:dyDescent="0.35">
      <c r="A1308" s="11">
        <v>1307</v>
      </c>
      <c r="B1308" s="17">
        <v>45966.651423611111</v>
      </c>
      <c r="C1308" s="18">
        <v>45966</v>
      </c>
      <c r="D1308" s="10" t="s">
        <v>1715</v>
      </c>
      <c r="E1308" s="5">
        <v>0</v>
      </c>
      <c r="F1308" s="15">
        <v>4500</v>
      </c>
      <c r="G1308" s="5">
        <v>12000</v>
      </c>
      <c r="H1308" s="10" t="s">
        <v>51</v>
      </c>
      <c r="I1308" s="10" t="s">
        <v>71</v>
      </c>
      <c r="J1308" s="10" t="s">
        <v>31</v>
      </c>
      <c r="K1308" s="10" t="s">
        <v>23</v>
      </c>
      <c r="L1308" s="10" t="s">
        <v>1716</v>
      </c>
    </row>
    <row r="1309" spans="1:12" x14ac:dyDescent="0.35">
      <c r="A1309" s="9">
        <v>1308</v>
      </c>
      <c r="B1309" s="19">
        <v>45966.652395833327</v>
      </c>
      <c r="C1309" s="20">
        <v>45966</v>
      </c>
      <c r="D1309" s="8" t="s">
        <v>488</v>
      </c>
      <c r="E1309" s="12">
        <v>9000</v>
      </c>
      <c r="F1309" s="3">
        <v>0</v>
      </c>
      <c r="G1309" s="3">
        <v>3000</v>
      </c>
      <c r="H1309" s="8" t="s">
        <v>51</v>
      </c>
      <c r="I1309" s="8" t="s">
        <v>52</v>
      </c>
      <c r="J1309" s="8" t="s">
        <v>30</v>
      </c>
      <c r="K1309" s="8" t="s">
        <v>23</v>
      </c>
      <c r="L1309" s="8" t="s">
        <v>1717</v>
      </c>
    </row>
    <row r="1310" spans="1:12" x14ac:dyDescent="0.35">
      <c r="A1310" s="11">
        <v>1309</v>
      </c>
      <c r="B1310" s="17">
        <v>45966.707083333327</v>
      </c>
      <c r="C1310" s="18">
        <v>45966</v>
      </c>
      <c r="D1310" s="10" t="s">
        <v>1718</v>
      </c>
      <c r="E1310" s="14">
        <v>3100</v>
      </c>
      <c r="F1310" s="5">
        <v>0</v>
      </c>
      <c r="G1310" s="5">
        <v>0</v>
      </c>
      <c r="H1310" s="10" t="s">
        <v>51</v>
      </c>
      <c r="I1310" s="10" t="s">
        <v>52</v>
      </c>
      <c r="J1310" s="10" t="s">
        <v>30</v>
      </c>
      <c r="K1310" s="10" t="s">
        <v>23</v>
      </c>
      <c r="L1310" s="10" t="s">
        <v>1719</v>
      </c>
    </row>
    <row r="1311" spans="1:12" x14ac:dyDescent="0.35">
      <c r="A1311" s="9">
        <v>1310</v>
      </c>
      <c r="B1311" s="19">
        <v>45966.707129629627</v>
      </c>
      <c r="C1311" s="20">
        <v>45966</v>
      </c>
      <c r="D1311" s="8" t="s">
        <v>394</v>
      </c>
      <c r="E1311" s="3">
        <v>0</v>
      </c>
      <c r="F1311" s="13">
        <v>100</v>
      </c>
      <c r="G1311" s="3">
        <v>3100</v>
      </c>
      <c r="H1311" s="8" t="s">
        <v>51</v>
      </c>
      <c r="I1311" s="8" t="s">
        <v>71</v>
      </c>
      <c r="J1311" s="8" t="s">
        <v>32</v>
      </c>
      <c r="K1311" s="8" t="s">
        <v>23</v>
      </c>
      <c r="L1311" s="8" t="s">
        <v>1720</v>
      </c>
    </row>
    <row r="1312" spans="1:12" x14ac:dyDescent="0.35">
      <c r="A1312" s="11">
        <v>1311</v>
      </c>
      <c r="B1312" s="17">
        <v>45967.209016203713</v>
      </c>
      <c r="C1312" s="18">
        <v>45967</v>
      </c>
      <c r="D1312" s="10" t="s">
        <v>394</v>
      </c>
      <c r="E1312" s="5">
        <v>0</v>
      </c>
      <c r="F1312" s="15">
        <v>500</v>
      </c>
      <c r="G1312" s="5">
        <v>500</v>
      </c>
      <c r="H1312" s="10" t="s">
        <v>51</v>
      </c>
      <c r="I1312" s="10" t="s">
        <v>71</v>
      </c>
      <c r="J1312" s="10" t="s">
        <v>32</v>
      </c>
      <c r="K1312" s="10" t="s">
        <v>23</v>
      </c>
      <c r="L1312" s="10" t="s">
        <v>1721</v>
      </c>
    </row>
    <row r="1313" spans="1:12" x14ac:dyDescent="0.35">
      <c r="A1313" s="9">
        <v>1312</v>
      </c>
      <c r="B1313" s="19">
        <v>45967.209016203713</v>
      </c>
      <c r="C1313" s="20">
        <v>45967</v>
      </c>
      <c r="D1313" s="8" t="s">
        <v>342</v>
      </c>
      <c r="E1313" s="12">
        <v>500</v>
      </c>
      <c r="F1313" s="3">
        <v>0</v>
      </c>
      <c r="G1313" s="3">
        <v>0</v>
      </c>
      <c r="H1313" s="8" t="s">
        <v>51</v>
      </c>
      <c r="I1313" s="8" t="s">
        <v>52</v>
      </c>
      <c r="J1313" s="8" t="s">
        <v>33</v>
      </c>
      <c r="K1313" s="8" t="s">
        <v>23</v>
      </c>
      <c r="L1313" s="8" t="s">
        <v>1722</v>
      </c>
    </row>
    <row r="1314" spans="1:12" x14ac:dyDescent="0.35">
      <c r="A1314" s="11">
        <v>1313</v>
      </c>
      <c r="B1314" s="17">
        <v>45967.486087962963</v>
      </c>
      <c r="C1314" s="18">
        <v>45967</v>
      </c>
      <c r="D1314" s="10" t="s">
        <v>1723</v>
      </c>
      <c r="E1314" s="5">
        <v>0</v>
      </c>
      <c r="F1314" s="15">
        <v>15000</v>
      </c>
      <c r="G1314" s="5">
        <v>15000</v>
      </c>
      <c r="H1314" s="10" t="s">
        <v>51</v>
      </c>
      <c r="I1314" s="10" t="s">
        <v>71</v>
      </c>
      <c r="J1314" s="10" t="s">
        <v>31</v>
      </c>
      <c r="K1314" s="10" t="s">
        <v>23</v>
      </c>
      <c r="L1314" s="10" t="s">
        <v>1724</v>
      </c>
    </row>
    <row r="1315" spans="1:12" x14ac:dyDescent="0.35">
      <c r="A1315" s="9">
        <v>1314</v>
      </c>
      <c r="B1315" s="19">
        <v>45967.48609953704</v>
      </c>
      <c r="C1315" s="20">
        <v>45967</v>
      </c>
      <c r="D1315" s="8" t="s">
        <v>79</v>
      </c>
      <c r="E1315" s="12">
        <v>50</v>
      </c>
      <c r="F1315" s="3">
        <v>0</v>
      </c>
      <c r="G1315" s="3">
        <v>14950</v>
      </c>
      <c r="H1315" s="8" t="s">
        <v>51</v>
      </c>
      <c r="I1315" s="8" t="s">
        <v>52</v>
      </c>
      <c r="J1315" s="8" t="s">
        <v>36</v>
      </c>
      <c r="K1315" s="8" t="s">
        <v>23</v>
      </c>
      <c r="L1315" s="8" t="s">
        <v>1725</v>
      </c>
    </row>
    <row r="1316" spans="1:12" x14ac:dyDescent="0.35">
      <c r="A1316" s="11">
        <v>1315</v>
      </c>
      <c r="B1316" s="17">
        <v>45967.540486111109</v>
      </c>
      <c r="C1316" s="18">
        <v>45967</v>
      </c>
      <c r="D1316" s="10" t="s">
        <v>98</v>
      </c>
      <c r="E1316" s="14">
        <v>10</v>
      </c>
      <c r="F1316" s="5">
        <v>0</v>
      </c>
      <c r="G1316" s="5">
        <v>14940</v>
      </c>
      <c r="H1316" s="10" t="s">
        <v>99</v>
      </c>
      <c r="I1316" s="10" t="s">
        <v>52</v>
      </c>
      <c r="J1316" s="10" t="s">
        <v>36</v>
      </c>
      <c r="K1316" s="10" t="s">
        <v>23</v>
      </c>
      <c r="L1316" s="10" t="s">
        <v>1726</v>
      </c>
    </row>
    <row r="1317" spans="1:12" x14ac:dyDescent="0.35">
      <c r="A1317" s="9">
        <v>1316</v>
      </c>
      <c r="B1317" s="19">
        <v>45967.542523148149</v>
      </c>
      <c r="C1317" s="20">
        <v>45967</v>
      </c>
      <c r="D1317" s="8" t="s">
        <v>1727</v>
      </c>
      <c r="E1317" s="12">
        <v>13000</v>
      </c>
      <c r="F1317" s="3">
        <v>0</v>
      </c>
      <c r="G1317" s="3">
        <v>1940</v>
      </c>
      <c r="H1317" s="8" t="s">
        <v>51</v>
      </c>
      <c r="I1317" s="8" t="s">
        <v>52</v>
      </c>
      <c r="J1317" s="8" t="s">
        <v>30</v>
      </c>
      <c r="K1317" s="8" t="s">
        <v>23</v>
      </c>
      <c r="L1317" s="8" t="s">
        <v>1728</v>
      </c>
    </row>
    <row r="1318" spans="1:12" x14ac:dyDescent="0.35">
      <c r="A1318" s="11">
        <v>1317</v>
      </c>
      <c r="B1318" s="17">
        <v>45967.544293981482</v>
      </c>
      <c r="C1318" s="18">
        <v>45967</v>
      </c>
      <c r="D1318" s="10" t="s">
        <v>1727</v>
      </c>
      <c r="E1318" s="14">
        <v>2000</v>
      </c>
      <c r="F1318" s="5">
        <v>0</v>
      </c>
      <c r="G1318" s="5">
        <v>0</v>
      </c>
      <c r="H1318" s="10" t="s">
        <v>51</v>
      </c>
      <c r="I1318" s="10" t="s">
        <v>52</v>
      </c>
      <c r="J1318" s="10" t="s">
        <v>30</v>
      </c>
      <c r="K1318" s="10" t="s">
        <v>23</v>
      </c>
      <c r="L1318" s="10" t="s">
        <v>1729</v>
      </c>
    </row>
    <row r="1319" spans="1:12" x14ac:dyDescent="0.35">
      <c r="A1319" s="9">
        <v>1318</v>
      </c>
      <c r="B1319" s="19">
        <v>45967.544525462959</v>
      </c>
      <c r="C1319" s="20">
        <v>45967</v>
      </c>
      <c r="D1319" s="8" t="s">
        <v>394</v>
      </c>
      <c r="E1319" s="3">
        <v>0</v>
      </c>
      <c r="F1319" s="13">
        <v>60</v>
      </c>
      <c r="G1319" s="3">
        <v>2000</v>
      </c>
      <c r="H1319" s="8" t="s">
        <v>51</v>
      </c>
      <c r="I1319" s="8" t="s">
        <v>71</v>
      </c>
      <c r="J1319" s="8" t="s">
        <v>32</v>
      </c>
      <c r="K1319" s="8" t="s">
        <v>23</v>
      </c>
      <c r="L1319" s="8" t="s">
        <v>1730</v>
      </c>
    </row>
    <row r="1320" spans="1:12" x14ac:dyDescent="0.35">
      <c r="A1320" s="11">
        <v>1319</v>
      </c>
      <c r="B1320" s="17">
        <v>45967.678043981483</v>
      </c>
      <c r="C1320" s="18">
        <v>45967</v>
      </c>
      <c r="D1320" s="10" t="s">
        <v>1686</v>
      </c>
      <c r="E1320" s="14">
        <v>750</v>
      </c>
      <c r="F1320" s="5">
        <v>0</v>
      </c>
      <c r="G1320" s="5">
        <v>0</v>
      </c>
      <c r="H1320" s="10" t="s">
        <v>51</v>
      </c>
      <c r="I1320" s="10" t="s">
        <v>52</v>
      </c>
      <c r="J1320" s="10" t="s">
        <v>36</v>
      </c>
      <c r="K1320" s="10" t="s">
        <v>23</v>
      </c>
      <c r="L1320" s="10" t="s">
        <v>1731</v>
      </c>
    </row>
    <row r="1321" spans="1:12" x14ac:dyDescent="0.35">
      <c r="A1321" s="9">
        <v>1320</v>
      </c>
      <c r="B1321" s="19">
        <v>45967.678124999999</v>
      </c>
      <c r="C1321" s="20">
        <v>45967</v>
      </c>
      <c r="D1321" s="8" t="s">
        <v>394</v>
      </c>
      <c r="E1321" s="3">
        <v>0</v>
      </c>
      <c r="F1321" s="13">
        <v>750</v>
      </c>
      <c r="G1321" s="3">
        <v>750</v>
      </c>
      <c r="H1321" s="8" t="s">
        <v>51</v>
      </c>
      <c r="I1321" s="8" t="s">
        <v>71</v>
      </c>
      <c r="J1321" s="8" t="s">
        <v>32</v>
      </c>
      <c r="K1321" s="8" t="s">
        <v>23</v>
      </c>
      <c r="L1321" s="8" t="s">
        <v>1732</v>
      </c>
    </row>
    <row r="1322" spans="1:12" x14ac:dyDescent="0.35">
      <c r="A1322" s="11">
        <v>1321</v>
      </c>
      <c r="B1322" s="17">
        <v>45972.541828703703</v>
      </c>
      <c r="C1322" s="18">
        <v>45972</v>
      </c>
      <c r="D1322" s="10" t="s">
        <v>555</v>
      </c>
      <c r="E1322" s="5">
        <v>0</v>
      </c>
      <c r="F1322" s="15">
        <v>80000</v>
      </c>
      <c r="G1322" s="5">
        <v>80000</v>
      </c>
      <c r="H1322" s="10" t="s">
        <v>51</v>
      </c>
      <c r="I1322" s="10" t="s">
        <v>71</v>
      </c>
      <c r="J1322" s="10" t="s">
        <v>31</v>
      </c>
      <c r="K1322" s="10" t="s">
        <v>23</v>
      </c>
      <c r="L1322" s="10" t="s">
        <v>1733</v>
      </c>
    </row>
    <row r="1323" spans="1:12" x14ac:dyDescent="0.35">
      <c r="A1323" s="9">
        <v>1322</v>
      </c>
      <c r="B1323" s="19">
        <v>45972.541886574072</v>
      </c>
      <c r="C1323" s="20">
        <v>45972</v>
      </c>
      <c r="D1323" s="8" t="s">
        <v>79</v>
      </c>
      <c r="E1323" s="12">
        <v>50</v>
      </c>
      <c r="F1323" s="3">
        <v>0</v>
      </c>
      <c r="G1323" s="3">
        <v>79950</v>
      </c>
      <c r="H1323" s="8" t="s">
        <v>51</v>
      </c>
      <c r="I1323" s="8" t="s">
        <v>52</v>
      </c>
      <c r="J1323" s="8" t="s">
        <v>36</v>
      </c>
      <c r="K1323" s="8" t="s">
        <v>23</v>
      </c>
      <c r="L1323" s="8" t="s">
        <v>1734</v>
      </c>
    </row>
    <row r="1324" spans="1:12" x14ac:dyDescent="0.35">
      <c r="A1324" s="11">
        <v>1323</v>
      </c>
      <c r="B1324" s="17">
        <v>45972.778368055559</v>
      </c>
      <c r="C1324" s="18">
        <v>45972</v>
      </c>
      <c r="D1324" s="10" t="s">
        <v>1735</v>
      </c>
      <c r="E1324" s="14">
        <v>1100</v>
      </c>
      <c r="F1324" s="5">
        <v>0</v>
      </c>
      <c r="G1324" s="5">
        <v>78850</v>
      </c>
      <c r="H1324" s="10" t="s">
        <v>33</v>
      </c>
      <c r="I1324" s="10" t="s">
        <v>52</v>
      </c>
      <c r="J1324" s="10" t="s">
        <v>34</v>
      </c>
      <c r="K1324" s="10" t="s">
        <v>23</v>
      </c>
      <c r="L1324" s="10" t="s">
        <v>1736</v>
      </c>
    </row>
    <row r="1325" spans="1:12" x14ac:dyDescent="0.35">
      <c r="A1325" s="9">
        <v>1324</v>
      </c>
      <c r="B1325" s="19">
        <v>45972.925752314812</v>
      </c>
      <c r="C1325" s="20">
        <v>45972</v>
      </c>
      <c r="D1325" s="8" t="s">
        <v>426</v>
      </c>
      <c r="E1325" s="12">
        <v>78850</v>
      </c>
      <c r="F1325" s="3">
        <v>0</v>
      </c>
      <c r="G1325" s="3">
        <v>0</v>
      </c>
      <c r="H1325" s="8" t="s">
        <v>51</v>
      </c>
      <c r="I1325" s="8" t="s">
        <v>52</v>
      </c>
      <c r="J1325" s="8" t="s">
        <v>32</v>
      </c>
      <c r="K1325" s="8" t="s">
        <v>23</v>
      </c>
      <c r="L1325" s="8" t="s">
        <v>1737</v>
      </c>
    </row>
    <row r="1326" spans="1:12" x14ac:dyDescent="0.35">
      <c r="A1326" s="11">
        <v>1325</v>
      </c>
      <c r="B1326" s="17">
        <v>45973.20890046296</v>
      </c>
      <c r="C1326" s="18">
        <v>45973</v>
      </c>
      <c r="D1326" s="10" t="s">
        <v>394</v>
      </c>
      <c r="E1326" s="5">
        <v>0</v>
      </c>
      <c r="F1326" s="15">
        <v>500</v>
      </c>
      <c r="G1326" s="5">
        <v>500</v>
      </c>
      <c r="H1326" s="10" t="s">
        <v>51</v>
      </c>
      <c r="I1326" s="10" t="s">
        <v>71</v>
      </c>
      <c r="J1326" s="10" t="s">
        <v>32</v>
      </c>
      <c r="K1326" s="10" t="s">
        <v>23</v>
      </c>
      <c r="L1326" s="10" t="s">
        <v>1738</v>
      </c>
    </row>
    <row r="1327" spans="1:12" x14ac:dyDescent="0.35">
      <c r="A1327" s="9">
        <v>1326</v>
      </c>
      <c r="B1327" s="19">
        <v>45973.20890046296</v>
      </c>
      <c r="C1327" s="20">
        <v>45973</v>
      </c>
      <c r="D1327" s="8" t="s">
        <v>342</v>
      </c>
      <c r="E1327" s="12">
        <v>500</v>
      </c>
      <c r="F1327" s="3">
        <v>0</v>
      </c>
      <c r="G1327" s="3">
        <v>0</v>
      </c>
      <c r="H1327" s="8" t="s">
        <v>51</v>
      </c>
      <c r="I1327" s="8" t="s">
        <v>52</v>
      </c>
      <c r="J1327" s="8" t="s">
        <v>33</v>
      </c>
      <c r="K1327" s="8" t="s">
        <v>23</v>
      </c>
      <c r="L1327" s="8" t="s">
        <v>1739</v>
      </c>
    </row>
    <row r="1328" spans="1:12" x14ac:dyDescent="0.35">
      <c r="A1328" s="11">
        <v>1327</v>
      </c>
      <c r="B1328" s="17">
        <v>45973.589895833327</v>
      </c>
      <c r="C1328" s="18">
        <v>45973</v>
      </c>
      <c r="D1328" s="10" t="s">
        <v>1740</v>
      </c>
      <c r="E1328" s="14">
        <v>3300</v>
      </c>
      <c r="F1328" s="5">
        <v>0</v>
      </c>
      <c r="G1328" s="5">
        <v>0</v>
      </c>
      <c r="H1328" s="10" t="s">
        <v>33</v>
      </c>
      <c r="I1328" s="10" t="s">
        <v>52</v>
      </c>
      <c r="J1328" s="10" t="s">
        <v>34</v>
      </c>
      <c r="K1328" s="10" t="s">
        <v>23</v>
      </c>
      <c r="L1328" s="10" t="s">
        <v>1741</v>
      </c>
    </row>
    <row r="1329" spans="1:12" x14ac:dyDescent="0.35">
      <c r="A1329" s="9">
        <v>1328</v>
      </c>
      <c r="B1329" s="19">
        <v>45973.589895833327</v>
      </c>
      <c r="C1329" s="20">
        <v>45973</v>
      </c>
      <c r="D1329" s="8" t="s">
        <v>394</v>
      </c>
      <c r="E1329" s="3">
        <v>0</v>
      </c>
      <c r="F1329" s="13">
        <v>3300</v>
      </c>
      <c r="G1329" s="3">
        <v>3300</v>
      </c>
      <c r="H1329" s="8" t="s">
        <v>51</v>
      </c>
      <c r="I1329" s="8" t="s">
        <v>71</v>
      </c>
      <c r="J1329" s="8" t="s">
        <v>32</v>
      </c>
      <c r="K1329" s="8" t="s">
        <v>23</v>
      </c>
      <c r="L1329" s="8" t="s">
        <v>1742</v>
      </c>
    </row>
    <row r="1330" spans="1:12" x14ac:dyDescent="0.35">
      <c r="A1330" s="11">
        <v>1329</v>
      </c>
      <c r="B1330" s="17">
        <v>45973.681331018517</v>
      </c>
      <c r="C1330" s="18">
        <v>45973</v>
      </c>
      <c r="D1330" s="10" t="s">
        <v>1388</v>
      </c>
      <c r="E1330" s="14">
        <v>4000</v>
      </c>
      <c r="F1330" s="5">
        <v>0</v>
      </c>
      <c r="G1330" s="5">
        <v>0</v>
      </c>
      <c r="H1330" s="10" t="s">
        <v>51</v>
      </c>
      <c r="I1330" s="10" t="s">
        <v>52</v>
      </c>
      <c r="J1330" s="10" t="s">
        <v>30</v>
      </c>
      <c r="K1330" s="10" t="s">
        <v>23</v>
      </c>
      <c r="L1330" s="10" t="s">
        <v>1743</v>
      </c>
    </row>
    <row r="1331" spans="1:12" x14ac:dyDescent="0.35">
      <c r="A1331" s="9">
        <v>1330</v>
      </c>
      <c r="B1331" s="19">
        <v>45973.681388888886</v>
      </c>
      <c r="C1331" s="20">
        <v>45973</v>
      </c>
      <c r="D1331" s="8" t="s">
        <v>394</v>
      </c>
      <c r="E1331" s="3">
        <v>0</v>
      </c>
      <c r="F1331" s="13">
        <v>4000</v>
      </c>
      <c r="G1331" s="3">
        <v>4000</v>
      </c>
      <c r="H1331" s="8" t="s">
        <v>51</v>
      </c>
      <c r="I1331" s="8" t="s">
        <v>71</v>
      </c>
      <c r="J1331" s="8" t="s">
        <v>32</v>
      </c>
      <c r="K1331" s="8" t="s">
        <v>23</v>
      </c>
      <c r="L1331" s="8" t="s">
        <v>1744</v>
      </c>
    </row>
    <row r="1332" spans="1:12" x14ac:dyDescent="0.35">
      <c r="A1332" s="11">
        <v>1331</v>
      </c>
      <c r="B1332" s="17">
        <v>45973.703159722223</v>
      </c>
      <c r="C1332" s="18">
        <v>45973</v>
      </c>
      <c r="D1332" s="10" t="s">
        <v>1686</v>
      </c>
      <c r="E1332" s="14">
        <v>750</v>
      </c>
      <c r="F1332" s="5">
        <v>0</v>
      </c>
      <c r="G1332" s="5">
        <v>0</v>
      </c>
      <c r="H1332" s="10" t="s">
        <v>51</v>
      </c>
      <c r="I1332" s="10" t="s">
        <v>52</v>
      </c>
      <c r="J1332" s="10" t="s">
        <v>36</v>
      </c>
      <c r="K1332" s="10" t="s">
        <v>23</v>
      </c>
      <c r="L1332" s="10" t="s">
        <v>1745</v>
      </c>
    </row>
    <row r="1333" spans="1:12" x14ac:dyDescent="0.35">
      <c r="A1333" s="9">
        <v>1332</v>
      </c>
      <c r="B1333" s="19">
        <v>45973.703206018523</v>
      </c>
      <c r="C1333" s="20">
        <v>45973</v>
      </c>
      <c r="D1333" s="8" t="s">
        <v>394</v>
      </c>
      <c r="E1333" s="3">
        <v>0</v>
      </c>
      <c r="F1333" s="13">
        <v>750</v>
      </c>
      <c r="G1333" s="3">
        <v>750</v>
      </c>
      <c r="H1333" s="8" t="s">
        <v>51</v>
      </c>
      <c r="I1333" s="8" t="s">
        <v>71</v>
      </c>
      <c r="J1333" s="8" t="s">
        <v>32</v>
      </c>
      <c r="K1333" s="8" t="s">
        <v>23</v>
      </c>
      <c r="L1333" s="8" t="s">
        <v>1746</v>
      </c>
    </row>
    <row r="1334" spans="1:12" x14ac:dyDescent="0.35">
      <c r="A1334" s="11">
        <v>1333</v>
      </c>
      <c r="B1334" s="17">
        <v>45973.836527777778</v>
      </c>
      <c r="C1334" s="18">
        <v>45973</v>
      </c>
      <c r="D1334" s="10" t="s">
        <v>1747</v>
      </c>
      <c r="E1334" s="14">
        <v>2000</v>
      </c>
      <c r="F1334" s="5">
        <v>0</v>
      </c>
      <c r="G1334" s="5">
        <v>0</v>
      </c>
      <c r="H1334" s="10" t="s">
        <v>33</v>
      </c>
      <c r="I1334" s="10" t="s">
        <v>52</v>
      </c>
      <c r="J1334" s="10" t="s">
        <v>34</v>
      </c>
      <c r="K1334" s="10" t="s">
        <v>23</v>
      </c>
      <c r="L1334" s="10" t="s">
        <v>1748</v>
      </c>
    </row>
    <row r="1335" spans="1:12" x14ac:dyDescent="0.35">
      <c r="A1335" s="9">
        <v>1334</v>
      </c>
      <c r="B1335" s="19">
        <v>45973.836527777778</v>
      </c>
      <c r="C1335" s="20">
        <v>45973</v>
      </c>
      <c r="D1335" s="8" t="s">
        <v>394</v>
      </c>
      <c r="E1335" s="3">
        <v>0</v>
      </c>
      <c r="F1335" s="13">
        <v>2000</v>
      </c>
      <c r="G1335" s="3">
        <v>2000</v>
      </c>
      <c r="H1335" s="8" t="s">
        <v>51</v>
      </c>
      <c r="I1335" s="8" t="s">
        <v>71</v>
      </c>
      <c r="J1335" s="8" t="s">
        <v>32</v>
      </c>
      <c r="K1335" s="8" t="s">
        <v>23</v>
      </c>
      <c r="L1335" s="8" t="s">
        <v>1749</v>
      </c>
    </row>
    <row r="1336" spans="1:12" x14ac:dyDescent="0.35">
      <c r="A1336" s="11">
        <v>1335</v>
      </c>
      <c r="B1336" s="17">
        <v>45973.8518287037</v>
      </c>
      <c r="C1336" s="18">
        <v>45973</v>
      </c>
      <c r="D1336" s="10" t="s">
        <v>1750</v>
      </c>
      <c r="E1336" s="14">
        <v>3100</v>
      </c>
      <c r="F1336" s="5">
        <v>0</v>
      </c>
      <c r="G1336" s="5">
        <v>0</v>
      </c>
      <c r="H1336" s="10" t="s">
        <v>33</v>
      </c>
      <c r="I1336" s="10" t="s">
        <v>52</v>
      </c>
      <c r="J1336" s="10" t="s">
        <v>34</v>
      </c>
      <c r="K1336" s="10" t="s">
        <v>23</v>
      </c>
      <c r="L1336" s="10" t="s">
        <v>1751</v>
      </c>
    </row>
    <row r="1337" spans="1:12" x14ac:dyDescent="0.35">
      <c r="A1337" s="9">
        <v>1336</v>
      </c>
      <c r="B1337" s="19">
        <v>45973.851840277777</v>
      </c>
      <c r="C1337" s="20">
        <v>45973</v>
      </c>
      <c r="D1337" s="8" t="s">
        <v>394</v>
      </c>
      <c r="E1337" s="3">
        <v>0</v>
      </c>
      <c r="F1337" s="13">
        <v>3100</v>
      </c>
      <c r="G1337" s="3">
        <v>3100</v>
      </c>
      <c r="H1337" s="8" t="s">
        <v>51</v>
      </c>
      <c r="I1337" s="8" t="s">
        <v>71</v>
      </c>
      <c r="J1337" s="8" t="s">
        <v>32</v>
      </c>
      <c r="K1337" s="8" t="s">
        <v>23</v>
      </c>
      <c r="L1337" s="8" t="s">
        <v>1752</v>
      </c>
    </row>
    <row r="1338" spans="1:12" x14ac:dyDescent="0.35">
      <c r="A1338" s="11">
        <v>1337</v>
      </c>
      <c r="B1338" s="17">
        <v>45974.20890046296</v>
      </c>
      <c r="C1338" s="18">
        <v>45974</v>
      </c>
      <c r="D1338" s="10" t="s">
        <v>394</v>
      </c>
      <c r="E1338" s="5">
        <v>0</v>
      </c>
      <c r="F1338" s="15">
        <v>500</v>
      </c>
      <c r="G1338" s="5">
        <v>500</v>
      </c>
      <c r="H1338" s="10" t="s">
        <v>51</v>
      </c>
      <c r="I1338" s="10" t="s">
        <v>71</v>
      </c>
      <c r="J1338" s="10" t="s">
        <v>32</v>
      </c>
      <c r="K1338" s="10" t="s">
        <v>23</v>
      </c>
      <c r="L1338" s="10" t="s">
        <v>1753</v>
      </c>
    </row>
    <row r="1339" spans="1:12" x14ac:dyDescent="0.35">
      <c r="A1339" s="9">
        <v>1338</v>
      </c>
      <c r="B1339" s="19">
        <v>45974.20890046296</v>
      </c>
      <c r="C1339" s="20">
        <v>45974</v>
      </c>
      <c r="D1339" s="8" t="s">
        <v>342</v>
      </c>
      <c r="E1339" s="12">
        <v>500</v>
      </c>
      <c r="F1339" s="3">
        <v>0</v>
      </c>
      <c r="G1339" s="3">
        <v>0</v>
      </c>
      <c r="H1339" s="8" t="s">
        <v>51</v>
      </c>
      <c r="I1339" s="8" t="s">
        <v>52</v>
      </c>
      <c r="J1339" s="8" t="s">
        <v>33</v>
      </c>
      <c r="K1339" s="8" t="s">
        <v>23</v>
      </c>
      <c r="L1339" s="8" t="s">
        <v>1754</v>
      </c>
    </row>
    <row r="1340" spans="1:12" x14ac:dyDescent="0.35">
      <c r="A1340" s="11">
        <v>1339</v>
      </c>
      <c r="B1340" s="17">
        <v>45975.208923611113</v>
      </c>
      <c r="C1340" s="18">
        <v>45975</v>
      </c>
      <c r="D1340" s="10" t="s">
        <v>342</v>
      </c>
      <c r="E1340" s="14">
        <v>500</v>
      </c>
      <c r="F1340" s="5">
        <v>0</v>
      </c>
      <c r="G1340" s="5">
        <v>0</v>
      </c>
      <c r="H1340" s="10" t="s">
        <v>51</v>
      </c>
      <c r="I1340" s="10" t="s">
        <v>52</v>
      </c>
      <c r="J1340" s="10" t="s">
        <v>33</v>
      </c>
      <c r="K1340" s="10" t="s">
        <v>23</v>
      </c>
      <c r="L1340" s="10" t="s">
        <v>1755</v>
      </c>
    </row>
    <row r="1341" spans="1:12" x14ac:dyDescent="0.35">
      <c r="A1341" s="9">
        <v>1340</v>
      </c>
      <c r="B1341" s="19">
        <v>45975.208935185183</v>
      </c>
      <c r="C1341" s="20">
        <v>45975</v>
      </c>
      <c r="D1341" s="8" t="s">
        <v>394</v>
      </c>
      <c r="E1341" s="3">
        <v>0</v>
      </c>
      <c r="F1341" s="13">
        <v>500</v>
      </c>
      <c r="G1341" s="3">
        <v>500</v>
      </c>
      <c r="H1341" s="8" t="s">
        <v>51</v>
      </c>
      <c r="I1341" s="8" t="s">
        <v>71</v>
      </c>
      <c r="J1341" s="8" t="s">
        <v>32</v>
      </c>
      <c r="K1341" s="8" t="s">
        <v>23</v>
      </c>
      <c r="L1341" s="8" t="s">
        <v>1756</v>
      </c>
    </row>
    <row r="1342" spans="1:12" x14ac:dyDescent="0.35">
      <c r="A1342" s="11">
        <v>1341</v>
      </c>
      <c r="B1342" s="17">
        <v>45975.460625</v>
      </c>
      <c r="C1342" s="18">
        <v>45975</v>
      </c>
      <c r="D1342" s="10" t="s">
        <v>1757</v>
      </c>
      <c r="E1342" s="14">
        <v>2500</v>
      </c>
      <c r="F1342" s="5">
        <v>0</v>
      </c>
      <c r="G1342" s="5">
        <v>0</v>
      </c>
      <c r="H1342" s="10" t="s">
        <v>51</v>
      </c>
      <c r="I1342" s="10" t="s">
        <v>52</v>
      </c>
      <c r="J1342" s="10" t="s">
        <v>30</v>
      </c>
      <c r="K1342" s="10" t="s">
        <v>23</v>
      </c>
      <c r="L1342" s="10" t="s">
        <v>1758</v>
      </c>
    </row>
    <row r="1343" spans="1:12" x14ac:dyDescent="0.35">
      <c r="A1343" s="9">
        <v>1342</v>
      </c>
      <c r="B1343" s="19">
        <v>45975.4606712963</v>
      </c>
      <c r="C1343" s="20">
        <v>45975</v>
      </c>
      <c r="D1343" s="8" t="s">
        <v>394</v>
      </c>
      <c r="E1343" s="3">
        <v>0</v>
      </c>
      <c r="F1343" s="13">
        <v>2500</v>
      </c>
      <c r="G1343" s="3">
        <v>2500</v>
      </c>
      <c r="H1343" s="8" t="s">
        <v>51</v>
      </c>
      <c r="I1343" s="8" t="s">
        <v>71</v>
      </c>
      <c r="J1343" s="8" t="s">
        <v>32</v>
      </c>
      <c r="K1343" s="8" t="s">
        <v>23</v>
      </c>
      <c r="L1343" s="8" t="s">
        <v>1759</v>
      </c>
    </row>
    <row r="1344" spans="1:12" x14ac:dyDescent="0.35">
      <c r="A1344" s="11">
        <v>1343</v>
      </c>
      <c r="B1344" s="17">
        <v>45975.61310185185</v>
      </c>
      <c r="C1344" s="18">
        <v>45975</v>
      </c>
      <c r="D1344" s="10" t="s">
        <v>1760</v>
      </c>
      <c r="E1344" s="14">
        <v>6500</v>
      </c>
      <c r="F1344" s="5">
        <v>0</v>
      </c>
      <c r="G1344" s="5">
        <v>0</v>
      </c>
      <c r="H1344" s="10" t="s">
        <v>33</v>
      </c>
      <c r="I1344" s="10" t="s">
        <v>52</v>
      </c>
      <c r="J1344" s="10" t="s">
        <v>34</v>
      </c>
      <c r="K1344" s="10" t="s">
        <v>23</v>
      </c>
      <c r="L1344" s="10" t="s">
        <v>1761</v>
      </c>
    </row>
    <row r="1345" spans="1:12" x14ac:dyDescent="0.35">
      <c r="A1345" s="9">
        <v>1344</v>
      </c>
      <c r="B1345" s="19">
        <v>45975.61310185185</v>
      </c>
      <c r="C1345" s="20">
        <v>45975</v>
      </c>
      <c r="D1345" s="8" t="s">
        <v>394</v>
      </c>
      <c r="E1345" s="3">
        <v>0</v>
      </c>
      <c r="F1345" s="13">
        <v>6500</v>
      </c>
      <c r="G1345" s="3">
        <v>6500</v>
      </c>
      <c r="H1345" s="8" t="s">
        <v>51</v>
      </c>
      <c r="I1345" s="8" t="s">
        <v>71</v>
      </c>
      <c r="J1345" s="8" t="s">
        <v>32</v>
      </c>
      <c r="K1345" s="8" t="s">
        <v>23</v>
      </c>
      <c r="L1345" s="8" t="s">
        <v>1762</v>
      </c>
    </row>
    <row r="1346" spans="1:12" x14ac:dyDescent="0.35">
      <c r="A1346" s="11">
        <v>1345</v>
      </c>
      <c r="B1346" s="17">
        <v>45976.20888888889</v>
      </c>
      <c r="C1346" s="18">
        <v>45976</v>
      </c>
      <c r="D1346" s="10" t="s">
        <v>394</v>
      </c>
      <c r="E1346" s="5">
        <v>0</v>
      </c>
      <c r="F1346" s="15">
        <v>500</v>
      </c>
      <c r="G1346" s="5">
        <v>500</v>
      </c>
      <c r="H1346" s="10" t="s">
        <v>51</v>
      </c>
      <c r="I1346" s="10" t="s">
        <v>71</v>
      </c>
      <c r="J1346" s="10" t="s">
        <v>32</v>
      </c>
      <c r="K1346" s="10" t="s">
        <v>23</v>
      </c>
      <c r="L1346" s="10" t="s">
        <v>1763</v>
      </c>
    </row>
    <row r="1347" spans="1:12" x14ac:dyDescent="0.35">
      <c r="A1347" s="9">
        <v>1346</v>
      </c>
      <c r="B1347" s="19">
        <v>45976.20888888889</v>
      </c>
      <c r="C1347" s="20">
        <v>45976</v>
      </c>
      <c r="D1347" s="8" t="s">
        <v>342</v>
      </c>
      <c r="E1347" s="12">
        <v>500</v>
      </c>
      <c r="F1347" s="3">
        <v>0</v>
      </c>
      <c r="G1347" s="3">
        <v>0</v>
      </c>
      <c r="H1347" s="8" t="s">
        <v>51</v>
      </c>
      <c r="I1347" s="8" t="s">
        <v>52</v>
      </c>
      <c r="J1347" s="8" t="s">
        <v>33</v>
      </c>
      <c r="K1347" s="8" t="s">
        <v>23</v>
      </c>
      <c r="L1347" s="8" t="s">
        <v>1764</v>
      </c>
    </row>
    <row r="1348" spans="1:12" x14ac:dyDescent="0.35">
      <c r="A1348" s="11">
        <v>1347</v>
      </c>
      <c r="B1348" s="17">
        <v>45976.365381944437</v>
      </c>
      <c r="C1348" s="18">
        <v>45976</v>
      </c>
      <c r="D1348" s="10" t="s">
        <v>1765</v>
      </c>
      <c r="E1348" s="14">
        <v>200</v>
      </c>
      <c r="F1348" s="5">
        <v>0</v>
      </c>
      <c r="G1348" s="5">
        <v>0</v>
      </c>
      <c r="H1348" s="10" t="s">
        <v>51</v>
      </c>
      <c r="I1348" s="10" t="s">
        <v>52</v>
      </c>
      <c r="J1348" s="10" t="s">
        <v>30</v>
      </c>
      <c r="K1348" s="10" t="s">
        <v>23</v>
      </c>
      <c r="L1348" s="10" t="s">
        <v>1766</v>
      </c>
    </row>
    <row r="1349" spans="1:12" x14ac:dyDescent="0.35">
      <c r="A1349" s="9">
        <v>1348</v>
      </c>
      <c r="B1349" s="19">
        <v>45976.365439814806</v>
      </c>
      <c r="C1349" s="20">
        <v>45976</v>
      </c>
      <c r="D1349" s="8" t="s">
        <v>394</v>
      </c>
      <c r="E1349" s="3">
        <v>0</v>
      </c>
      <c r="F1349" s="13">
        <v>200</v>
      </c>
      <c r="G1349" s="3">
        <v>200</v>
      </c>
      <c r="H1349" s="8" t="s">
        <v>51</v>
      </c>
      <c r="I1349" s="8" t="s">
        <v>71</v>
      </c>
      <c r="J1349" s="8" t="s">
        <v>32</v>
      </c>
      <c r="K1349" s="8" t="s">
        <v>23</v>
      </c>
      <c r="L1349" s="8" t="s">
        <v>1767</v>
      </c>
    </row>
    <row r="1350" spans="1:12" x14ac:dyDescent="0.35">
      <c r="A1350" s="11">
        <v>1349</v>
      </c>
      <c r="B1350" s="17">
        <v>45976.39707175926</v>
      </c>
      <c r="C1350" s="18">
        <v>45976</v>
      </c>
      <c r="D1350" s="10" t="s">
        <v>1765</v>
      </c>
      <c r="E1350" s="14">
        <v>2200</v>
      </c>
      <c r="F1350" s="5">
        <v>0</v>
      </c>
      <c r="G1350" s="5">
        <v>0</v>
      </c>
      <c r="H1350" s="10" t="s">
        <v>51</v>
      </c>
      <c r="I1350" s="10" t="s">
        <v>52</v>
      </c>
      <c r="J1350" s="10" t="s">
        <v>30</v>
      </c>
      <c r="K1350" s="10" t="s">
        <v>23</v>
      </c>
      <c r="L1350" s="10" t="s">
        <v>1768</v>
      </c>
    </row>
    <row r="1351" spans="1:12" x14ac:dyDescent="0.35">
      <c r="A1351" s="9">
        <v>1350</v>
      </c>
      <c r="B1351" s="19">
        <v>45976.397175925929</v>
      </c>
      <c r="C1351" s="20">
        <v>45976</v>
      </c>
      <c r="D1351" s="8" t="s">
        <v>394</v>
      </c>
      <c r="E1351" s="3">
        <v>0</v>
      </c>
      <c r="F1351" s="13">
        <v>2200</v>
      </c>
      <c r="G1351" s="3">
        <v>2200</v>
      </c>
      <c r="H1351" s="8" t="s">
        <v>51</v>
      </c>
      <c r="I1351" s="8" t="s">
        <v>71</v>
      </c>
      <c r="J1351" s="8" t="s">
        <v>32</v>
      </c>
      <c r="K1351" s="8" t="s">
        <v>23</v>
      </c>
      <c r="L1351" s="8" t="s">
        <v>1769</v>
      </c>
    </row>
    <row r="1352" spans="1:12" x14ac:dyDescent="0.35">
      <c r="A1352" s="11">
        <v>1351</v>
      </c>
      <c r="B1352" s="17">
        <v>45976.421099537038</v>
      </c>
      <c r="C1352" s="18">
        <v>45976</v>
      </c>
      <c r="D1352" s="10" t="s">
        <v>188</v>
      </c>
      <c r="E1352" s="14">
        <v>1000</v>
      </c>
      <c r="F1352" s="5">
        <v>0</v>
      </c>
      <c r="G1352" s="5">
        <v>0</v>
      </c>
      <c r="H1352" s="10" t="s">
        <v>51</v>
      </c>
      <c r="I1352" s="10" t="s">
        <v>52</v>
      </c>
      <c r="J1352" s="10" t="s">
        <v>37</v>
      </c>
      <c r="K1352" s="10" t="s">
        <v>23</v>
      </c>
      <c r="L1352" s="10" t="s">
        <v>1770</v>
      </c>
    </row>
    <row r="1353" spans="1:12" x14ac:dyDescent="0.35">
      <c r="A1353" s="9">
        <v>1352</v>
      </c>
      <c r="B1353" s="19">
        <v>45976.421134259261</v>
      </c>
      <c r="C1353" s="20">
        <v>45976</v>
      </c>
      <c r="D1353" s="8" t="s">
        <v>394</v>
      </c>
      <c r="E1353" s="3">
        <v>0</v>
      </c>
      <c r="F1353" s="13">
        <v>1000</v>
      </c>
      <c r="G1353" s="3">
        <v>1000</v>
      </c>
      <c r="H1353" s="8" t="s">
        <v>51</v>
      </c>
      <c r="I1353" s="8" t="s">
        <v>71</v>
      </c>
      <c r="J1353" s="8" t="s">
        <v>32</v>
      </c>
      <c r="K1353" s="8" t="s">
        <v>23</v>
      </c>
      <c r="L1353" s="8" t="s">
        <v>1771</v>
      </c>
    </row>
    <row r="1354" spans="1:12" x14ac:dyDescent="0.35">
      <c r="A1354" s="11">
        <v>1353</v>
      </c>
      <c r="B1354" s="17">
        <v>45977.20888888889</v>
      </c>
      <c r="C1354" s="18">
        <v>45977</v>
      </c>
      <c r="D1354" s="10" t="s">
        <v>394</v>
      </c>
      <c r="E1354" s="5">
        <v>0</v>
      </c>
      <c r="F1354" s="15">
        <v>500</v>
      </c>
      <c r="G1354" s="5">
        <v>500</v>
      </c>
      <c r="H1354" s="10" t="s">
        <v>51</v>
      </c>
      <c r="I1354" s="10" t="s">
        <v>71</v>
      </c>
      <c r="J1354" s="10" t="s">
        <v>32</v>
      </c>
      <c r="K1354" s="10" t="s">
        <v>23</v>
      </c>
      <c r="L1354" s="10" t="s">
        <v>1772</v>
      </c>
    </row>
    <row r="1355" spans="1:12" x14ac:dyDescent="0.35">
      <c r="A1355" s="9">
        <v>1354</v>
      </c>
      <c r="B1355" s="19">
        <v>45977.20888888889</v>
      </c>
      <c r="C1355" s="20">
        <v>45977</v>
      </c>
      <c r="D1355" s="8" t="s">
        <v>342</v>
      </c>
      <c r="E1355" s="12">
        <v>500</v>
      </c>
      <c r="F1355" s="3">
        <v>0</v>
      </c>
      <c r="G1355" s="3">
        <v>0</v>
      </c>
      <c r="H1355" s="8" t="s">
        <v>51</v>
      </c>
      <c r="I1355" s="8" t="s">
        <v>52</v>
      </c>
      <c r="J1355" s="8" t="s">
        <v>33</v>
      </c>
      <c r="K1355" s="8" t="s">
        <v>23</v>
      </c>
      <c r="L1355" s="8" t="s">
        <v>1773</v>
      </c>
    </row>
    <row r="1356" spans="1:12" x14ac:dyDescent="0.35">
      <c r="A1356" s="11">
        <v>1355</v>
      </c>
      <c r="B1356" s="17">
        <v>45978.20888888889</v>
      </c>
      <c r="C1356" s="18">
        <v>45978</v>
      </c>
      <c r="D1356" s="10" t="s">
        <v>394</v>
      </c>
      <c r="E1356" s="5">
        <v>0</v>
      </c>
      <c r="F1356" s="15">
        <v>500</v>
      </c>
      <c r="G1356" s="5">
        <v>500</v>
      </c>
      <c r="H1356" s="10" t="s">
        <v>51</v>
      </c>
      <c r="I1356" s="10" t="s">
        <v>71</v>
      </c>
      <c r="J1356" s="10" t="s">
        <v>32</v>
      </c>
      <c r="K1356" s="10" t="s">
        <v>23</v>
      </c>
      <c r="L1356" s="10" t="s">
        <v>1774</v>
      </c>
    </row>
    <row r="1357" spans="1:12" x14ac:dyDescent="0.35">
      <c r="A1357" s="9">
        <v>1356</v>
      </c>
      <c r="B1357" s="19">
        <v>45978.20888888889</v>
      </c>
      <c r="C1357" s="20">
        <v>45978</v>
      </c>
      <c r="D1357" s="8" t="s">
        <v>342</v>
      </c>
      <c r="E1357" s="12">
        <v>500</v>
      </c>
      <c r="F1357" s="3">
        <v>0</v>
      </c>
      <c r="G1357" s="3">
        <v>0</v>
      </c>
      <c r="H1357" s="8" t="s">
        <v>51</v>
      </c>
      <c r="I1357" s="8" t="s">
        <v>52</v>
      </c>
      <c r="J1357" s="8" t="s">
        <v>33</v>
      </c>
      <c r="K1357" s="8" t="s">
        <v>23</v>
      </c>
      <c r="L1357" s="8" t="s">
        <v>1775</v>
      </c>
    </row>
    <row r="1358" spans="1:12" x14ac:dyDescent="0.35">
      <c r="A1358" s="11">
        <v>1357</v>
      </c>
      <c r="B1358" s="17">
        <v>45978.38</v>
      </c>
      <c r="C1358" s="18">
        <v>45978</v>
      </c>
      <c r="D1358" s="10" t="s">
        <v>1686</v>
      </c>
      <c r="E1358" s="14">
        <v>750</v>
      </c>
      <c r="F1358" s="5">
        <v>0</v>
      </c>
      <c r="G1358" s="5">
        <v>0</v>
      </c>
      <c r="H1358" s="10" t="s">
        <v>51</v>
      </c>
      <c r="I1358" s="10" t="s">
        <v>52</v>
      </c>
      <c r="J1358" s="10" t="s">
        <v>36</v>
      </c>
      <c r="K1358" s="10" t="s">
        <v>23</v>
      </c>
      <c r="L1358" s="10" t="s">
        <v>1776</v>
      </c>
    </row>
    <row r="1359" spans="1:12" x14ac:dyDescent="0.35">
      <c r="A1359" s="9">
        <v>1358</v>
      </c>
      <c r="B1359" s="19">
        <v>45978.38013888889</v>
      </c>
      <c r="C1359" s="20">
        <v>45978</v>
      </c>
      <c r="D1359" s="8" t="s">
        <v>394</v>
      </c>
      <c r="E1359" s="3">
        <v>0</v>
      </c>
      <c r="F1359" s="13">
        <v>750</v>
      </c>
      <c r="G1359" s="3">
        <v>750</v>
      </c>
      <c r="H1359" s="8" t="s">
        <v>51</v>
      </c>
      <c r="I1359" s="8" t="s">
        <v>71</v>
      </c>
      <c r="J1359" s="8" t="s">
        <v>32</v>
      </c>
      <c r="K1359" s="8" t="s">
        <v>23</v>
      </c>
      <c r="L1359" s="8" t="s">
        <v>1777</v>
      </c>
    </row>
    <row r="1360" spans="1:12" x14ac:dyDescent="0.35">
      <c r="A1360" s="11">
        <v>1359</v>
      </c>
      <c r="B1360" s="17">
        <v>45978.534108796302</v>
      </c>
      <c r="C1360" s="18">
        <v>45978</v>
      </c>
      <c r="D1360" s="10" t="s">
        <v>1778</v>
      </c>
      <c r="E1360" s="14">
        <v>1600</v>
      </c>
      <c r="F1360" s="5">
        <v>0</v>
      </c>
      <c r="G1360" s="5">
        <v>0</v>
      </c>
      <c r="H1360" s="10" t="s">
        <v>51</v>
      </c>
      <c r="I1360" s="10" t="s">
        <v>52</v>
      </c>
      <c r="J1360" s="10" t="s">
        <v>30</v>
      </c>
      <c r="K1360" s="10" t="s">
        <v>23</v>
      </c>
      <c r="L1360" s="10" t="s">
        <v>1779</v>
      </c>
    </row>
    <row r="1361" spans="1:12" x14ac:dyDescent="0.35">
      <c r="A1361" s="9">
        <v>1360</v>
      </c>
      <c r="B1361" s="19">
        <v>45978.534155092602</v>
      </c>
      <c r="C1361" s="20">
        <v>45978</v>
      </c>
      <c r="D1361" s="8" t="s">
        <v>394</v>
      </c>
      <c r="E1361" s="3">
        <v>0</v>
      </c>
      <c r="F1361" s="13">
        <v>1600</v>
      </c>
      <c r="G1361" s="3">
        <v>1600</v>
      </c>
      <c r="H1361" s="8" t="s">
        <v>51</v>
      </c>
      <c r="I1361" s="8" t="s">
        <v>71</v>
      </c>
      <c r="J1361" s="8" t="s">
        <v>32</v>
      </c>
      <c r="K1361" s="8" t="s">
        <v>23</v>
      </c>
      <c r="L1361" s="8" t="s">
        <v>1780</v>
      </c>
    </row>
    <row r="1362" spans="1:12" x14ac:dyDescent="0.35">
      <c r="A1362" s="11">
        <v>1361</v>
      </c>
      <c r="B1362" s="17">
        <v>45978.57644675926</v>
      </c>
      <c r="C1362" s="18">
        <v>45978</v>
      </c>
      <c r="D1362" s="10" t="s">
        <v>1781</v>
      </c>
      <c r="E1362" s="14">
        <v>3100</v>
      </c>
      <c r="F1362" s="5">
        <v>0</v>
      </c>
      <c r="G1362" s="5">
        <v>0</v>
      </c>
      <c r="H1362" s="10" t="s">
        <v>33</v>
      </c>
      <c r="I1362" s="10" t="s">
        <v>52</v>
      </c>
      <c r="J1362" s="10" t="s">
        <v>34</v>
      </c>
      <c r="K1362" s="10" t="s">
        <v>23</v>
      </c>
      <c r="L1362" s="10" t="s">
        <v>1782</v>
      </c>
    </row>
    <row r="1363" spans="1:12" x14ac:dyDescent="0.35">
      <c r="A1363" s="9">
        <v>1362</v>
      </c>
      <c r="B1363" s="19">
        <v>45978.57644675926</v>
      </c>
      <c r="C1363" s="20">
        <v>45978</v>
      </c>
      <c r="D1363" s="8" t="s">
        <v>394</v>
      </c>
      <c r="E1363" s="3">
        <v>0</v>
      </c>
      <c r="F1363" s="13">
        <v>3100</v>
      </c>
      <c r="G1363" s="3">
        <v>3100</v>
      </c>
      <c r="H1363" s="8" t="s">
        <v>51</v>
      </c>
      <c r="I1363" s="8" t="s">
        <v>71</v>
      </c>
      <c r="J1363" s="8" t="s">
        <v>32</v>
      </c>
      <c r="K1363" s="8" t="s">
        <v>23</v>
      </c>
      <c r="L1363" s="8" t="s">
        <v>1783</v>
      </c>
    </row>
    <row r="1364" spans="1:12" x14ac:dyDescent="0.35">
      <c r="A1364" s="11">
        <v>1363</v>
      </c>
      <c r="B1364" s="17">
        <v>45978.603101851862</v>
      </c>
      <c r="C1364" s="18">
        <v>45978</v>
      </c>
      <c r="D1364" s="10" t="s">
        <v>1784</v>
      </c>
      <c r="E1364" s="14">
        <v>11200</v>
      </c>
      <c r="F1364" s="5">
        <v>0</v>
      </c>
      <c r="G1364" s="5">
        <v>0</v>
      </c>
      <c r="H1364" s="10" t="s">
        <v>33</v>
      </c>
      <c r="I1364" s="10" t="s">
        <v>52</v>
      </c>
      <c r="J1364" s="10" t="s">
        <v>34</v>
      </c>
      <c r="K1364" s="10" t="s">
        <v>23</v>
      </c>
      <c r="L1364" s="10" t="s">
        <v>1785</v>
      </c>
    </row>
    <row r="1365" spans="1:12" x14ac:dyDescent="0.35">
      <c r="A1365" s="9">
        <v>1364</v>
      </c>
      <c r="B1365" s="19">
        <v>45978.603101851862</v>
      </c>
      <c r="C1365" s="20">
        <v>45978</v>
      </c>
      <c r="D1365" s="8" t="s">
        <v>394</v>
      </c>
      <c r="E1365" s="3">
        <v>0</v>
      </c>
      <c r="F1365" s="13">
        <v>11200</v>
      </c>
      <c r="G1365" s="3">
        <v>11200</v>
      </c>
      <c r="H1365" s="8" t="s">
        <v>51</v>
      </c>
      <c r="I1365" s="8" t="s">
        <v>71</v>
      </c>
      <c r="J1365" s="8" t="s">
        <v>32</v>
      </c>
      <c r="K1365" s="8" t="s">
        <v>23</v>
      </c>
      <c r="L1365" s="8" t="s">
        <v>1786</v>
      </c>
    </row>
    <row r="1366" spans="1:12" x14ac:dyDescent="0.35">
      <c r="A1366" s="11">
        <v>1365</v>
      </c>
      <c r="B1366" s="17">
        <v>45978.767824074072</v>
      </c>
      <c r="C1366" s="18">
        <v>45978</v>
      </c>
      <c r="D1366" s="10" t="s">
        <v>1787</v>
      </c>
      <c r="E1366" s="14">
        <v>200</v>
      </c>
      <c r="F1366" s="5">
        <v>0</v>
      </c>
      <c r="G1366" s="5">
        <v>0</v>
      </c>
      <c r="H1366" s="10" t="s">
        <v>33</v>
      </c>
      <c r="I1366" s="10" t="s">
        <v>52</v>
      </c>
      <c r="J1366" s="10" t="s">
        <v>34</v>
      </c>
      <c r="K1366" s="10" t="s">
        <v>23</v>
      </c>
      <c r="L1366" s="10" t="s">
        <v>1788</v>
      </c>
    </row>
    <row r="1367" spans="1:12" x14ac:dyDescent="0.35">
      <c r="A1367" s="9">
        <v>1366</v>
      </c>
      <c r="B1367" s="19">
        <v>45978.767824074072</v>
      </c>
      <c r="C1367" s="20">
        <v>45978</v>
      </c>
      <c r="D1367" s="8" t="s">
        <v>394</v>
      </c>
      <c r="E1367" s="3">
        <v>0</v>
      </c>
      <c r="F1367" s="13">
        <v>200</v>
      </c>
      <c r="G1367" s="3">
        <v>200</v>
      </c>
      <c r="H1367" s="8" t="s">
        <v>51</v>
      </c>
      <c r="I1367" s="8" t="s">
        <v>71</v>
      </c>
      <c r="J1367" s="8" t="s">
        <v>32</v>
      </c>
      <c r="K1367" s="8" t="s">
        <v>23</v>
      </c>
      <c r="L1367" s="8" t="s">
        <v>1789</v>
      </c>
    </row>
    <row r="1368" spans="1:12" x14ac:dyDescent="0.35">
      <c r="A1368" s="11">
        <v>1367</v>
      </c>
      <c r="B1368" s="17">
        <v>45979.20890046296</v>
      </c>
      <c r="C1368" s="18">
        <v>45979</v>
      </c>
      <c r="D1368" s="10" t="s">
        <v>394</v>
      </c>
      <c r="E1368" s="5">
        <v>0</v>
      </c>
      <c r="F1368" s="15">
        <v>500</v>
      </c>
      <c r="G1368" s="5">
        <v>500</v>
      </c>
      <c r="H1368" s="10" t="s">
        <v>51</v>
      </c>
      <c r="I1368" s="10" t="s">
        <v>71</v>
      </c>
      <c r="J1368" s="10" t="s">
        <v>32</v>
      </c>
      <c r="K1368" s="10" t="s">
        <v>23</v>
      </c>
      <c r="L1368" s="10" t="s">
        <v>1790</v>
      </c>
    </row>
    <row r="1369" spans="1:12" x14ac:dyDescent="0.35">
      <c r="A1369" s="9">
        <v>1368</v>
      </c>
      <c r="B1369" s="19">
        <v>45979.20890046296</v>
      </c>
      <c r="C1369" s="20">
        <v>45979</v>
      </c>
      <c r="D1369" s="8" t="s">
        <v>342</v>
      </c>
      <c r="E1369" s="12">
        <v>500</v>
      </c>
      <c r="F1369" s="3">
        <v>0</v>
      </c>
      <c r="G1369" s="3">
        <v>0</v>
      </c>
      <c r="H1369" s="8" t="s">
        <v>51</v>
      </c>
      <c r="I1369" s="8" t="s">
        <v>52</v>
      </c>
      <c r="J1369" s="8" t="s">
        <v>33</v>
      </c>
      <c r="K1369" s="8" t="s">
        <v>23</v>
      </c>
      <c r="L1369" s="8" t="s">
        <v>1791</v>
      </c>
    </row>
    <row r="1370" spans="1:12" x14ac:dyDescent="0.35">
      <c r="A1370" s="11">
        <v>1369</v>
      </c>
      <c r="B1370" s="17">
        <v>45979.766180555547</v>
      </c>
      <c r="C1370" s="18">
        <v>45979</v>
      </c>
      <c r="D1370" s="10" t="s">
        <v>1765</v>
      </c>
      <c r="E1370" s="14">
        <v>500</v>
      </c>
      <c r="F1370" s="5">
        <v>0</v>
      </c>
      <c r="G1370" s="5">
        <v>0</v>
      </c>
      <c r="H1370" s="10" t="s">
        <v>51</v>
      </c>
      <c r="I1370" s="10" t="s">
        <v>52</v>
      </c>
      <c r="J1370" s="10" t="s">
        <v>30</v>
      </c>
      <c r="K1370" s="10" t="s">
        <v>23</v>
      </c>
      <c r="L1370" s="10" t="s">
        <v>1792</v>
      </c>
    </row>
    <row r="1371" spans="1:12" x14ac:dyDescent="0.35">
      <c r="A1371" s="9">
        <v>1370</v>
      </c>
      <c r="B1371" s="19">
        <v>45979.766238425917</v>
      </c>
      <c r="C1371" s="20">
        <v>45979</v>
      </c>
      <c r="D1371" s="8" t="s">
        <v>394</v>
      </c>
      <c r="E1371" s="3">
        <v>0</v>
      </c>
      <c r="F1371" s="13">
        <v>500</v>
      </c>
      <c r="G1371" s="3">
        <v>500</v>
      </c>
      <c r="H1371" s="8" t="s">
        <v>51</v>
      </c>
      <c r="I1371" s="8" t="s">
        <v>71</v>
      </c>
      <c r="J1371" s="8" t="s">
        <v>32</v>
      </c>
      <c r="K1371" s="8" t="s">
        <v>23</v>
      </c>
      <c r="L1371" s="8" t="s">
        <v>1793</v>
      </c>
    </row>
    <row r="1372" spans="1:12" x14ac:dyDescent="0.35">
      <c r="A1372" s="11">
        <v>1371</v>
      </c>
      <c r="B1372" s="17">
        <v>45980.20888888889</v>
      </c>
      <c r="C1372" s="18">
        <v>45980</v>
      </c>
      <c r="D1372" s="10" t="s">
        <v>342</v>
      </c>
      <c r="E1372" s="14">
        <v>500</v>
      </c>
      <c r="F1372" s="5">
        <v>0</v>
      </c>
      <c r="G1372" s="5">
        <v>0</v>
      </c>
      <c r="H1372" s="10" t="s">
        <v>51</v>
      </c>
      <c r="I1372" s="10" t="s">
        <v>52</v>
      </c>
      <c r="J1372" s="10" t="s">
        <v>33</v>
      </c>
      <c r="K1372" s="10" t="s">
        <v>23</v>
      </c>
      <c r="L1372" s="10" t="s">
        <v>1794</v>
      </c>
    </row>
    <row r="1373" spans="1:12" x14ac:dyDescent="0.35">
      <c r="A1373" s="9">
        <v>1372</v>
      </c>
      <c r="B1373" s="19">
        <v>45980.20890046296</v>
      </c>
      <c r="C1373" s="20">
        <v>45980</v>
      </c>
      <c r="D1373" s="8" t="s">
        <v>394</v>
      </c>
      <c r="E1373" s="3">
        <v>0</v>
      </c>
      <c r="F1373" s="13">
        <v>500</v>
      </c>
      <c r="G1373" s="3">
        <v>500</v>
      </c>
      <c r="H1373" s="8" t="s">
        <v>51</v>
      </c>
      <c r="I1373" s="8" t="s">
        <v>71</v>
      </c>
      <c r="J1373" s="8" t="s">
        <v>32</v>
      </c>
      <c r="K1373" s="8" t="s">
        <v>23</v>
      </c>
      <c r="L1373" s="8" t="s">
        <v>1795</v>
      </c>
    </row>
    <row r="1374" spans="1:12" x14ac:dyDescent="0.35">
      <c r="A1374" s="11">
        <v>1373</v>
      </c>
      <c r="B1374" s="17">
        <v>45980.501747685194</v>
      </c>
      <c r="C1374" s="18">
        <v>45980</v>
      </c>
      <c r="D1374" s="10" t="s">
        <v>1796</v>
      </c>
      <c r="E1374" s="14">
        <v>2000</v>
      </c>
      <c r="F1374" s="5">
        <v>0</v>
      </c>
      <c r="G1374" s="5">
        <v>0</v>
      </c>
      <c r="H1374" s="10" t="s">
        <v>51</v>
      </c>
      <c r="I1374" s="10" t="s">
        <v>52</v>
      </c>
      <c r="J1374" s="10" t="s">
        <v>30</v>
      </c>
      <c r="K1374" s="10" t="s">
        <v>23</v>
      </c>
      <c r="L1374" s="10" t="s">
        <v>1797</v>
      </c>
    </row>
    <row r="1375" spans="1:12" x14ac:dyDescent="0.35">
      <c r="A1375" s="9">
        <v>1374</v>
      </c>
      <c r="B1375" s="19">
        <v>45980.501782407409</v>
      </c>
      <c r="C1375" s="20">
        <v>45980</v>
      </c>
      <c r="D1375" s="8" t="s">
        <v>394</v>
      </c>
      <c r="E1375" s="3">
        <v>0</v>
      </c>
      <c r="F1375" s="13">
        <v>2000</v>
      </c>
      <c r="G1375" s="3">
        <v>2000</v>
      </c>
      <c r="H1375" s="8" t="s">
        <v>51</v>
      </c>
      <c r="I1375" s="8" t="s">
        <v>71</v>
      </c>
      <c r="J1375" s="8" t="s">
        <v>32</v>
      </c>
      <c r="K1375" s="8" t="s">
        <v>23</v>
      </c>
      <c r="L1375" s="8" t="s">
        <v>1798</v>
      </c>
    </row>
    <row r="1376" spans="1:12" x14ac:dyDescent="0.35">
      <c r="A1376" s="11">
        <v>1375</v>
      </c>
      <c r="B1376" s="17">
        <v>45980.530590277784</v>
      </c>
      <c r="C1376" s="18">
        <v>45980</v>
      </c>
      <c r="D1376" s="10" t="s">
        <v>1799</v>
      </c>
      <c r="E1376" s="14">
        <v>4100</v>
      </c>
      <c r="F1376" s="5">
        <v>0</v>
      </c>
      <c r="G1376" s="5">
        <v>0</v>
      </c>
      <c r="H1376" s="10" t="s">
        <v>33</v>
      </c>
      <c r="I1376" s="10" t="s">
        <v>52</v>
      </c>
      <c r="J1376" s="10" t="s">
        <v>34</v>
      </c>
      <c r="K1376" s="10" t="s">
        <v>23</v>
      </c>
      <c r="L1376" s="10" t="s">
        <v>1800</v>
      </c>
    </row>
    <row r="1377" spans="1:12" x14ac:dyDescent="0.35">
      <c r="A1377" s="9">
        <v>1376</v>
      </c>
      <c r="B1377" s="19">
        <v>45980.530590277784</v>
      </c>
      <c r="C1377" s="20">
        <v>45980</v>
      </c>
      <c r="D1377" s="8" t="s">
        <v>394</v>
      </c>
      <c r="E1377" s="3">
        <v>0</v>
      </c>
      <c r="F1377" s="13">
        <v>4100</v>
      </c>
      <c r="G1377" s="3">
        <v>4100</v>
      </c>
      <c r="H1377" s="8" t="s">
        <v>51</v>
      </c>
      <c r="I1377" s="8" t="s">
        <v>71</v>
      </c>
      <c r="J1377" s="8" t="s">
        <v>32</v>
      </c>
      <c r="K1377" s="8" t="s">
        <v>23</v>
      </c>
      <c r="L1377" s="8" t="s">
        <v>1801</v>
      </c>
    </row>
    <row r="1378" spans="1:12" x14ac:dyDescent="0.35">
      <c r="A1378" s="11">
        <v>1377</v>
      </c>
      <c r="B1378" s="17">
        <v>45980.542905092603</v>
      </c>
      <c r="C1378" s="18">
        <v>45980</v>
      </c>
      <c r="D1378" s="10" t="s">
        <v>1802</v>
      </c>
      <c r="E1378" s="14">
        <v>6400</v>
      </c>
      <c r="F1378" s="5">
        <v>0</v>
      </c>
      <c r="G1378" s="5">
        <v>0</v>
      </c>
      <c r="H1378" s="10" t="s">
        <v>51</v>
      </c>
      <c r="I1378" s="10" t="s">
        <v>52</v>
      </c>
      <c r="J1378" s="10" t="s">
        <v>30</v>
      </c>
      <c r="K1378" s="10" t="s">
        <v>23</v>
      </c>
      <c r="L1378" s="10" t="s">
        <v>1803</v>
      </c>
    </row>
    <row r="1379" spans="1:12" x14ac:dyDescent="0.35">
      <c r="A1379" s="9">
        <v>1378</v>
      </c>
      <c r="B1379" s="19">
        <v>45980.542962962973</v>
      </c>
      <c r="C1379" s="20">
        <v>45980</v>
      </c>
      <c r="D1379" s="8" t="s">
        <v>394</v>
      </c>
      <c r="E1379" s="3">
        <v>0</v>
      </c>
      <c r="F1379" s="13">
        <v>6400</v>
      </c>
      <c r="G1379" s="3">
        <v>6400</v>
      </c>
      <c r="H1379" s="8" t="s">
        <v>51</v>
      </c>
      <c r="I1379" s="8" t="s">
        <v>71</v>
      </c>
      <c r="J1379" s="8" t="s">
        <v>32</v>
      </c>
      <c r="K1379" s="8" t="s">
        <v>23</v>
      </c>
      <c r="L1379" s="8" t="s">
        <v>1804</v>
      </c>
    </row>
    <row r="1380" spans="1:12" x14ac:dyDescent="0.35">
      <c r="A1380" s="11">
        <v>1379</v>
      </c>
      <c r="B1380" s="17">
        <v>45980.549861111111</v>
      </c>
      <c r="C1380" s="18">
        <v>45980</v>
      </c>
      <c r="D1380" s="10" t="s">
        <v>1805</v>
      </c>
      <c r="E1380" s="14">
        <v>3700</v>
      </c>
      <c r="F1380" s="5">
        <v>0</v>
      </c>
      <c r="G1380" s="5">
        <v>0</v>
      </c>
      <c r="H1380" s="10" t="s">
        <v>33</v>
      </c>
      <c r="I1380" s="10" t="s">
        <v>52</v>
      </c>
      <c r="J1380" s="10" t="s">
        <v>34</v>
      </c>
      <c r="K1380" s="10" t="s">
        <v>23</v>
      </c>
      <c r="L1380" s="10" t="s">
        <v>1806</v>
      </c>
    </row>
    <row r="1381" spans="1:12" x14ac:dyDescent="0.35">
      <c r="A1381" s="9">
        <v>1380</v>
      </c>
      <c r="B1381" s="19">
        <v>45980.549861111111</v>
      </c>
      <c r="C1381" s="20">
        <v>45980</v>
      </c>
      <c r="D1381" s="8" t="s">
        <v>394</v>
      </c>
      <c r="E1381" s="3">
        <v>0</v>
      </c>
      <c r="F1381" s="13">
        <v>3700</v>
      </c>
      <c r="G1381" s="3">
        <v>3700</v>
      </c>
      <c r="H1381" s="8" t="s">
        <v>51</v>
      </c>
      <c r="I1381" s="8" t="s">
        <v>71</v>
      </c>
      <c r="J1381" s="8" t="s">
        <v>32</v>
      </c>
      <c r="K1381" s="8" t="s">
        <v>23</v>
      </c>
      <c r="L1381" s="8" t="s">
        <v>1807</v>
      </c>
    </row>
    <row r="1382" spans="1:12" x14ac:dyDescent="0.35">
      <c r="A1382" s="11">
        <v>1381</v>
      </c>
      <c r="B1382" s="17">
        <v>45981.208807870367</v>
      </c>
      <c r="C1382" s="18">
        <v>45981</v>
      </c>
      <c r="D1382" s="10" t="s">
        <v>342</v>
      </c>
      <c r="E1382" s="14">
        <v>500</v>
      </c>
      <c r="F1382" s="5">
        <v>0</v>
      </c>
      <c r="G1382" s="5">
        <v>0</v>
      </c>
      <c r="H1382" s="10" t="s">
        <v>51</v>
      </c>
      <c r="I1382" s="10" t="s">
        <v>52</v>
      </c>
      <c r="J1382" s="10" t="s">
        <v>33</v>
      </c>
      <c r="K1382" s="10" t="s">
        <v>23</v>
      </c>
      <c r="L1382" s="10" t="s">
        <v>1808</v>
      </c>
    </row>
    <row r="1383" spans="1:12" x14ac:dyDescent="0.35">
      <c r="A1383" s="9">
        <v>1382</v>
      </c>
      <c r="B1383" s="19">
        <v>45981.208819444437</v>
      </c>
      <c r="C1383" s="20">
        <v>45981</v>
      </c>
      <c r="D1383" s="8" t="s">
        <v>394</v>
      </c>
      <c r="E1383" s="3">
        <v>0</v>
      </c>
      <c r="F1383" s="13">
        <v>500</v>
      </c>
      <c r="G1383" s="3">
        <v>500</v>
      </c>
      <c r="H1383" s="8" t="s">
        <v>51</v>
      </c>
      <c r="I1383" s="8" t="s">
        <v>71</v>
      </c>
      <c r="J1383" s="8" t="s">
        <v>32</v>
      </c>
      <c r="K1383" s="8" t="s">
        <v>23</v>
      </c>
      <c r="L1383" s="8" t="s">
        <v>1809</v>
      </c>
    </row>
    <row r="1384" spans="1:12" x14ac:dyDescent="0.35">
      <c r="A1384" s="11">
        <v>1383</v>
      </c>
      <c r="B1384" s="17">
        <v>45981.876435185193</v>
      </c>
      <c r="C1384" s="18">
        <v>45981</v>
      </c>
      <c r="D1384" s="10" t="s">
        <v>1810</v>
      </c>
      <c r="E1384" s="5">
        <v>0</v>
      </c>
      <c r="F1384" s="15">
        <v>14000</v>
      </c>
      <c r="G1384" s="5">
        <v>14000</v>
      </c>
      <c r="H1384" s="10" t="s">
        <v>51</v>
      </c>
      <c r="I1384" s="10" t="s">
        <v>71</v>
      </c>
      <c r="J1384" s="10" t="s">
        <v>31</v>
      </c>
      <c r="K1384" s="10" t="s">
        <v>23</v>
      </c>
      <c r="L1384" s="10" t="s">
        <v>1811</v>
      </c>
    </row>
    <row r="1385" spans="1:12" x14ac:dyDescent="0.35">
      <c r="A1385" s="9">
        <v>1384</v>
      </c>
      <c r="B1385" s="19">
        <v>45981.876458333332</v>
      </c>
      <c r="C1385" s="20">
        <v>45981</v>
      </c>
      <c r="D1385" s="8" t="s">
        <v>79</v>
      </c>
      <c r="E1385" s="12">
        <v>50</v>
      </c>
      <c r="F1385" s="3">
        <v>0</v>
      </c>
      <c r="G1385" s="3">
        <v>13950</v>
      </c>
      <c r="H1385" s="8" t="s">
        <v>51</v>
      </c>
      <c r="I1385" s="8" t="s">
        <v>52</v>
      </c>
      <c r="J1385" s="8" t="s">
        <v>36</v>
      </c>
      <c r="K1385" s="8" t="s">
        <v>23</v>
      </c>
      <c r="L1385" s="8" t="s">
        <v>1812</v>
      </c>
    </row>
    <row r="1386" spans="1:12" x14ac:dyDescent="0.35">
      <c r="A1386" s="11">
        <v>1385</v>
      </c>
      <c r="B1386" s="17">
        <v>45981.925706018519</v>
      </c>
      <c r="C1386" s="18">
        <v>45981</v>
      </c>
      <c r="D1386" s="10" t="s">
        <v>426</v>
      </c>
      <c r="E1386" s="14">
        <v>13950</v>
      </c>
      <c r="F1386" s="5">
        <v>0</v>
      </c>
      <c r="G1386" s="5">
        <v>0</v>
      </c>
      <c r="H1386" s="10" t="s">
        <v>51</v>
      </c>
      <c r="I1386" s="10" t="s">
        <v>52</v>
      </c>
      <c r="J1386" s="10" t="s">
        <v>32</v>
      </c>
      <c r="K1386" s="10" t="s">
        <v>23</v>
      </c>
      <c r="L1386" s="10" t="s">
        <v>1813</v>
      </c>
    </row>
    <row r="1387" spans="1:12" x14ac:dyDescent="0.35">
      <c r="A1387" s="9">
        <v>1386</v>
      </c>
      <c r="B1387" s="19">
        <v>45982.208784722221</v>
      </c>
      <c r="C1387" s="20">
        <v>45982</v>
      </c>
      <c r="D1387" s="8" t="s">
        <v>342</v>
      </c>
      <c r="E1387" s="12">
        <v>500</v>
      </c>
      <c r="F1387" s="3">
        <v>0</v>
      </c>
      <c r="G1387" s="3">
        <v>0</v>
      </c>
      <c r="H1387" s="8" t="s">
        <v>51</v>
      </c>
      <c r="I1387" s="8" t="s">
        <v>52</v>
      </c>
      <c r="J1387" s="8" t="s">
        <v>33</v>
      </c>
      <c r="K1387" s="8" t="s">
        <v>23</v>
      </c>
      <c r="L1387" s="8" t="s">
        <v>1814</v>
      </c>
    </row>
    <row r="1388" spans="1:12" x14ac:dyDescent="0.35">
      <c r="A1388" s="11">
        <v>1387</v>
      </c>
      <c r="B1388" s="17">
        <v>45982.208796296298</v>
      </c>
      <c r="C1388" s="18">
        <v>45982</v>
      </c>
      <c r="D1388" s="10" t="s">
        <v>394</v>
      </c>
      <c r="E1388" s="5">
        <v>0</v>
      </c>
      <c r="F1388" s="15">
        <v>500</v>
      </c>
      <c r="G1388" s="5">
        <v>500</v>
      </c>
      <c r="H1388" s="10" t="s">
        <v>51</v>
      </c>
      <c r="I1388" s="10" t="s">
        <v>71</v>
      </c>
      <c r="J1388" s="10" t="s">
        <v>32</v>
      </c>
      <c r="K1388" s="10" t="s">
        <v>23</v>
      </c>
      <c r="L1388" s="10" t="s">
        <v>1815</v>
      </c>
    </row>
    <row r="1389" spans="1:12" x14ac:dyDescent="0.35">
      <c r="A1389" s="9">
        <v>1388</v>
      </c>
      <c r="B1389" s="19">
        <v>45983.208784722221</v>
      </c>
      <c r="C1389" s="20">
        <v>45983</v>
      </c>
      <c r="D1389" s="8" t="s">
        <v>394</v>
      </c>
      <c r="E1389" s="3">
        <v>0</v>
      </c>
      <c r="F1389" s="13">
        <v>500</v>
      </c>
      <c r="G1389" s="3">
        <v>500</v>
      </c>
      <c r="H1389" s="8" t="s">
        <v>51</v>
      </c>
      <c r="I1389" s="8" t="s">
        <v>71</v>
      </c>
      <c r="J1389" s="8" t="s">
        <v>32</v>
      </c>
      <c r="K1389" s="8" t="s">
        <v>23</v>
      </c>
      <c r="L1389" s="8" t="s">
        <v>1816</v>
      </c>
    </row>
    <row r="1390" spans="1:12" x14ac:dyDescent="0.35">
      <c r="A1390" s="11">
        <v>1389</v>
      </c>
      <c r="B1390" s="17">
        <v>45983.208784722221</v>
      </c>
      <c r="C1390" s="18">
        <v>45983</v>
      </c>
      <c r="D1390" s="10" t="s">
        <v>342</v>
      </c>
      <c r="E1390" s="14">
        <v>500</v>
      </c>
      <c r="F1390" s="5">
        <v>0</v>
      </c>
      <c r="G1390" s="5">
        <v>0</v>
      </c>
      <c r="H1390" s="10" t="s">
        <v>51</v>
      </c>
      <c r="I1390" s="10" t="s">
        <v>52</v>
      </c>
      <c r="J1390" s="10" t="s">
        <v>33</v>
      </c>
      <c r="K1390" s="10" t="s">
        <v>23</v>
      </c>
      <c r="L1390" s="10" t="s">
        <v>1817</v>
      </c>
    </row>
    <row r="1391" spans="1:12" x14ac:dyDescent="0.35">
      <c r="A1391" s="9">
        <v>1390</v>
      </c>
      <c r="B1391" s="19">
        <v>45984.208819444437</v>
      </c>
      <c r="C1391" s="20">
        <v>45984</v>
      </c>
      <c r="D1391" s="8" t="s">
        <v>394</v>
      </c>
      <c r="E1391" s="3">
        <v>0</v>
      </c>
      <c r="F1391" s="13">
        <v>500</v>
      </c>
      <c r="G1391" s="3">
        <v>500</v>
      </c>
      <c r="H1391" s="8" t="s">
        <v>51</v>
      </c>
      <c r="I1391" s="8" t="s">
        <v>71</v>
      </c>
      <c r="J1391" s="8" t="s">
        <v>32</v>
      </c>
      <c r="K1391" s="8" t="s">
        <v>23</v>
      </c>
      <c r="L1391" s="8" t="s">
        <v>1818</v>
      </c>
    </row>
    <row r="1392" spans="1:12" x14ac:dyDescent="0.35">
      <c r="A1392" s="11">
        <v>1391</v>
      </c>
      <c r="B1392" s="17">
        <v>45984.208819444437</v>
      </c>
      <c r="C1392" s="18">
        <v>45984</v>
      </c>
      <c r="D1392" s="10" t="s">
        <v>342</v>
      </c>
      <c r="E1392" s="14">
        <v>500</v>
      </c>
      <c r="F1392" s="5">
        <v>0</v>
      </c>
      <c r="G1392" s="5">
        <v>0</v>
      </c>
      <c r="H1392" s="10" t="s">
        <v>51</v>
      </c>
      <c r="I1392" s="10" t="s">
        <v>52</v>
      </c>
      <c r="J1392" s="10" t="s">
        <v>33</v>
      </c>
      <c r="K1392" s="10" t="s">
        <v>23</v>
      </c>
      <c r="L1392" s="10" t="s">
        <v>1819</v>
      </c>
    </row>
    <row r="1393" spans="1:12" x14ac:dyDescent="0.35">
      <c r="A1393" s="9">
        <v>1392</v>
      </c>
      <c r="B1393" s="19">
        <v>45984.31832175926</v>
      </c>
      <c r="C1393" s="20">
        <v>45984</v>
      </c>
      <c r="D1393" s="8" t="s">
        <v>1820</v>
      </c>
      <c r="E1393" s="12">
        <v>2100</v>
      </c>
      <c r="F1393" s="3">
        <v>0</v>
      </c>
      <c r="G1393" s="3">
        <v>0</v>
      </c>
      <c r="H1393" s="8" t="s">
        <v>33</v>
      </c>
      <c r="I1393" s="8" t="s">
        <v>52</v>
      </c>
      <c r="J1393" s="8" t="s">
        <v>34</v>
      </c>
      <c r="K1393" s="8" t="s">
        <v>23</v>
      </c>
      <c r="L1393" s="8" t="s">
        <v>1821</v>
      </c>
    </row>
    <row r="1394" spans="1:12" x14ac:dyDescent="0.35">
      <c r="A1394" s="11">
        <v>1393</v>
      </c>
      <c r="B1394" s="17">
        <v>45984.31832175926</v>
      </c>
      <c r="C1394" s="18">
        <v>45984</v>
      </c>
      <c r="D1394" s="10" t="s">
        <v>394</v>
      </c>
      <c r="E1394" s="5">
        <v>0</v>
      </c>
      <c r="F1394" s="15">
        <v>2100</v>
      </c>
      <c r="G1394" s="5">
        <v>2100</v>
      </c>
      <c r="H1394" s="10" t="s">
        <v>51</v>
      </c>
      <c r="I1394" s="10" t="s">
        <v>71</v>
      </c>
      <c r="J1394" s="10" t="s">
        <v>32</v>
      </c>
      <c r="K1394" s="10" t="s">
        <v>23</v>
      </c>
      <c r="L1394" s="10" t="s">
        <v>1822</v>
      </c>
    </row>
    <row r="1395" spans="1:12" x14ac:dyDescent="0.35">
      <c r="A1395" s="9">
        <v>1394</v>
      </c>
      <c r="B1395" s="19">
        <v>45984.355682870373</v>
      </c>
      <c r="C1395" s="20">
        <v>45984</v>
      </c>
      <c r="D1395" s="8" t="s">
        <v>1823</v>
      </c>
      <c r="E1395" s="12">
        <v>1600</v>
      </c>
      <c r="F1395" s="3">
        <v>0</v>
      </c>
      <c r="G1395" s="3">
        <v>0</v>
      </c>
      <c r="H1395" s="8" t="s">
        <v>33</v>
      </c>
      <c r="I1395" s="8" t="s">
        <v>52</v>
      </c>
      <c r="J1395" s="8" t="s">
        <v>34</v>
      </c>
      <c r="K1395" s="8" t="s">
        <v>23</v>
      </c>
      <c r="L1395" s="8" t="s">
        <v>1824</v>
      </c>
    </row>
    <row r="1396" spans="1:12" x14ac:dyDescent="0.35">
      <c r="A1396" s="11">
        <v>1395</v>
      </c>
      <c r="B1396" s="17">
        <v>45984.355682870373</v>
      </c>
      <c r="C1396" s="18">
        <v>45984</v>
      </c>
      <c r="D1396" s="10" t="s">
        <v>394</v>
      </c>
      <c r="E1396" s="5">
        <v>0</v>
      </c>
      <c r="F1396" s="15">
        <v>1600</v>
      </c>
      <c r="G1396" s="5">
        <v>1600</v>
      </c>
      <c r="H1396" s="10" t="s">
        <v>51</v>
      </c>
      <c r="I1396" s="10" t="s">
        <v>71</v>
      </c>
      <c r="J1396" s="10" t="s">
        <v>32</v>
      </c>
      <c r="K1396" s="10" t="s">
        <v>23</v>
      </c>
      <c r="L1396" s="10" t="s">
        <v>1825</v>
      </c>
    </row>
    <row r="1397" spans="1:12" x14ac:dyDescent="0.35">
      <c r="A1397" s="9">
        <v>1396</v>
      </c>
      <c r="B1397" s="19">
        <v>45984.46565972222</v>
      </c>
      <c r="C1397" s="20">
        <v>45984</v>
      </c>
      <c r="D1397" s="8" t="s">
        <v>1826</v>
      </c>
      <c r="E1397" s="12">
        <v>2400</v>
      </c>
      <c r="F1397" s="3">
        <v>0</v>
      </c>
      <c r="G1397" s="3">
        <v>0</v>
      </c>
      <c r="H1397" s="8" t="s">
        <v>33</v>
      </c>
      <c r="I1397" s="8" t="s">
        <v>52</v>
      </c>
      <c r="J1397" s="8" t="s">
        <v>34</v>
      </c>
      <c r="K1397" s="8" t="s">
        <v>23</v>
      </c>
      <c r="L1397" s="8" t="s">
        <v>1827</v>
      </c>
    </row>
    <row r="1398" spans="1:12" x14ac:dyDescent="0.35">
      <c r="A1398" s="11">
        <v>1397</v>
      </c>
      <c r="B1398" s="17">
        <v>45984.46565972222</v>
      </c>
      <c r="C1398" s="18">
        <v>45984</v>
      </c>
      <c r="D1398" s="10" t="s">
        <v>394</v>
      </c>
      <c r="E1398" s="5">
        <v>0</v>
      </c>
      <c r="F1398" s="15">
        <v>2400</v>
      </c>
      <c r="G1398" s="5">
        <v>2400</v>
      </c>
      <c r="H1398" s="10" t="s">
        <v>51</v>
      </c>
      <c r="I1398" s="10" t="s">
        <v>71</v>
      </c>
      <c r="J1398" s="10" t="s">
        <v>32</v>
      </c>
      <c r="K1398" s="10" t="s">
        <v>23</v>
      </c>
      <c r="L1398" s="10" t="s">
        <v>1828</v>
      </c>
    </row>
    <row r="1399" spans="1:12" x14ac:dyDescent="0.35">
      <c r="A1399" s="9">
        <v>1398</v>
      </c>
      <c r="B1399" s="19">
        <v>45985.208506944437</v>
      </c>
      <c r="C1399" s="20">
        <v>45985</v>
      </c>
      <c r="D1399" s="8" t="s">
        <v>394</v>
      </c>
      <c r="E1399" s="3">
        <v>0</v>
      </c>
      <c r="F1399" s="13">
        <v>500</v>
      </c>
      <c r="G1399" s="3">
        <v>500</v>
      </c>
      <c r="H1399" s="8" t="s">
        <v>51</v>
      </c>
      <c r="I1399" s="8" t="s">
        <v>71</v>
      </c>
      <c r="J1399" s="8" t="s">
        <v>32</v>
      </c>
      <c r="K1399" s="8" t="s">
        <v>23</v>
      </c>
      <c r="L1399" s="8" t="s">
        <v>1829</v>
      </c>
    </row>
    <row r="1400" spans="1:12" x14ac:dyDescent="0.35">
      <c r="A1400" s="11">
        <v>1399</v>
      </c>
      <c r="B1400" s="17">
        <v>45985.208506944437</v>
      </c>
      <c r="C1400" s="18">
        <v>45985</v>
      </c>
      <c r="D1400" s="10" t="s">
        <v>342</v>
      </c>
      <c r="E1400" s="14">
        <v>500</v>
      </c>
      <c r="F1400" s="5">
        <v>0</v>
      </c>
      <c r="G1400" s="5">
        <v>0</v>
      </c>
      <c r="H1400" s="10" t="s">
        <v>51</v>
      </c>
      <c r="I1400" s="10" t="s">
        <v>52</v>
      </c>
      <c r="J1400" s="10" t="s">
        <v>33</v>
      </c>
      <c r="K1400" s="10" t="s">
        <v>23</v>
      </c>
      <c r="L1400" s="10" t="s">
        <v>1830</v>
      </c>
    </row>
    <row r="1401" spans="1:12" x14ac:dyDescent="0.35">
      <c r="A1401" s="9">
        <v>1400</v>
      </c>
      <c r="B1401" s="19">
        <v>45985.522835648153</v>
      </c>
      <c r="C1401" s="20">
        <v>45985</v>
      </c>
      <c r="D1401" s="8" t="s">
        <v>1699</v>
      </c>
      <c r="E1401" s="12">
        <v>11300</v>
      </c>
      <c r="F1401" s="3">
        <v>0</v>
      </c>
      <c r="G1401" s="3">
        <v>0</v>
      </c>
      <c r="H1401" s="8" t="s">
        <v>51</v>
      </c>
      <c r="I1401" s="8" t="s">
        <v>52</v>
      </c>
      <c r="J1401" s="8" t="s">
        <v>30</v>
      </c>
      <c r="K1401" s="8" t="s">
        <v>23</v>
      </c>
      <c r="L1401" s="8" t="s">
        <v>1831</v>
      </c>
    </row>
    <row r="1402" spans="1:12" x14ac:dyDescent="0.35">
      <c r="A1402" s="11">
        <v>1401</v>
      </c>
      <c r="B1402" s="17">
        <v>45985.522893518522</v>
      </c>
      <c r="C1402" s="18">
        <v>45985</v>
      </c>
      <c r="D1402" s="10" t="s">
        <v>394</v>
      </c>
      <c r="E1402" s="5">
        <v>0</v>
      </c>
      <c r="F1402" s="15">
        <v>11300</v>
      </c>
      <c r="G1402" s="5">
        <v>11300</v>
      </c>
      <c r="H1402" s="10" t="s">
        <v>51</v>
      </c>
      <c r="I1402" s="10" t="s">
        <v>71</v>
      </c>
      <c r="J1402" s="10" t="s">
        <v>32</v>
      </c>
      <c r="K1402" s="10" t="s">
        <v>23</v>
      </c>
      <c r="L1402" s="10" t="s">
        <v>1832</v>
      </c>
    </row>
    <row r="1403" spans="1:12" x14ac:dyDescent="0.35">
      <c r="A1403" s="9">
        <v>1402</v>
      </c>
      <c r="B1403" s="19">
        <v>45985.607442129629</v>
      </c>
      <c r="C1403" s="20">
        <v>45985</v>
      </c>
      <c r="D1403" s="8" t="s">
        <v>1833</v>
      </c>
      <c r="E1403" s="3">
        <v>0</v>
      </c>
      <c r="F1403" s="13">
        <v>11300</v>
      </c>
      <c r="G1403" s="3">
        <v>11300</v>
      </c>
      <c r="H1403" s="8" t="s">
        <v>51</v>
      </c>
      <c r="I1403" s="8" t="s">
        <v>71</v>
      </c>
      <c r="J1403" s="8" t="s">
        <v>31</v>
      </c>
      <c r="K1403" s="8" t="s">
        <v>23</v>
      </c>
      <c r="L1403" s="8" t="s">
        <v>1834</v>
      </c>
    </row>
    <row r="1404" spans="1:12" x14ac:dyDescent="0.35">
      <c r="A1404" s="11">
        <v>1403</v>
      </c>
      <c r="B1404" s="17">
        <v>45985.607488425929</v>
      </c>
      <c r="C1404" s="18">
        <v>45985</v>
      </c>
      <c r="D1404" s="10" t="s">
        <v>79</v>
      </c>
      <c r="E1404" s="14">
        <v>50</v>
      </c>
      <c r="F1404" s="5">
        <v>0</v>
      </c>
      <c r="G1404" s="5">
        <v>11250</v>
      </c>
      <c r="H1404" s="10" t="s">
        <v>51</v>
      </c>
      <c r="I1404" s="10" t="s">
        <v>52</v>
      </c>
      <c r="J1404" s="10" t="s">
        <v>36</v>
      </c>
      <c r="K1404" s="10" t="s">
        <v>23</v>
      </c>
      <c r="L1404" s="10" t="s">
        <v>1835</v>
      </c>
    </row>
    <row r="1405" spans="1:12" x14ac:dyDescent="0.35">
      <c r="A1405" s="9">
        <v>1404</v>
      </c>
      <c r="B1405" s="19">
        <v>45985.755231481482</v>
      </c>
      <c r="C1405" s="20">
        <v>45985</v>
      </c>
      <c r="D1405" s="8" t="s">
        <v>1836</v>
      </c>
      <c r="E1405" s="12">
        <v>700</v>
      </c>
      <c r="F1405" s="3">
        <v>0</v>
      </c>
      <c r="G1405" s="3">
        <v>10550</v>
      </c>
      <c r="H1405" s="8" t="s">
        <v>51</v>
      </c>
      <c r="I1405" s="8" t="s">
        <v>52</v>
      </c>
      <c r="J1405" s="8" t="s">
        <v>30</v>
      </c>
      <c r="K1405" s="8" t="s">
        <v>23</v>
      </c>
      <c r="L1405" s="8" t="s">
        <v>1837</v>
      </c>
    </row>
    <row r="1406" spans="1:12" x14ac:dyDescent="0.35">
      <c r="A1406" s="11">
        <v>1405</v>
      </c>
      <c r="B1406" s="17">
        <v>45985.773958333331</v>
      </c>
      <c r="C1406" s="18">
        <v>45985</v>
      </c>
      <c r="D1406" s="10" t="s">
        <v>1765</v>
      </c>
      <c r="E1406" s="14">
        <v>2600</v>
      </c>
      <c r="F1406" s="5">
        <v>0</v>
      </c>
      <c r="G1406" s="5">
        <v>7950</v>
      </c>
      <c r="H1406" s="10" t="s">
        <v>51</v>
      </c>
      <c r="I1406" s="10" t="s">
        <v>52</v>
      </c>
      <c r="J1406" s="10" t="s">
        <v>30</v>
      </c>
      <c r="K1406" s="10" t="s">
        <v>23</v>
      </c>
      <c r="L1406" s="10" t="s">
        <v>1838</v>
      </c>
    </row>
    <row r="1407" spans="1:12" x14ac:dyDescent="0.35">
      <c r="A1407" s="9">
        <v>1406</v>
      </c>
      <c r="B1407" s="19">
        <v>45985.925856481481</v>
      </c>
      <c r="C1407" s="20">
        <v>45985</v>
      </c>
      <c r="D1407" s="8" t="s">
        <v>426</v>
      </c>
      <c r="E1407" s="12">
        <v>7950</v>
      </c>
      <c r="F1407" s="3">
        <v>0</v>
      </c>
      <c r="G1407" s="3">
        <v>0</v>
      </c>
      <c r="H1407" s="8" t="s">
        <v>51</v>
      </c>
      <c r="I1407" s="8" t="s">
        <v>52</v>
      </c>
      <c r="J1407" s="8" t="s">
        <v>32</v>
      </c>
      <c r="K1407" s="8" t="s">
        <v>23</v>
      </c>
      <c r="L1407" s="8" t="s">
        <v>1839</v>
      </c>
    </row>
    <row r="1408" spans="1:12" x14ac:dyDescent="0.35">
      <c r="A1408" s="11">
        <v>1407</v>
      </c>
      <c r="B1408" s="17">
        <v>45986.208831018521</v>
      </c>
      <c r="C1408" s="18">
        <v>45986</v>
      </c>
      <c r="D1408" s="10" t="s">
        <v>342</v>
      </c>
      <c r="E1408" s="14">
        <v>500</v>
      </c>
      <c r="F1408" s="5">
        <v>0</v>
      </c>
      <c r="G1408" s="5">
        <v>0</v>
      </c>
      <c r="H1408" s="10" t="s">
        <v>51</v>
      </c>
      <c r="I1408" s="10" t="s">
        <v>52</v>
      </c>
      <c r="J1408" s="10" t="s">
        <v>33</v>
      </c>
      <c r="K1408" s="10" t="s">
        <v>23</v>
      </c>
      <c r="L1408" s="10" t="s">
        <v>1840</v>
      </c>
    </row>
    <row r="1409" spans="1:12" x14ac:dyDescent="0.35">
      <c r="A1409" s="9">
        <v>1408</v>
      </c>
      <c r="B1409" s="19">
        <v>45986.20884259259</v>
      </c>
      <c r="C1409" s="20">
        <v>45986</v>
      </c>
      <c r="D1409" s="8" t="s">
        <v>394</v>
      </c>
      <c r="E1409" s="3">
        <v>0</v>
      </c>
      <c r="F1409" s="13">
        <v>500</v>
      </c>
      <c r="G1409" s="3">
        <v>500</v>
      </c>
      <c r="H1409" s="8" t="s">
        <v>51</v>
      </c>
      <c r="I1409" s="8" t="s">
        <v>71</v>
      </c>
      <c r="J1409" s="8" t="s">
        <v>32</v>
      </c>
      <c r="K1409" s="8" t="s">
        <v>23</v>
      </c>
      <c r="L1409" s="8" t="s">
        <v>1841</v>
      </c>
    </row>
    <row r="1410" spans="1:12" x14ac:dyDescent="0.35">
      <c r="A1410" s="11">
        <v>1409</v>
      </c>
      <c r="B1410" s="17">
        <v>45987.208796296298</v>
      </c>
      <c r="C1410" s="18">
        <v>45987</v>
      </c>
      <c r="D1410" s="10" t="s">
        <v>342</v>
      </c>
      <c r="E1410" s="14">
        <v>500</v>
      </c>
      <c r="F1410" s="5">
        <v>0</v>
      </c>
      <c r="G1410" s="5">
        <v>0</v>
      </c>
      <c r="H1410" s="10" t="s">
        <v>51</v>
      </c>
      <c r="I1410" s="10" t="s">
        <v>52</v>
      </c>
      <c r="J1410" s="10" t="s">
        <v>33</v>
      </c>
      <c r="K1410" s="10" t="s">
        <v>23</v>
      </c>
      <c r="L1410" s="10" t="s">
        <v>1842</v>
      </c>
    </row>
    <row r="1411" spans="1:12" x14ac:dyDescent="0.35">
      <c r="A1411" s="9">
        <v>1410</v>
      </c>
      <c r="B1411" s="19">
        <v>45987.208807870367</v>
      </c>
      <c r="C1411" s="20">
        <v>45987</v>
      </c>
      <c r="D1411" s="8" t="s">
        <v>394</v>
      </c>
      <c r="E1411" s="3">
        <v>0</v>
      </c>
      <c r="F1411" s="13">
        <v>500</v>
      </c>
      <c r="G1411" s="3">
        <v>500</v>
      </c>
      <c r="H1411" s="8" t="s">
        <v>51</v>
      </c>
      <c r="I1411" s="8" t="s">
        <v>71</v>
      </c>
      <c r="J1411" s="8" t="s">
        <v>32</v>
      </c>
      <c r="K1411" s="8" t="s">
        <v>23</v>
      </c>
      <c r="L1411" s="8" t="s">
        <v>1843</v>
      </c>
    </row>
    <row r="1412" spans="1:12" x14ac:dyDescent="0.35">
      <c r="A1412" s="11">
        <v>1411</v>
      </c>
      <c r="B1412" s="17">
        <v>45987.431805555563</v>
      </c>
      <c r="C1412" s="18">
        <v>45987</v>
      </c>
      <c r="D1412" s="10" t="s">
        <v>1637</v>
      </c>
      <c r="E1412" s="14">
        <v>2500</v>
      </c>
      <c r="F1412" s="5">
        <v>0</v>
      </c>
      <c r="G1412" s="5">
        <v>0</v>
      </c>
      <c r="H1412" s="10" t="s">
        <v>51</v>
      </c>
      <c r="I1412" s="10" t="s">
        <v>52</v>
      </c>
      <c r="J1412" s="10" t="s">
        <v>30</v>
      </c>
      <c r="K1412" s="10" t="s">
        <v>23</v>
      </c>
      <c r="L1412" s="10" t="s">
        <v>1844</v>
      </c>
    </row>
    <row r="1413" spans="1:12" x14ac:dyDescent="0.35">
      <c r="A1413" s="9">
        <v>1412</v>
      </c>
      <c r="B1413" s="19">
        <v>45987.431921296287</v>
      </c>
      <c r="C1413" s="20">
        <v>45987</v>
      </c>
      <c r="D1413" s="8" t="s">
        <v>394</v>
      </c>
      <c r="E1413" s="3">
        <v>0</v>
      </c>
      <c r="F1413" s="13">
        <v>2500</v>
      </c>
      <c r="G1413" s="3">
        <v>2500</v>
      </c>
      <c r="H1413" s="8" t="s">
        <v>51</v>
      </c>
      <c r="I1413" s="8" t="s">
        <v>71</v>
      </c>
      <c r="J1413" s="8" t="s">
        <v>32</v>
      </c>
      <c r="K1413" s="8" t="s">
        <v>23</v>
      </c>
      <c r="L1413" s="8" t="s">
        <v>1845</v>
      </c>
    </row>
    <row r="1414" spans="1:12" x14ac:dyDescent="0.35">
      <c r="A1414" s="11">
        <v>1413</v>
      </c>
      <c r="B1414" s="17">
        <v>45987.54583333333</v>
      </c>
      <c r="C1414" s="18">
        <v>45987</v>
      </c>
      <c r="D1414" s="10" t="s">
        <v>1846</v>
      </c>
      <c r="E1414" s="14">
        <v>500</v>
      </c>
      <c r="F1414" s="5">
        <v>0</v>
      </c>
      <c r="G1414" s="5">
        <v>0</v>
      </c>
      <c r="H1414" s="10" t="s">
        <v>51</v>
      </c>
      <c r="I1414" s="10" t="s">
        <v>52</v>
      </c>
      <c r="J1414" s="10" t="s">
        <v>30</v>
      </c>
      <c r="K1414" s="10" t="s">
        <v>23</v>
      </c>
      <c r="L1414" s="10" t="s">
        <v>1847</v>
      </c>
    </row>
    <row r="1415" spans="1:12" x14ac:dyDescent="0.35">
      <c r="A1415" s="9">
        <v>1414</v>
      </c>
      <c r="B1415" s="19">
        <v>45987.545868055553</v>
      </c>
      <c r="C1415" s="20">
        <v>45987</v>
      </c>
      <c r="D1415" s="8" t="s">
        <v>394</v>
      </c>
      <c r="E1415" s="3">
        <v>0</v>
      </c>
      <c r="F1415" s="13">
        <v>500</v>
      </c>
      <c r="G1415" s="3">
        <v>500</v>
      </c>
      <c r="H1415" s="8" t="s">
        <v>51</v>
      </c>
      <c r="I1415" s="8" t="s">
        <v>71</v>
      </c>
      <c r="J1415" s="8" t="s">
        <v>32</v>
      </c>
      <c r="K1415" s="8" t="s">
        <v>23</v>
      </c>
      <c r="L1415" s="8" t="s">
        <v>1848</v>
      </c>
    </row>
    <row r="1416" spans="1:12" x14ac:dyDescent="0.35">
      <c r="A1416" s="11">
        <v>1415</v>
      </c>
      <c r="B1416" s="17">
        <v>45987.594872685193</v>
      </c>
      <c r="C1416" s="18">
        <v>45987</v>
      </c>
      <c r="D1416" s="10" t="s">
        <v>1849</v>
      </c>
      <c r="E1416" s="14">
        <v>2000</v>
      </c>
      <c r="F1416" s="5">
        <v>0</v>
      </c>
      <c r="G1416" s="5">
        <v>0</v>
      </c>
      <c r="H1416" s="10" t="s">
        <v>51</v>
      </c>
      <c r="I1416" s="10" t="s">
        <v>52</v>
      </c>
      <c r="J1416" s="10" t="s">
        <v>30</v>
      </c>
      <c r="K1416" s="10" t="s">
        <v>23</v>
      </c>
      <c r="L1416" s="10" t="s">
        <v>1850</v>
      </c>
    </row>
    <row r="1417" spans="1:12" x14ac:dyDescent="0.35">
      <c r="A1417" s="9">
        <v>1416</v>
      </c>
      <c r="B1417" s="19">
        <v>45987.594907407409</v>
      </c>
      <c r="C1417" s="20">
        <v>45987</v>
      </c>
      <c r="D1417" s="8" t="s">
        <v>394</v>
      </c>
      <c r="E1417" s="3">
        <v>0</v>
      </c>
      <c r="F1417" s="13">
        <v>2000</v>
      </c>
      <c r="G1417" s="3">
        <v>2000</v>
      </c>
      <c r="H1417" s="8" t="s">
        <v>51</v>
      </c>
      <c r="I1417" s="8" t="s">
        <v>71</v>
      </c>
      <c r="J1417" s="8" t="s">
        <v>32</v>
      </c>
      <c r="K1417" s="8" t="s">
        <v>23</v>
      </c>
      <c r="L1417" s="8" t="s">
        <v>1851</v>
      </c>
    </row>
    <row r="1418" spans="1:12" x14ac:dyDescent="0.35">
      <c r="A1418" s="11">
        <v>1417</v>
      </c>
      <c r="B1418" s="17">
        <v>45987.654374999998</v>
      </c>
      <c r="C1418" s="18">
        <v>45987</v>
      </c>
      <c r="D1418" s="10" t="s">
        <v>1852</v>
      </c>
      <c r="E1418" s="14">
        <v>1600</v>
      </c>
      <c r="F1418" s="5">
        <v>0</v>
      </c>
      <c r="G1418" s="5">
        <v>0</v>
      </c>
      <c r="H1418" s="10" t="s">
        <v>51</v>
      </c>
      <c r="I1418" s="10" t="s">
        <v>52</v>
      </c>
      <c r="J1418" s="10" t="s">
        <v>30</v>
      </c>
      <c r="K1418" s="10" t="s">
        <v>23</v>
      </c>
      <c r="L1418" s="10" t="s">
        <v>1853</v>
      </c>
    </row>
    <row r="1419" spans="1:12" x14ac:dyDescent="0.35">
      <c r="A1419" s="9">
        <v>1418</v>
      </c>
      <c r="B1419" s="19">
        <v>45987.654432870368</v>
      </c>
      <c r="C1419" s="20">
        <v>45987</v>
      </c>
      <c r="D1419" s="8" t="s">
        <v>394</v>
      </c>
      <c r="E1419" s="3">
        <v>0</v>
      </c>
      <c r="F1419" s="13">
        <v>1600</v>
      </c>
      <c r="G1419" s="3">
        <v>1600</v>
      </c>
      <c r="H1419" s="8" t="s">
        <v>51</v>
      </c>
      <c r="I1419" s="8" t="s">
        <v>71</v>
      </c>
      <c r="J1419" s="8" t="s">
        <v>32</v>
      </c>
      <c r="K1419" s="8" t="s">
        <v>23</v>
      </c>
      <c r="L1419" s="8" t="s">
        <v>1854</v>
      </c>
    </row>
    <row r="1420" spans="1:12" x14ac:dyDescent="0.35">
      <c r="A1420" s="11">
        <v>1419</v>
      </c>
      <c r="B1420" s="17">
        <v>45987.654965277783</v>
      </c>
      <c r="C1420" s="18">
        <v>45987</v>
      </c>
      <c r="D1420" s="10" t="s">
        <v>1852</v>
      </c>
      <c r="E1420" s="14">
        <v>300</v>
      </c>
      <c r="F1420" s="5">
        <v>0</v>
      </c>
      <c r="G1420" s="5">
        <v>0</v>
      </c>
      <c r="H1420" s="10" t="s">
        <v>51</v>
      </c>
      <c r="I1420" s="10" t="s">
        <v>52</v>
      </c>
      <c r="J1420" s="10" t="s">
        <v>30</v>
      </c>
      <c r="K1420" s="10" t="s">
        <v>23</v>
      </c>
      <c r="L1420" s="10" t="s">
        <v>1855</v>
      </c>
    </row>
    <row r="1421" spans="1:12" x14ac:dyDescent="0.35">
      <c r="A1421" s="9">
        <v>1420</v>
      </c>
      <c r="B1421" s="19">
        <v>45987.655057870368</v>
      </c>
      <c r="C1421" s="20">
        <v>45987</v>
      </c>
      <c r="D1421" s="8" t="s">
        <v>394</v>
      </c>
      <c r="E1421" s="3">
        <v>0</v>
      </c>
      <c r="F1421" s="13">
        <v>300</v>
      </c>
      <c r="G1421" s="3">
        <v>300</v>
      </c>
      <c r="H1421" s="8" t="s">
        <v>51</v>
      </c>
      <c r="I1421" s="8" t="s">
        <v>71</v>
      </c>
      <c r="J1421" s="8" t="s">
        <v>32</v>
      </c>
      <c r="K1421" s="8" t="s">
        <v>23</v>
      </c>
      <c r="L1421" s="8" t="s">
        <v>1856</v>
      </c>
    </row>
    <row r="1422" spans="1:12" x14ac:dyDescent="0.35">
      <c r="A1422" s="11">
        <v>1421</v>
      </c>
      <c r="B1422" s="17">
        <v>45988.208819444437</v>
      </c>
      <c r="C1422" s="18">
        <v>45988</v>
      </c>
      <c r="D1422" s="10" t="s">
        <v>394</v>
      </c>
      <c r="E1422" s="5">
        <v>0</v>
      </c>
      <c r="F1422" s="15">
        <v>500</v>
      </c>
      <c r="G1422" s="5">
        <v>500</v>
      </c>
      <c r="H1422" s="10" t="s">
        <v>51</v>
      </c>
      <c r="I1422" s="10" t="s">
        <v>71</v>
      </c>
      <c r="J1422" s="10" t="s">
        <v>32</v>
      </c>
      <c r="K1422" s="10" t="s">
        <v>23</v>
      </c>
      <c r="L1422" s="10" t="s">
        <v>1857</v>
      </c>
    </row>
    <row r="1423" spans="1:12" x14ac:dyDescent="0.35">
      <c r="A1423" s="9">
        <v>1422</v>
      </c>
      <c r="B1423" s="19">
        <v>45988.208819444437</v>
      </c>
      <c r="C1423" s="20">
        <v>45988</v>
      </c>
      <c r="D1423" s="8" t="s">
        <v>342</v>
      </c>
      <c r="E1423" s="12">
        <v>500</v>
      </c>
      <c r="F1423" s="3">
        <v>0</v>
      </c>
      <c r="G1423" s="3">
        <v>0</v>
      </c>
      <c r="H1423" s="8" t="s">
        <v>51</v>
      </c>
      <c r="I1423" s="8" t="s">
        <v>52</v>
      </c>
      <c r="J1423" s="8" t="s">
        <v>33</v>
      </c>
      <c r="K1423" s="8" t="s">
        <v>23</v>
      </c>
      <c r="L1423" s="8" t="s">
        <v>1858</v>
      </c>
    </row>
    <row r="1424" spans="1:12" x14ac:dyDescent="0.35">
      <c r="A1424" s="11">
        <v>1423</v>
      </c>
      <c r="B1424" s="17">
        <v>45988.512638888889</v>
      </c>
      <c r="C1424" s="18">
        <v>45988</v>
      </c>
      <c r="D1424" s="10" t="s">
        <v>182</v>
      </c>
      <c r="E1424" s="14">
        <v>2500</v>
      </c>
      <c r="F1424" s="5">
        <v>0</v>
      </c>
      <c r="G1424" s="5">
        <v>0</v>
      </c>
      <c r="H1424" s="10" t="s">
        <v>51</v>
      </c>
      <c r="I1424" s="10" t="s">
        <v>52</v>
      </c>
      <c r="J1424" s="10" t="s">
        <v>30</v>
      </c>
      <c r="K1424" s="10" t="s">
        <v>23</v>
      </c>
      <c r="L1424" s="10" t="s">
        <v>1859</v>
      </c>
    </row>
    <row r="1425" spans="1:12" x14ac:dyDescent="0.35">
      <c r="A1425" s="9">
        <v>1424</v>
      </c>
      <c r="B1425" s="19">
        <v>45988.512696759259</v>
      </c>
      <c r="C1425" s="20">
        <v>45988</v>
      </c>
      <c r="D1425" s="8" t="s">
        <v>394</v>
      </c>
      <c r="E1425" s="3">
        <v>0</v>
      </c>
      <c r="F1425" s="13">
        <v>2500</v>
      </c>
      <c r="G1425" s="3">
        <v>2500</v>
      </c>
      <c r="H1425" s="8" t="s">
        <v>51</v>
      </c>
      <c r="I1425" s="8" t="s">
        <v>71</v>
      </c>
      <c r="J1425" s="8" t="s">
        <v>32</v>
      </c>
      <c r="K1425" s="8" t="s">
        <v>23</v>
      </c>
      <c r="L1425" s="8" t="s">
        <v>1860</v>
      </c>
    </row>
    <row r="1426" spans="1:12" x14ac:dyDescent="0.35">
      <c r="A1426" s="11">
        <v>1425</v>
      </c>
      <c r="B1426" s="17">
        <v>45988.641365740739</v>
      </c>
      <c r="C1426" s="18">
        <v>45988</v>
      </c>
      <c r="D1426" s="10" t="s">
        <v>1861</v>
      </c>
      <c r="E1426" s="5">
        <v>0</v>
      </c>
      <c r="F1426" s="15">
        <v>10000</v>
      </c>
      <c r="G1426" s="5">
        <v>10000</v>
      </c>
      <c r="H1426" s="10" t="s">
        <v>51</v>
      </c>
      <c r="I1426" s="10" t="s">
        <v>71</v>
      </c>
      <c r="J1426" s="10" t="s">
        <v>31</v>
      </c>
      <c r="K1426" s="10" t="s">
        <v>23</v>
      </c>
      <c r="L1426" s="10" t="s">
        <v>1862</v>
      </c>
    </row>
    <row r="1427" spans="1:12" x14ac:dyDescent="0.35">
      <c r="A1427" s="9">
        <v>1426</v>
      </c>
      <c r="B1427" s="19">
        <v>45988.641377314823</v>
      </c>
      <c r="C1427" s="20">
        <v>45988</v>
      </c>
      <c r="D1427" s="8" t="s">
        <v>79</v>
      </c>
      <c r="E1427" s="12">
        <v>50</v>
      </c>
      <c r="F1427" s="3">
        <v>0</v>
      </c>
      <c r="G1427" s="3">
        <v>9950</v>
      </c>
      <c r="H1427" s="8" t="s">
        <v>51</v>
      </c>
      <c r="I1427" s="8" t="s">
        <v>52</v>
      </c>
      <c r="J1427" s="8" t="s">
        <v>36</v>
      </c>
      <c r="K1427" s="8" t="s">
        <v>23</v>
      </c>
      <c r="L1427" s="8" t="s">
        <v>1863</v>
      </c>
    </row>
    <row r="1428" spans="1:12" x14ac:dyDescent="0.35">
      <c r="A1428" s="11">
        <v>1427</v>
      </c>
      <c r="B1428" s="17">
        <v>45988.925995370373</v>
      </c>
      <c r="C1428" s="18">
        <v>45988</v>
      </c>
      <c r="D1428" s="10" t="s">
        <v>426</v>
      </c>
      <c r="E1428" s="14">
        <v>9950</v>
      </c>
      <c r="F1428" s="5">
        <v>0</v>
      </c>
      <c r="G1428" s="5">
        <v>0</v>
      </c>
      <c r="H1428" s="10" t="s">
        <v>51</v>
      </c>
      <c r="I1428" s="10" t="s">
        <v>52</v>
      </c>
      <c r="J1428" s="10" t="s">
        <v>32</v>
      </c>
      <c r="K1428" s="10" t="s">
        <v>23</v>
      </c>
      <c r="L1428" s="10" t="s">
        <v>1864</v>
      </c>
    </row>
    <row r="1429" spans="1:12" x14ac:dyDescent="0.35">
      <c r="A1429" s="9">
        <v>1428</v>
      </c>
      <c r="B1429" s="19">
        <v>45989.208796296298</v>
      </c>
      <c r="C1429" s="20">
        <v>45989</v>
      </c>
      <c r="D1429" s="8" t="s">
        <v>394</v>
      </c>
      <c r="E1429" s="3">
        <v>0</v>
      </c>
      <c r="F1429" s="13">
        <v>500</v>
      </c>
      <c r="G1429" s="3">
        <v>500</v>
      </c>
      <c r="H1429" s="8" t="s">
        <v>51</v>
      </c>
      <c r="I1429" s="8" t="s">
        <v>71</v>
      </c>
      <c r="J1429" s="8" t="s">
        <v>32</v>
      </c>
      <c r="K1429" s="8" t="s">
        <v>23</v>
      </c>
      <c r="L1429" s="8" t="s">
        <v>1865</v>
      </c>
    </row>
    <row r="1430" spans="1:12" x14ac:dyDescent="0.35">
      <c r="A1430" s="11">
        <v>1429</v>
      </c>
      <c r="B1430" s="17">
        <v>45989.208796296298</v>
      </c>
      <c r="C1430" s="18">
        <v>45989</v>
      </c>
      <c r="D1430" s="10" t="s">
        <v>342</v>
      </c>
      <c r="E1430" s="14">
        <v>500</v>
      </c>
      <c r="F1430" s="5">
        <v>0</v>
      </c>
      <c r="G1430" s="5">
        <v>0</v>
      </c>
      <c r="H1430" s="10" t="s">
        <v>51</v>
      </c>
      <c r="I1430" s="10" t="s">
        <v>52</v>
      </c>
      <c r="J1430" s="10" t="s">
        <v>33</v>
      </c>
      <c r="K1430" s="10" t="s">
        <v>23</v>
      </c>
      <c r="L1430" s="10" t="s">
        <v>1866</v>
      </c>
    </row>
    <row r="1431" spans="1:12" x14ac:dyDescent="0.35">
      <c r="A1431" s="9">
        <v>1430</v>
      </c>
      <c r="B1431" s="19">
        <v>45989.377268518518</v>
      </c>
      <c r="C1431" s="20">
        <v>45989</v>
      </c>
      <c r="D1431" s="8" t="s">
        <v>1686</v>
      </c>
      <c r="E1431" s="12">
        <v>750</v>
      </c>
      <c r="F1431" s="3">
        <v>0</v>
      </c>
      <c r="G1431" s="3">
        <v>0</v>
      </c>
      <c r="H1431" s="8" t="s">
        <v>51</v>
      </c>
      <c r="I1431" s="8" t="s">
        <v>52</v>
      </c>
      <c r="J1431" s="8" t="s">
        <v>36</v>
      </c>
      <c r="K1431" s="8" t="s">
        <v>23</v>
      </c>
      <c r="L1431" s="8" t="s">
        <v>1867</v>
      </c>
    </row>
    <row r="1432" spans="1:12" x14ac:dyDescent="0.35">
      <c r="A1432" s="11">
        <v>1431</v>
      </c>
      <c r="B1432" s="17">
        <v>45989.37740740741</v>
      </c>
      <c r="C1432" s="18">
        <v>45989</v>
      </c>
      <c r="D1432" s="10" t="s">
        <v>394</v>
      </c>
      <c r="E1432" s="5">
        <v>0</v>
      </c>
      <c r="F1432" s="15">
        <v>750</v>
      </c>
      <c r="G1432" s="5">
        <v>750</v>
      </c>
      <c r="H1432" s="10" t="s">
        <v>51</v>
      </c>
      <c r="I1432" s="10" t="s">
        <v>71</v>
      </c>
      <c r="J1432" s="10" t="s">
        <v>32</v>
      </c>
      <c r="K1432" s="10" t="s">
        <v>23</v>
      </c>
      <c r="L1432" s="10" t="s">
        <v>1868</v>
      </c>
    </row>
    <row r="1433" spans="1:12" x14ac:dyDescent="0.35">
      <c r="A1433" s="9">
        <v>1432</v>
      </c>
      <c r="B1433" s="19">
        <v>45989.745451388888</v>
      </c>
      <c r="C1433" s="20">
        <v>45989</v>
      </c>
      <c r="D1433" s="8" t="s">
        <v>1869</v>
      </c>
      <c r="E1433" s="12">
        <v>3000</v>
      </c>
      <c r="F1433" s="3">
        <v>0</v>
      </c>
      <c r="G1433" s="3">
        <v>0</v>
      </c>
      <c r="H1433" s="8" t="s">
        <v>51</v>
      </c>
      <c r="I1433" s="8" t="s">
        <v>52</v>
      </c>
      <c r="J1433" s="8" t="s">
        <v>30</v>
      </c>
      <c r="K1433" s="8" t="s">
        <v>23</v>
      </c>
      <c r="L1433" s="8" t="s">
        <v>1870</v>
      </c>
    </row>
    <row r="1434" spans="1:12" x14ac:dyDescent="0.35">
      <c r="A1434" s="11">
        <v>1433</v>
      </c>
      <c r="B1434" s="17">
        <v>45989.745497685188</v>
      </c>
      <c r="C1434" s="18">
        <v>45989</v>
      </c>
      <c r="D1434" s="10" t="s">
        <v>394</v>
      </c>
      <c r="E1434" s="5">
        <v>0</v>
      </c>
      <c r="F1434" s="15">
        <v>3000</v>
      </c>
      <c r="G1434" s="5">
        <v>3000</v>
      </c>
      <c r="H1434" s="10" t="s">
        <v>51</v>
      </c>
      <c r="I1434" s="10" t="s">
        <v>71</v>
      </c>
      <c r="J1434" s="10" t="s">
        <v>32</v>
      </c>
      <c r="K1434" s="10" t="s">
        <v>23</v>
      </c>
      <c r="L1434" s="10" t="s">
        <v>1871</v>
      </c>
    </row>
    <row r="1435" spans="1:12" x14ac:dyDescent="0.35">
      <c r="A1435" s="9">
        <v>1434</v>
      </c>
      <c r="B1435" s="19">
        <v>45989.747835648152</v>
      </c>
      <c r="C1435" s="20">
        <v>45989</v>
      </c>
      <c r="D1435" s="8" t="s">
        <v>1872</v>
      </c>
      <c r="E1435" s="12">
        <v>2000</v>
      </c>
      <c r="F1435" s="3">
        <v>0</v>
      </c>
      <c r="G1435" s="3">
        <v>0</v>
      </c>
      <c r="H1435" s="8" t="s">
        <v>51</v>
      </c>
      <c r="I1435" s="8" t="s">
        <v>52</v>
      </c>
      <c r="J1435" s="8" t="s">
        <v>30</v>
      </c>
      <c r="K1435" s="8" t="s">
        <v>23</v>
      </c>
      <c r="L1435" s="8" t="s">
        <v>1873</v>
      </c>
    </row>
    <row r="1436" spans="1:12" x14ac:dyDescent="0.35">
      <c r="A1436" s="11">
        <v>1435</v>
      </c>
      <c r="B1436" s="17">
        <v>45989.747881944437</v>
      </c>
      <c r="C1436" s="18">
        <v>45989</v>
      </c>
      <c r="D1436" s="10" t="s">
        <v>394</v>
      </c>
      <c r="E1436" s="5">
        <v>0</v>
      </c>
      <c r="F1436" s="15">
        <v>2000</v>
      </c>
      <c r="G1436" s="5">
        <v>2000</v>
      </c>
      <c r="H1436" s="10" t="s">
        <v>51</v>
      </c>
      <c r="I1436" s="10" t="s">
        <v>71</v>
      </c>
      <c r="J1436" s="10" t="s">
        <v>32</v>
      </c>
      <c r="K1436" s="10" t="s">
        <v>23</v>
      </c>
      <c r="L1436" s="10" t="s">
        <v>1874</v>
      </c>
    </row>
    <row r="1437" spans="1:12" x14ac:dyDescent="0.35">
      <c r="A1437" s="9">
        <v>1436</v>
      </c>
      <c r="B1437" s="19">
        <v>45989.768680555557</v>
      </c>
      <c r="C1437" s="20">
        <v>45989</v>
      </c>
      <c r="D1437" s="8" t="s">
        <v>1875</v>
      </c>
      <c r="E1437" s="12">
        <v>1800</v>
      </c>
      <c r="F1437" s="3">
        <v>0</v>
      </c>
      <c r="G1437" s="3">
        <v>0</v>
      </c>
      <c r="H1437" s="8" t="s">
        <v>51</v>
      </c>
      <c r="I1437" s="8" t="s">
        <v>52</v>
      </c>
      <c r="J1437" s="8" t="s">
        <v>30</v>
      </c>
      <c r="K1437" s="8" t="s">
        <v>23</v>
      </c>
      <c r="L1437" s="8" t="s">
        <v>1876</v>
      </c>
    </row>
    <row r="1438" spans="1:12" x14ac:dyDescent="0.35">
      <c r="A1438" s="11">
        <v>1437</v>
      </c>
      <c r="B1438" s="17">
        <v>45989.76871527778</v>
      </c>
      <c r="C1438" s="18">
        <v>45989</v>
      </c>
      <c r="D1438" s="10" t="s">
        <v>394</v>
      </c>
      <c r="E1438" s="5">
        <v>0</v>
      </c>
      <c r="F1438" s="15">
        <v>1800</v>
      </c>
      <c r="G1438" s="5">
        <v>1800</v>
      </c>
      <c r="H1438" s="10" t="s">
        <v>51</v>
      </c>
      <c r="I1438" s="10" t="s">
        <v>71</v>
      </c>
      <c r="J1438" s="10" t="s">
        <v>32</v>
      </c>
      <c r="K1438" s="10" t="s">
        <v>23</v>
      </c>
      <c r="L1438" s="10" t="s">
        <v>1877</v>
      </c>
    </row>
    <row r="1439" spans="1:12" x14ac:dyDescent="0.35">
      <c r="A1439" s="9">
        <v>1438</v>
      </c>
      <c r="B1439" s="19">
        <v>45990.208784722221</v>
      </c>
      <c r="C1439" s="20">
        <v>45990</v>
      </c>
      <c r="D1439" s="8" t="s">
        <v>394</v>
      </c>
      <c r="E1439" s="3">
        <v>0</v>
      </c>
      <c r="F1439" s="13">
        <v>500</v>
      </c>
      <c r="G1439" s="3">
        <v>500</v>
      </c>
      <c r="H1439" s="8" t="s">
        <v>51</v>
      </c>
      <c r="I1439" s="8" t="s">
        <v>71</v>
      </c>
      <c r="J1439" s="8" t="s">
        <v>32</v>
      </c>
      <c r="K1439" s="8" t="s">
        <v>23</v>
      </c>
      <c r="L1439" s="8" t="s">
        <v>1878</v>
      </c>
    </row>
    <row r="1440" spans="1:12" x14ac:dyDescent="0.35">
      <c r="A1440" s="11">
        <v>1439</v>
      </c>
      <c r="B1440" s="17">
        <v>45990.208784722221</v>
      </c>
      <c r="C1440" s="18">
        <v>45990</v>
      </c>
      <c r="D1440" s="10" t="s">
        <v>342</v>
      </c>
      <c r="E1440" s="14">
        <v>500</v>
      </c>
      <c r="F1440" s="5">
        <v>0</v>
      </c>
      <c r="G1440" s="5">
        <v>0</v>
      </c>
      <c r="H1440" s="10" t="s">
        <v>51</v>
      </c>
      <c r="I1440" s="10" t="s">
        <v>52</v>
      </c>
      <c r="J1440" s="10" t="s">
        <v>33</v>
      </c>
      <c r="K1440" s="10" t="s">
        <v>23</v>
      </c>
      <c r="L1440" s="10" t="s">
        <v>1879</v>
      </c>
    </row>
    <row r="1441" spans="1:12" x14ac:dyDescent="0.35">
      <c r="A1441" s="9">
        <v>1440</v>
      </c>
      <c r="B1441" s="19">
        <v>45990.423668981479</v>
      </c>
      <c r="C1441" s="20">
        <v>45990</v>
      </c>
      <c r="D1441" s="8" t="s">
        <v>1880</v>
      </c>
      <c r="E1441" s="12">
        <v>3900</v>
      </c>
      <c r="F1441" s="3">
        <v>0</v>
      </c>
      <c r="G1441" s="3">
        <v>0</v>
      </c>
      <c r="H1441" s="8" t="s">
        <v>51</v>
      </c>
      <c r="I1441" s="8" t="s">
        <v>52</v>
      </c>
      <c r="J1441" s="8" t="s">
        <v>30</v>
      </c>
      <c r="K1441" s="8" t="s">
        <v>23</v>
      </c>
      <c r="L1441" s="8" t="s">
        <v>1881</v>
      </c>
    </row>
    <row r="1442" spans="1:12" x14ac:dyDescent="0.35">
      <c r="A1442" s="11">
        <v>1441</v>
      </c>
      <c r="B1442" s="17">
        <v>45990.423726851863</v>
      </c>
      <c r="C1442" s="18">
        <v>45990</v>
      </c>
      <c r="D1442" s="10" t="s">
        <v>394</v>
      </c>
      <c r="E1442" s="5">
        <v>0</v>
      </c>
      <c r="F1442" s="15">
        <v>3900</v>
      </c>
      <c r="G1442" s="5">
        <v>3900</v>
      </c>
      <c r="H1442" s="10" t="s">
        <v>51</v>
      </c>
      <c r="I1442" s="10" t="s">
        <v>71</v>
      </c>
      <c r="J1442" s="10" t="s">
        <v>32</v>
      </c>
      <c r="K1442" s="10" t="s">
        <v>23</v>
      </c>
      <c r="L1442" s="10" t="s">
        <v>1882</v>
      </c>
    </row>
    <row r="1443" spans="1:12" x14ac:dyDescent="0.35">
      <c r="A1443" s="9">
        <v>1442</v>
      </c>
      <c r="B1443" s="19">
        <v>45991.208773148152</v>
      </c>
      <c r="C1443" s="20">
        <v>45991</v>
      </c>
      <c r="D1443" s="8" t="s">
        <v>342</v>
      </c>
      <c r="E1443" s="12">
        <v>500</v>
      </c>
      <c r="F1443" s="3">
        <v>0</v>
      </c>
      <c r="G1443" s="3">
        <v>0</v>
      </c>
      <c r="H1443" s="8" t="s">
        <v>51</v>
      </c>
      <c r="I1443" s="8" t="s">
        <v>52</v>
      </c>
      <c r="J1443" s="8" t="s">
        <v>33</v>
      </c>
      <c r="K1443" s="8" t="s">
        <v>23</v>
      </c>
      <c r="L1443" s="8" t="s">
        <v>1883</v>
      </c>
    </row>
    <row r="1444" spans="1:12" x14ac:dyDescent="0.35">
      <c r="A1444" s="11">
        <v>1443</v>
      </c>
      <c r="B1444" s="17">
        <v>45991.208784722221</v>
      </c>
      <c r="C1444" s="18">
        <v>45991</v>
      </c>
      <c r="D1444" s="10" t="s">
        <v>394</v>
      </c>
      <c r="E1444" s="5">
        <v>0</v>
      </c>
      <c r="F1444" s="15">
        <v>500</v>
      </c>
      <c r="G1444" s="5">
        <v>500</v>
      </c>
      <c r="H1444" s="10" t="s">
        <v>51</v>
      </c>
      <c r="I1444" s="10" t="s">
        <v>71</v>
      </c>
      <c r="J1444" s="10" t="s">
        <v>32</v>
      </c>
      <c r="K1444" s="10" t="s">
        <v>23</v>
      </c>
      <c r="L1444" s="10" t="s">
        <v>1884</v>
      </c>
    </row>
    <row r="1445" spans="1:12" x14ac:dyDescent="0.35">
      <c r="A1445" s="9">
        <v>1444</v>
      </c>
      <c r="B1445" s="19">
        <v>45992.208738425928</v>
      </c>
      <c r="C1445" s="20">
        <v>45992</v>
      </c>
      <c r="D1445" s="8" t="s">
        <v>342</v>
      </c>
      <c r="E1445" s="12">
        <v>500</v>
      </c>
      <c r="F1445" s="3">
        <v>0</v>
      </c>
      <c r="G1445" s="3">
        <v>0</v>
      </c>
      <c r="H1445" s="8" t="s">
        <v>51</v>
      </c>
      <c r="I1445" s="8" t="s">
        <v>52</v>
      </c>
      <c r="J1445" s="8" t="s">
        <v>33</v>
      </c>
      <c r="K1445" s="8" t="s">
        <v>24</v>
      </c>
      <c r="L1445" s="8" t="s">
        <v>1885</v>
      </c>
    </row>
    <row r="1446" spans="1:12" x14ac:dyDescent="0.35">
      <c r="A1446" s="11">
        <v>1445</v>
      </c>
      <c r="B1446" s="17">
        <v>45992.208749999998</v>
      </c>
      <c r="C1446" s="18">
        <v>45992</v>
      </c>
      <c r="D1446" s="10" t="s">
        <v>394</v>
      </c>
      <c r="E1446" s="5">
        <v>0</v>
      </c>
      <c r="F1446" s="15">
        <v>500</v>
      </c>
      <c r="G1446" s="5">
        <v>500</v>
      </c>
      <c r="H1446" s="10" t="s">
        <v>51</v>
      </c>
      <c r="I1446" s="10" t="s">
        <v>71</v>
      </c>
      <c r="J1446" s="10" t="s">
        <v>32</v>
      </c>
      <c r="K1446" s="10" t="s">
        <v>24</v>
      </c>
      <c r="L1446" s="10" t="s">
        <v>1886</v>
      </c>
    </row>
    <row r="1447" spans="1:12" x14ac:dyDescent="0.35">
      <c r="A1447" s="9">
        <v>1446</v>
      </c>
      <c r="B1447" s="19">
        <v>45993.208749999998</v>
      </c>
      <c r="C1447" s="20">
        <v>45993</v>
      </c>
      <c r="D1447" s="8" t="s">
        <v>342</v>
      </c>
      <c r="E1447" s="12">
        <v>500</v>
      </c>
      <c r="F1447" s="3">
        <v>0</v>
      </c>
      <c r="G1447" s="3">
        <v>0</v>
      </c>
      <c r="H1447" s="8" t="s">
        <v>51</v>
      </c>
      <c r="I1447" s="8" t="s">
        <v>52</v>
      </c>
      <c r="J1447" s="8" t="s">
        <v>33</v>
      </c>
      <c r="K1447" s="8" t="s">
        <v>24</v>
      </c>
      <c r="L1447" s="8" t="s">
        <v>1887</v>
      </c>
    </row>
    <row r="1448" spans="1:12" x14ac:dyDescent="0.35">
      <c r="A1448" s="11">
        <v>1447</v>
      </c>
      <c r="B1448" s="17">
        <v>45993.208761574067</v>
      </c>
      <c r="C1448" s="18">
        <v>45993</v>
      </c>
      <c r="D1448" s="10" t="s">
        <v>394</v>
      </c>
      <c r="E1448" s="5">
        <v>0</v>
      </c>
      <c r="F1448" s="15">
        <v>500</v>
      </c>
      <c r="G1448" s="5">
        <v>500</v>
      </c>
      <c r="H1448" s="10" t="s">
        <v>51</v>
      </c>
      <c r="I1448" s="10" t="s">
        <v>71</v>
      </c>
      <c r="J1448" s="10" t="s">
        <v>32</v>
      </c>
      <c r="K1448" s="10" t="s">
        <v>24</v>
      </c>
      <c r="L1448" s="10" t="s">
        <v>1888</v>
      </c>
    </row>
    <row r="1449" spans="1:12" x14ac:dyDescent="0.35">
      <c r="A1449" s="9">
        <v>1448</v>
      </c>
      <c r="B1449" s="19">
        <v>45994.208726851852</v>
      </c>
      <c r="C1449" s="20">
        <v>45994</v>
      </c>
      <c r="D1449" s="8" t="s">
        <v>394</v>
      </c>
      <c r="E1449" s="3">
        <v>0</v>
      </c>
      <c r="F1449" s="13">
        <v>500</v>
      </c>
      <c r="G1449" s="3">
        <v>500</v>
      </c>
      <c r="H1449" s="8" t="s">
        <v>51</v>
      </c>
      <c r="I1449" s="8" t="s">
        <v>71</v>
      </c>
      <c r="J1449" s="8" t="s">
        <v>32</v>
      </c>
      <c r="K1449" s="8" t="s">
        <v>24</v>
      </c>
      <c r="L1449" s="8" t="s">
        <v>1889</v>
      </c>
    </row>
    <row r="1450" spans="1:12" x14ac:dyDescent="0.35">
      <c r="A1450" s="11">
        <v>1449</v>
      </c>
      <c r="B1450" s="17">
        <v>45994.208726851852</v>
      </c>
      <c r="C1450" s="18">
        <v>45994</v>
      </c>
      <c r="D1450" s="10" t="s">
        <v>342</v>
      </c>
      <c r="E1450" s="14">
        <v>500</v>
      </c>
      <c r="F1450" s="5">
        <v>0</v>
      </c>
      <c r="G1450" s="5">
        <v>0</v>
      </c>
      <c r="H1450" s="10" t="s">
        <v>51</v>
      </c>
      <c r="I1450" s="10" t="s">
        <v>52</v>
      </c>
      <c r="J1450" s="10" t="s">
        <v>33</v>
      </c>
      <c r="K1450" s="10" t="s">
        <v>24</v>
      </c>
      <c r="L1450" s="10" t="s">
        <v>1890</v>
      </c>
    </row>
    <row r="1451" spans="1:12" x14ac:dyDescent="0.35">
      <c r="A1451" s="9">
        <v>1450</v>
      </c>
      <c r="B1451" s="19">
        <v>45994.958425925928</v>
      </c>
      <c r="C1451" s="20">
        <v>45994</v>
      </c>
      <c r="D1451" s="8" t="s">
        <v>1891</v>
      </c>
      <c r="E1451" s="12">
        <v>1000</v>
      </c>
      <c r="F1451" s="3">
        <v>0</v>
      </c>
      <c r="G1451" s="3">
        <v>0</v>
      </c>
      <c r="H1451" s="8" t="s">
        <v>51</v>
      </c>
      <c r="I1451" s="8" t="s">
        <v>52</v>
      </c>
      <c r="J1451" s="8" t="s">
        <v>30</v>
      </c>
      <c r="K1451" s="8" t="s">
        <v>24</v>
      </c>
      <c r="L1451" s="8" t="s">
        <v>1892</v>
      </c>
    </row>
    <row r="1452" spans="1:12" x14ac:dyDescent="0.35">
      <c r="A1452" s="11">
        <v>1451</v>
      </c>
      <c r="B1452" s="17">
        <v>45994.958472222221</v>
      </c>
      <c r="C1452" s="18">
        <v>45994</v>
      </c>
      <c r="D1452" s="10" t="s">
        <v>394</v>
      </c>
      <c r="E1452" s="5">
        <v>0</v>
      </c>
      <c r="F1452" s="15">
        <v>1000</v>
      </c>
      <c r="G1452" s="5">
        <v>1000</v>
      </c>
      <c r="H1452" s="10" t="s">
        <v>51</v>
      </c>
      <c r="I1452" s="10" t="s">
        <v>71</v>
      </c>
      <c r="J1452" s="10" t="s">
        <v>32</v>
      </c>
      <c r="K1452" s="10" t="s">
        <v>24</v>
      </c>
      <c r="L1452" s="10" t="s">
        <v>1893</v>
      </c>
    </row>
    <row r="1453" spans="1:12" x14ac:dyDescent="0.35">
      <c r="A1453" s="9">
        <v>1452</v>
      </c>
      <c r="B1453" s="19">
        <v>45995.208726851852</v>
      </c>
      <c r="C1453" s="20">
        <v>45995</v>
      </c>
      <c r="D1453" s="8" t="s">
        <v>342</v>
      </c>
      <c r="E1453" s="12">
        <v>500</v>
      </c>
      <c r="F1453" s="3">
        <v>0</v>
      </c>
      <c r="G1453" s="3">
        <v>0</v>
      </c>
      <c r="H1453" s="8" t="s">
        <v>51</v>
      </c>
      <c r="I1453" s="8" t="s">
        <v>52</v>
      </c>
      <c r="J1453" s="8" t="s">
        <v>33</v>
      </c>
      <c r="K1453" s="8" t="s">
        <v>24</v>
      </c>
      <c r="L1453" s="8" t="s">
        <v>1894</v>
      </c>
    </row>
    <row r="1454" spans="1:12" x14ac:dyDescent="0.35">
      <c r="A1454" s="11">
        <v>1453</v>
      </c>
      <c r="B1454" s="17">
        <v>45995.208738425928</v>
      </c>
      <c r="C1454" s="18">
        <v>45995</v>
      </c>
      <c r="D1454" s="10" t="s">
        <v>394</v>
      </c>
      <c r="E1454" s="5">
        <v>0</v>
      </c>
      <c r="F1454" s="15">
        <v>500</v>
      </c>
      <c r="G1454" s="5">
        <v>500</v>
      </c>
      <c r="H1454" s="10" t="s">
        <v>51</v>
      </c>
      <c r="I1454" s="10" t="s">
        <v>71</v>
      </c>
      <c r="J1454" s="10" t="s">
        <v>32</v>
      </c>
      <c r="K1454" s="10" t="s">
        <v>24</v>
      </c>
      <c r="L1454" s="10" t="s">
        <v>1895</v>
      </c>
    </row>
    <row r="1455" spans="1:12" x14ac:dyDescent="0.35">
      <c r="A1455" s="9">
        <v>1454</v>
      </c>
      <c r="B1455" s="19">
        <v>45996.208715277768</v>
      </c>
      <c r="C1455" s="20">
        <v>45996</v>
      </c>
      <c r="D1455" s="8" t="s">
        <v>394</v>
      </c>
      <c r="E1455" s="3">
        <v>0</v>
      </c>
      <c r="F1455" s="13">
        <v>500</v>
      </c>
      <c r="G1455" s="3">
        <v>500</v>
      </c>
      <c r="H1455" s="8" t="s">
        <v>51</v>
      </c>
      <c r="I1455" s="8" t="s">
        <v>71</v>
      </c>
      <c r="J1455" s="8" t="s">
        <v>32</v>
      </c>
      <c r="K1455" s="8" t="s">
        <v>24</v>
      </c>
      <c r="L1455" s="8" t="s">
        <v>1896</v>
      </c>
    </row>
    <row r="1456" spans="1:12" x14ac:dyDescent="0.35">
      <c r="A1456" s="11">
        <v>1455</v>
      </c>
      <c r="B1456" s="17">
        <v>45996.208715277768</v>
      </c>
      <c r="C1456" s="18">
        <v>45996</v>
      </c>
      <c r="D1456" s="10" t="s">
        <v>342</v>
      </c>
      <c r="E1456" s="14">
        <v>500</v>
      </c>
      <c r="F1456" s="5">
        <v>0</v>
      </c>
      <c r="G1456" s="5">
        <v>0</v>
      </c>
      <c r="H1456" s="10" t="s">
        <v>51</v>
      </c>
      <c r="I1456" s="10" t="s">
        <v>52</v>
      </c>
      <c r="J1456" s="10" t="s">
        <v>33</v>
      </c>
      <c r="K1456" s="10" t="s">
        <v>24</v>
      </c>
      <c r="L1456" s="10" t="s">
        <v>1897</v>
      </c>
    </row>
    <row r="1457" spans="1:12" x14ac:dyDescent="0.35">
      <c r="A1457" s="9">
        <v>1456</v>
      </c>
      <c r="B1457" s="19">
        <v>45997.208726851852</v>
      </c>
      <c r="C1457" s="20">
        <v>45997</v>
      </c>
      <c r="D1457" s="8" t="s">
        <v>394</v>
      </c>
      <c r="E1457" s="3">
        <v>0</v>
      </c>
      <c r="F1457" s="13">
        <v>500</v>
      </c>
      <c r="G1457" s="3">
        <v>500</v>
      </c>
      <c r="H1457" s="8" t="s">
        <v>51</v>
      </c>
      <c r="I1457" s="8" t="s">
        <v>71</v>
      </c>
      <c r="J1457" s="8" t="s">
        <v>32</v>
      </c>
      <c r="K1457" s="8" t="s">
        <v>24</v>
      </c>
      <c r="L1457" s="8" t="s">
        <v>1898</v>
      </c>
    </row>
    <row r="1458" spans="1:12" x14ac:dyDescent="0.35">
      <c r="A1458" s="11">
        <v>1457</v>
      </c>
      <c r="B1458" s="17">
        <v>45997.208726851852</v>
      </c>
      <c r="C1458" s="18">
        <v>45997</v>
      </c>
      <c r="D1458" s="10" t="s">
        <v>342</v>
      </c>
      <c r="E1458" s="14">
        <v>500</v>
      </c>
      <c r="F1458" s="5">
        <v>0</v>
      </c>
      <c r="G1458" s="5">
        <v>0</v>
      </c>
      <c r="H1458" s="10" t="s">
        <v>51</v>
      </c>
      <c r="I1458" s="10" t="s">
        <v>52</v>
      </c>
      <c r="J1458" s="10" t="s">
        <v>33</v>
      </c>
      <c r="K1458" s="10" t="s">
        <v>24</v>
      </c>
      <c r="L1458" s="10" t="s">
        <v>1899</v>
      </c>
    </row>
    <row r="1459" spans="1:12" x14ac:dyDescent="0.35">
      <c r="A1459" s="9">
        <v>1458</v>
      </c>
      <c r="B1459" s="19">
        <v>46008.859351851846</v>
      </c>
      <c r="C1459" s="20">
        <v>46008</v>
      </c>
      <c r="D1459" s="8" t="s">
        <v>1900</v>
      </c>
      <c r="E1459" s="3">
        <v>0</v>
      </c>
      <c r="F1459" s="13">
        <v>20000</v>
      </c>
      <c r="G1459" s="3">
        <v>20000</v>
      </c>
      <c r="H1459" s="8" t="s">
        <v>51</v>
      </c>
      <c r="I1459" s="8" t="s">
        <v>71</v>
      </c>
      <c r="J1459" s="8" t="s">
        <v>31</v>
      </c>
      <c r="K1459" s="8" t="s">
        <v>24</v>
      </c>
      <c r="L1459" s="8" t="s">
        <v>1901</v>
      </c>
    </row>
    <row r="1460" spans="1:12" x14ac:dyDescent="0.35">
      <c r="A1460" s="11">
        <v>1459</v>
      </c>
      <c r="B1460" s="17">
        <v>46008.859432870369</v>
      </c>
      <c r="C1460" s="18">
        <v>46008</v>
      </c>
      <c r="D1460" s="10" t="s">
        <v>79</v>
      </c>
      <c r="E1460" s="14">
        <v>50</v>
      </c>
      <c r="F1460" s="5">
        <v>0</v>
      </c>
      <c r="G1460" s="5">
        <v>19950</v>
      </c>
      <c r="H1460" s="10" t="s">
        <v>51</v>
      </c>
      <c r="I1460" s="10" t="s">
        <v>52</v>
      </c>
      <c r="J1460" s="10" t="s">
        <v>36</v>
      </c>
      <c r="K1460" s="10" t="s">
        <v>24</v>
      </c>
      <c r="L1460" s="10" t="s">
        <v>1902</v>
      </c>
    </row>
    <row r="1461" spans="1:12" x14ac:dyDescent="0.35">
      <c r="A1461" s="9">
        <v>1460</v>
      </c>
      <c r="B1461" s="19">
        <v>46008.868078703701</v>
      </c>
      <c r="C1461" s="20">
        <v>46008</v>
      </c>
      <c r="D1461" s="8" t="s">
        <v>1903</v>
      </c>
      <c r="E1461" s="12">
        <v>15300</v>
      </c>
      <c r="F1461" s="3">
        <v>0</v>
      </c>
      <c r="G1461" s="3">
        <v>4650</v>
      </c>
      <c r="H1461" s="8" t="s">
        <v>33</v>
      </c>
      <c r="I1461" s="8" t="s">
        <v>52</v>
      </c>
      <c r="J1461" s="8" t="s">
        <v>34</v>
      </c>
      <c r="K1461" s="8" t="s">
        <v>24</v>
      </c>
      <c r="L1461" s="8" t="s">
        <v>1904</v>
      </c>
    </row>
    <row r="1462" spans="1:12" x14ac:dyDescent="0.35">
      <c r="A1462" s="11">
        <v>1461</v>
      </c>
      <c r="B1462" s="17">
        <v>46008.869652777779</v>
      </c>
      <c r="C1462" s="18">
        <v>46008</v>
      </c>
      <c r="D1462" s="10" t="s">
        <v>1905</v>
      </c>
      <c r="E1462" s="5">
        <v>0</v>
      </c>
      <c r="F1462" s="15">
        <v>300000</v>
      </c>
      <c r="G1462" s="5">
        <v>304650</v>
      </c>
      <c r="H1462" s="10" t="s">
        <v>51</v>
      </c>
      <c r="I1462" s="10" t="s">
        <v>71</v>
      </c>
      <c r="J1462" s="10" t="s">
        <v>31</v>
      </c>
      <c r="K1462" s="10" t="s">
        <v>24</v>
      </c>
      <c r="L1462" s="10" t="s">
        <v>1906</v>
      </c>
    </row>
    <row r="1463" spans="1:12" x14ac:dyDescent="0.35">
      <c r="A1463" s="9">
        <v>1462</v>
      </c>
      <c r="B1463" s="19">
        <v>46008.869664351849</v>
      </c>
      <c r="C1463" s="20">
        <v>46008</v>
      </c>
      <c r="D1463" s="8" t="s">
        <v>79</v>
      </c>
      <c r="E1463" s="12">
        <v>50</v>
      </c>
      <c r="F1463" s="3">
        <v>0</v>
      </c>
      <c r="G1463" s="3">
        <v>304600</v>
      </c>
      <c r="H1463" s="8" t="s">
        <v>51</v>
      </c>
      <c r="I1463" s="8" t="s">
        <v>52</v>
      </c>
      <c r="J1463" s="8" t="s">
        <v>36</v>
      </c>
      <c r="K1463" s="8" t="s">
        <v>24</v>
      </c>
      <c r="L1463" s="8" t="s">
        <v>1907</v>
      </c>
    </row>
    <row r="1464" spans="1:12" x14ac:dyDescent="0.35">
      <c r="A1464" s="11">
        <v>1463</v>
      </c>
      <c r="B1464" s="17">
        <v>46008.871041666673</v>
      </c>
      <c r="C1464" s="18">
        <v>46008</v>
      </c>
      <c r="D1464" s="10" t="s">
        <v>1908</v>
      </c>
      <c r="E1464" s="14">
        <v>1000</v>
      </c>
      <c r="F1464" s="5">
        <v>0</v>
      </c>
      <c r="G1464" s="5">
        <v>303600</v>
      </c>
      <c r="H1464" s="10" t="s">
        <v>33</v>
      </c>
      <c r="I1464" s="10" t="s">
        <v>52</v>
      </c>
      <c r="J1464" s="10" t="s">
        <v>34</v>
      </c>
      <c r="K1464" s="10" t="s">
        <v>24</v>
      </c>
      <c r="L1464" s="10" t="s">
        <v>1909</v>
      </c>
    </row>
    <row r="1465" spans="1:12" x14ac:dyDescent="0.35">
      <c r="A1465" s="9">
        <v>1464</v>
      </c>
      <c r="B1465" s="19">
        <v>46008.88480324074</v>
      </c>
      <c r="C1465" s="20">
        <v>46008</v>
      </c>
      <c r="D1465" s="8" t="s">
        <v>488</v>
      </c>
      <c r="E1465" s="12">
        <v>300000</v>
      </c>
      <c r="F1465" s="3">
        <v>0</v>
      </c>
      <c r="G1465" s="3">
        <v>3600</v>
      </c>
      <c r="H1465" s="8" t="s">
        <v>51</v>
      </c>
      <c r="I1465" s="8" t="s">
        <v>52</v>
      </c>
      <c r="J1465" s="8" t="s">
        <v>30</v>
      </c>
      <c r="K1465" s="8" t="s">
        <v>24</v>
      </c>
      <c r="L1465" s="8" t="s">
        <v>1910</v>
      </c>
    </row>
    <row r="1466" spans="1:12" x14ac:dyDescent="0.35">
      <c r="A1466" s="11">
        <v>1465</v>
      </c>
      <c r="B1466" s="17">
        <v>46008.926087962973</v>
      </c>
      <c r="C1466" s="18">
        <v>46008</v>
      </c>
      <c r="D1466" s="10" t="s">
        <v>426</v>
      </c>
      <c r="E1466" s="14">
        <v>3600</v>
      </c>
      <c r="F1466" s="5">
        <v>0</v>
      </c>
      <c r="G1466" s="5">
        <v>0</v>
      </c>
      <c r="H1466" s="10" t="s">
        <v>51</v>
      </c>
      <c r="I1466" s="10" t="s">
        <v>52</v>
      </c>
      <c r="J1466" s="10" t="s">
        <v>32</v>
      </c>
      <c r="K1466" s="10" t="s">
        <v>24</v>
      </c>
      <c r="L1466" s="10" t="s">
        <v>1911</v>
      </c>
    </row>
    <row r="1467" spans="1:12" x14ac:dyDescent="0.35">
      <c r="A1467" s="9">
        <v>1466</v>
      </c>
      <c r="B1467" s="19">
        <v>46009.208368055559</v>
      </c>
      <c r="C1467" s="20">
        <v>46009</v>
      </c>
      <c r="D1467" s="8" t="s">
        <v>394</v>
      </c>
      <c r="E1467" s="3">
        <v>0</v>
      </c>
      <c r="F1467" s="13">
        <v>500</v>
      </c>
      <c r="G1467" s="3">
        <v>500</v>
      </c>
      <c r="H1467" s="8" t="s">
        <v>51</v>
      </c>
      <c r="I1467" s="8" t="s">
        <v>71</v>
      </c>
      <c r="J1467" s="8" t="s">
        <v>32</v>
      </c>
      <c r="K1467" s="8" t="s">
        <v>24</v>
      </c>
      <c r="L1467" s="8" t="s">
        <v>1912</v>
      </c>
    </row>
    <row r="1468" spans="1:12" x14ac:dyDescent="0.35">
      <c r="A1468" s="11">
        <v>1467</v>
      </c>
      <c r="B1468" s="17">
        <v>46009.208368055559</v>
      </c>
      <c r="C1468" s="18">
        <v>46009</v>
      </c>
      <c r="D1468" s="10" t="s">
        <v>342</v>
      </c>
      <c r="E1468" s="14">
        <v>500</v>
      </c>
      <c r="F1468" s="5">
        <v>0</v>
      </c>
      <c r="G1468" s="5">
        <v>0</v>
      </c>
      <c r="H1468" s="10" t="s">
        <v>51</v>
      </c>
      <c r="I1468" s="10" t="s">
        <v>52</v>
      </c>
      <c r="J1468" s="10" t="s">
        <v>33</v>
      </c>
      <c r="K1468" s="10" t="s">
        <v>24</v>
      </c>
      <c r="L1468" s="10" t="s">
        <v>1913</v>
      </c>
    </row>
    <row r="1469" spans="1:12" x14ac:dyDescent="0.35">
      <c r="A1469" s="9">
        <v>1468</v>
      </c>
      <c r="B1469" s="19">
        <v>46010.208368055559</v>
      </c>
      <c r="C1469" s="20">
        <v>46010</v>
      </c>
      <c r="D1469" s="8" t="s">
        <v>394</v>
      </c>
      <c r="E1469" s="3">
        <v>0</v>
      </c>
      <c r="F1469" s="13">
        <v>500</v>
      </c>
      <c r="G1469" s="3">
        <v>500</v>
      </c>
      <c r="H1469" s="8" t="s">
        <v>51</v>
      </c>
      <c r="I1469" s="8" t="s">
        <v>71</v>
      </c>
      <c r="J1469" s="8" t="s">
        <v>32</v>
      </c>
      <c r="K1469" s="8" t="s">
        <v>24</v>
      </c>
      <c r="L1469" s="8" t="s">
        <v>1914</v>
      </c>
    </row>
    <row r="1470" spans="1:12" x14ac:dyDescent="0.35">
      <c r="A1470" s="11">
        <v>1469</v>
      </c>
      <c r="B1470" s="17">
        <v>46010.208368055559</v>
      </c>
      <c r="C1470" s="18">
        <v>46010</v>
      </c>
      <c r="D1470" s="10" t="s">
        <v>342</v>
      </c>
      <c r="E1470" s="14">
        <v>500</v>
      </c>
      <c r="F1470" s="5">
        <v>0</v>
      </c>
      <c r="G1470" s="5">
        <v>0</v>
      </c>
      <c r="H1470" s="10" t="s">
        <v>51</v>
      </c>
      <c r="I1470" s="10" t="s">
        <v>52</v>
      </c>
      <c r="J1470" s="10" t="s">
        <v>33</v>
      </c>
      <c r="K1470" s="10" t="s">
        <v>24</v>
      </c>
      <c r="L1470" s="10" t="s">
        <v>1915</v>
      </c>
    </row>
    <row r="1471" spans="1:12" x14ac:dyDescent="0.35">
      <c r="A1471" s="9">
        <v>1470</v>
      </c>
      <c r="B1471" s="19">
        <v>46010.567210648151</v>
      </c>
      <c r="C1471" s="20">
        <v>46010</v>
      </c>
      <c r="D1471" s="8" t="s">
        <v>1916</v>
      </c>
      <c r="E1471" s="3">
        <v>0</v>
      </c>
      <c r="F1471" s="13">
        <v>100000</v>
      </c>
      <c r="G1471" s="3">
        <v>100000</v>
      </c>
      <c r="H1471" s="8" t="s">
        <v>51</v>
      </c>
      <c r="I1471" s="8" t="s">
        <v>71</v>
      </c>
      <c r="J1471" s="8" t="s">
        <v>31</v>
      </c>
      <c r="K1471" s="8" t="s">
        <v>24</v>
      </c>
      <c r="L1471" s="8" t="s">
        <v>1917</v>
      </c>
    </row>
    <row r="1472" spans="1:12" x14ac:dyDescent="0.35">
      <c r="A1472" s="11">
        <v>1471</v>
      </c>
      <c r="B1472" s="17">
        <v>46010.567314814813</v>
      </c>
      <c r="C1472" s="18">
        <v>46010</v>
      </c>
      <c r="D1472" s="10" t="s">
        <v>79</v>
      </c>
      <c r="E1472" s="14">
        <v>50</v>
      </c>
      <c r="F1472" s="5">
        <v>0</v>
      </c>
      <c r="G1472" s="5">
        <v>99950</v>
      </c>
      <c r="H1472" s="10" t="s">
        <v>51</v>
      </c>
      <c r="I1472" s="10" t="s">
        <v>52</v>
      </c>
      <c r="J1472" s="10" t="s">
        <v>36</v>
      </c>
      <c r="K1472" s="10" t="s">
        <v>24</v>
      </c>
      <c r="L1472" s="10" t="s">
        <v>1918</v>
      </c>
    </row>
    <row r="1473" spans="1:12" x14ac:dyDescent="0.35">
      <c r="A1473" s="9">
        <v>1472</v>
      </c>
      <c r="B1473" s="19">
        <v>46010.573634259257</v>
      </c>
      <c r="C1473" s="20">
        <v>46010</v>
      </c>
      <c r="D1473" s="8" t="s">
        <v>1919</v>
      </c>
      <c r="E1473" s="12">
        <v>31610</v>
      </c>
      <c r="F1473" s="3">
        <v>0</v>
      </c>
      <c r="G1473" s="3">
        <v>68340</v>
      </c>
      <c r="H1473" s="8" t="s">
        <v>33</v>
      </c>
      <c r="I1473" s="8" t="s">
        <v>52</v>
      </c>
      <c r="J1473" s="8" t="s">
        <v>34</v>
      </c>
      <c r="K1473" s="8" t="s">
        <v>24</v>
      </c>
      <c r="L1473" s="8" t="s">
        <v>1920</v>
      </c>
    </row>
    <row r="1474" spans="1:12" x14ac:dyDescent="0.35">
      <c r="A1474" s="11">
        <v>1473</v>
      </c>
      <c r="B1474" s="17">
        <v>46010.580520833333</v>
      </c>
      <c r="C1474" s="18">
        <v>46010</v>
      </c>
      <c r="D1474" s="10" t="s">
        <v>488</v>
      </c>
      <c r="E1474" s="14">
        <v>71000</v>
      </c>
      <c r="F1474" s="5">
        <v>0</v>
      </c>
      <c r="G1474" s="5">
        <v>0</v>
      </c>
      <c r="H1474" s="10" t="s">
        <v>51</v>
      </c>
      <c r="I1474" s="10" t="s">
        <v>52</v>
      </c>
      <c r="J1474" s="10" t="s">
        <v>30</v>
      </c>
      <c r="K1474" s="10" t="s">
        <v>24</v>
      </c>
      <c r="L1474" s="10" t="s">
        <v>1921</v>
      </c>
    </row>
    <row r="1475" spans="1:12" x14ac:dyDescent="0.35">
      <c r="A1475" s="9">
        <v>1474</v>
      </c>
      <c r="B1475" s="19">
        <v>46010.580555555563</v>
      </c>
      <c r="C1475" s="20">
        <v>46010</v>
      </c>
      <c r="D1475" s="8" t="s">
        <v>394</v>
      </c>
      <c r="E1475" s="3">
        <v>0</v>
      </c>
      <c r="F1475" s="13">
        <v>2660</v>
      </c>
      <c r="G1475" s="3">
        <v>71000</v>
      </c>
      <c r="H1475" s="8" t="s">
        <v>51</v>
      </c>
      <c r="I1475" s="8" t="s">
        <v>71</v>
      </c>
      <c r="J1475" s="8" t="s">
        <v>32</v>
      </c>
      <c r="K1475" s="8" t="s">
        <v>24</v>
      </c>
      <c r="L1475" s="8" t="s">
        <v>1922</v>
      </c>
    </row>
    <row r="1476" spans="1:12" x14ac:dyDescent="0.35">
      <c r="A1476" s="11">
        <v>1475</v>
      </c>
      <c r="B1476" s="17">
        <v>46010.585381944453</v>
      </c>
      <c r="C1476" s="18">
        <v>46010</v>
      </c>
      <c r="D1476" s="10" t="s">
        <v>1916</v>
      </c>
      <c r="E1476" s="5">
        <v>0</v>
      </c>
      <c r="F1476" s="15">
        <v>90000</v>
      </c>
      <c r="G1476" s="5">
        <v>90000</v>
      </c>
      <c r="H1476" s="10" t="s">
        <v>51</v>
      </c>
      <c r="I1476" s="10" t="s">
        <v>71</v>
      </c>
      <c r="J1476" s="10" t="s">
        <v>31</v>
      </c>
      <c r="K1476" s="10" t="s">
        <v>24</v>
      </c>
      <c r="L1476" s="10" t="s">
        <v>1923</v>
      </c>
    </row>
    <row r="1477" spans="1:12" x14ac:dyDescent="0.35">
      <c r="A1477" s="9">
        <v>1476</v>
      </c>
      <c r="B1477" s="19">
        <v>46010.585625</v>
      </c>
      <c r="C1477" s="20">
        <v>46010</v>
      </c>
      <c r="D1477" s="8" t="s">
        <v>79</v>
      </c>
      <c r="E1477" s="12">
        <v>50</v>
      </c>
      <c r="F1477" s="3">
        <v>0</v>
      </c>
      <c r="G1477" s="3">
        <v>89950</v>
      </c>
      <c r="H1477" s="8" t="s">
        <v>51</v>
      </c>
      <c r="I1477" s="8" t="s">
        <v>52</v>
      </c>
      <c r="J1477" s="8" t="s">
        <v>36</v>
      </c>
      <c r="K1477" s="8" t="s">
        <v>24</v>
      </c>
      <c r="L1477" s="8" t="s">
        <v>1924</v>
      </c>
    </row>
    <row r="1478" spans="1:12" x14ac:dyDescent="0.35">
      <c r="A1478" s="11">
        <v>1477</v>
      </c>
      <c r="B1478" s="17">
        <v>46010.589849537027</v>
      </c>
      <c r="C1478" s="18">
        <v>46010</v>
      </c>
      <c r="D1478" s="10" t="s">
        <v>1925</v>
      </c>
      <c r="E1478" s="14">
        <v>20000</v>
      </c>
      <c r="F1478" s="5">
        <v>0</v>
      </c>
      <c r="G1478" s="5">
        <v>69950</v>
      </c>
      <c r="H1478" s="10" t="s">
        <v>33</v>
      </c>
      <c r="I1478" s="10" t="s">
        <v>52</v>
      </c>
      <c r="J1478" s="10" t="s">
        <v>34</v>
      </c>
      <c r="K1478" s="10" t="s">
        <v>24</v>
      </c>
      <c r="L1478" s="10" t="s">
        <v>1926</v>
      </c>
    </row>
    <row r="1479" spans="1:12" x14ac:dyDescent="0.35">
      <c r="A1479" s="9">
        <v>1478</v>
      </c>
      <c r="B1479" s="19">
        <v>46010.762812499997</v>
      </c>
      <c r="C1479" s="20">
        <v>46010</v>
      </c>
      <c r="D1479" s="8" t="s">
        <v>1927</v>
      </c>
      <c r="E1479" s="12">
        <v>3500</v>
      </c>
      <c r="F1479" s="3">
        <v>0</v>
      </c>
      <c r="G1479" s="3">
        <v>66450</v>
      </c>
      <c r="H1479" s="8" t="s">
        <v>51</v>
      </c>
      <c r="I1479" s="8" t="s">
        <v>52</v>
      </c>
      <c r="J1479" s="8" t="s">
        <v>30</v>
      </c>
      <c r="K1479" s="8" t="s">
        <v>24</v>
      </c>
      <c r="L1479" s="8" t="s">
        <v>1928</v>
      </c>
    </row>
    <row r="1480" spans="1:12" x14ac:dyDescent="0.35">
      <c r="A1480" s="11">
        <v>1479</v>
      </c>
      <c r="B1480" s="17">
        <v>46010.926226851851</v>
      </c>
      <c r="C1480" s="18">
        <v>46010</v>
      </c>
      <c r="D1480" s="10" t="s">
        <v>426</v>
      </c>
      <c r="E1480" s="14">
        <v>66450</v>
      </c>
      <c r="F1480" s="5">
        <v>0</v>
      </c>
      <c r="G1480" s="5">
        <v>0</v>
      </c>
      <c r="H1480" s="10" t="s">
        <v>51</v>
      </c>
      <c r="I1480" s="10" t="s">
        <v>52</v>
      </c>
      <c r="J1480" s="10" t="s">
        <v>32</v>
      </c>
      <c r="K1480" s="10" t="s">
        <v>24</v>
      </c>
      <c r="L1480" s="10" t="s">
        <v>1929</v>
      </c>
    </row>
    <row r="1481" spans="1:12" x14ac:dyDescent="0.35">
      <c r="A1481" s="9">
        <v>1480</v>
      </c>
      <c r="B1481" s="19">
        <v>46011.208587962959</v>
      </c>
      <c r="C1481" s="20">
        <v>46011</v>
      </c>
      <c r="D1481" s="8" t="s">
        <v>394</v>
      </c>
      <c r="E1481" s="3">
        <v>0</v>
      </c>
      <c r="F1481" s="13">
        <v>500</v>
      </c>
      <c r="G1481" s="3">
        <v>500</v>
      </c>
      <c r="H1481" s="8" t="s">
        <v>51</v>
      </c>
      <c r="I1481" s="8" t="s">
        <v>71</v>
      </c>
      <c r="J1481" s="8" t="s">
        <v>32</v>
      </c>
      <c r="K1481" s="8" t="s">
        <v>24</v>
      </c>
      <c r="L1481" s="8" t="s">
        <v>1930</v>
      </c>
    </row>
    <row r="1482" spans="1:12" x14ac:dyDescent="0.35">
      <c r="A1482" s="11">
        <v>1481</v>
      </c>
      <c r="B1482" s="17">
        <v>46011.208587962959</v>
      </c>
      <c r="C1482" s="18">
        <v>46011</v>
      </c>
      <c r="D1482" s="10" t="s">
        <v>342</v>
      </c>
      <c r="E1482" s="14">
        <v>500</v>
      </c>
      <c r="F1482" s="5">
        <v>0</v>
      </c>
      <c r="G1482" s="5">
        <v>0</v>
      </c>
      <c r="H1482" s="10" t="s">
        <v>51</v>
      </c>
      <c r="I1482" s="10" t="s">
        <v>52</v>
      </c>
      <c r="J1482" s="10" t="s">
        <v>33</v>
      </c>
      <c r="K1482" s="10" t="s">
        <v>24</v>
      </c>
      <c r="L1482" s="10" t="s">
        <v>1931</v>
      </c>
    </row>
    <row r="1483" spans="1:12" x14ac:dyDescent="0.35">
      <c r="A1483" s="9">
        <v>1482</v>
      </c>
      <c r="B1483" s="19">
        <v>46011.646099537043</v>
      </c>
      <c r="C1483" s="20">
        <v>46011</v>
      </c>
      <c r="D1483" s="8" t="s">
        <v>1927</v>
      </c>
      <c r="E1483" s="12">
        <v>4700</v>
      </c>
      <c r="F1483" s="3">
        <v>0</v>
      </c>
      <c r="G1483" s="3">
        <v>0</v>
      </c>
      <c r="H1483" s="8" t="s">
        <v>51</v>
      </c>
      <c r="I1483" s="8" t="s">
        <v>52</v>
      </c>
      <c r="J1483" s="8" t="s">
        <v>30</v>
      </c>
      <c r="K1483" s="8" t="s">
        <v>24</v>
      </c>
      <c r="L1483" s="8" t="s">
        <v>1932</v>
      </c>
    </row>
    <row r="1484" spans="1:12" x14ac:dyDescent="0.35">
      <c r="A1484" s="11">
        <v>1483</v>
      </c>
      <c r="B1484" s="17">
        <v>46011.646145833343</v>
      </c>
      <c r="C1484" s="18">
        <v>46011</v>
      </c>
      <c r="D1484" s="10" t="s">
        <v>394</v>
      </c>
      <c r="E1484" s="5">
        <v>0</v>
      </c>
      <c r="F1484" s="15">
        <v>4700</v>
      </c>
      <c r="G1484" s="5">
        <v>4700</v>
      </c>
      <c r="H1484" s="10" t="s">
        <v>51</v>
      </c>
      <c r="I1484" s="10" t="s">
        <v>71</v>
      </c>
      <c r="J1484" s="10" t="s">
        <v>32</v>
      </c>
      <c r="K1484" s="10" t="s">
        <v>24</v>
      </c>
      <c r="L1484" s="10" t="s">
        <v>1933</v>
      </c>
    </row>
    <row r="1485" spans="1:12" x14ac:dyDescent="0.35">
      <c r="A1485" s="9">
        <v>1484</v>
      </c>
      <c r="B1485" s="19">
        <v>46011.661689814813</v>
      </c>
      <c r="C1485" s="20">
        <v>46011</v>
      </c>
      <c r="D1485" s="8" t="s">
        <v>1934</v>
      </c>
      <c r="E1485" s="12">
        <v>2900</v>
      </c>
      <c r="F1485" s="3">
        <v>0</v>
      </c>
      <c r="G1485" s="3">
        <v>0</v>
      </c>
      <c r="H1485" s="8" t="s">
        <v>33</v>
      </c>
      <c r="I1485" s="8" t="s">
        <v>52</v>
      </c>
      <c r="J1485" s="8" t="s">
        <v>34</v>
      </c>
      <c r="K1485" s="8" t="s">
        <v>24</v>
      </c>
      <c r="L1485" s="8" t="s">
        <v>1935</v>
      </c>
    </row>
    <row r="1486" spans="1:12" x14ac:dyDescent="0.35">
      <c r="A1486" s="11">
        <v>1485</v>
      </c>
      <c r="B1486" s="17">
        <v>46011.66170138889</v>
      </c>
      <c r="C1486" s="18">
        <v>46011</v>
      </c>
      <c r="D1486" s="10" t="s">
        <v>394</v>
      </c>
      <c r="E1486" s="5">
        <v>0</v>
      </c>
      <c r="F1486" s="15">
        <v>2900</v>
      </c>
      <c r="G1486" s="5">
        <v>2900</v>
      </c>
      <c r="H1486" s="10" t="s">
        <v>51</v>
      </c>
      <c r="I1486" s="10" t="s">
        <v>71</v>
      </c>
      <c r="J1486" s="10" t="s">
        <v>32</v>
      </c>
      <c r="K1486" s="10" t="s">
        <v>24</v>
      </c>
      <c r="L1486" s="10" t="s">
        <v>1936</v>
      </c>
    </row>
    <row r="1487" spans="1:12" x14ac:dyDescent="0.35">
      <c r="A1487" s="9">
        <v>1486</v>
      </c>
      <c r="B1487" s="19">
        <v>46011.699178240742</v>
      </c>
      <c r="C1487" s="20">
        <v>46011</v>
      </c>
      <c r="D1487" s="8" t="s">
        <v>1937</v>
      </c>
      <c r="E1487" s="12">
        <v>3100</v>
      </c>
      <c r="F1487" s="3">
        <v>0</v>
      </c>
      <c r="G1487" s="3">
        <v>0</v>
      </c>
      <c r="H1487" s="8" t="s">
        <v>33</v>
      </c>
      <c r="I1487" s="8" t="s">
        <v>52</v>
      </c>
      <c r="J1487" s="8" t="s">
        <v>34</v>
      </c>
      <c r="K1487" s="8" t="s">
        <v>24</v>
      </c>
      <c r="L1487" s="8" t="s">
        <v>1938</v>
      </c>
    </row>
    <row r="1488" spans="1:12" x14ac:dyDescent="0.35">
      <c r="A1488" s="11">
        <v>1487</v>
      </c>
      <c r="B1488" s="17">
        <v>46011.699189814812</v>
      </c>
      <c r="C1488" s="18">
        <v>46011</v>
      </c>
      <c r="D1488" s="10" t="s">
        <v>394</v>
      </c>
      <c r="E1488" s="5">
        <v>0</v>
      </c>
      <c r="F1488" s="15">
        <v>3100</v>
      </c>
      <c r="G1488" s="5">
        <v>3100</v>
      </c>
      <c r="H1488" s="10" t="s">
        <v>51</v>
      </c>
      <c r="I1488" s="10" t="s">
        <v>71</v>
      </c>
      <c r="J1488" s="10" t="s">
        <v>32</v>
      </c>
      <c r="K1488" s="10" t="s">
        <v>24</v>
      </c>
      <c r="L1488" s="10" t="s">
        <v>1939</v>
      </c>
    </row>
    <row r="1489" spans="1:12" x14ac:dyDescent="0.35">
      <c r="A1489" s="9">
        <v>1488</v>
      </c>
      <c r="B1489" s="19">
        <v>46012.208599537043</v>
      </c>
      <c r="C1489" s="20">
        <v>46012</v>
      </c>
      <c r="D1489" s="8" t="s">
        <v>394</v>
      </c>
      <c r="E1489" s="3">
        <v>0</v>
      </c>
      <c r="F1489" s="13">
        <v>500</v>
      </c>
      <c r="G1489" s="3">
        <v>500</v>
      </c>
      <c r="H1489" s="8" t="s">
        <v>51</v>
      </c>
      <c r="I1489" s="8" t="s">
        <v>71</v>
      </c>
      <c r="J1489" s="8" t="s">
        <v>32</v>
      </c>
      <c r="K1489" s="8" t="s">
        <v>24</v>
      </c>
      <c r="L1489" s="8" t="s">
        <v>1940</v>
      </c>
    </row>
    <row r="1490" spans="1:12" x14ac:dyDescent="0.35">
      <c r="A1490" s="11">
        <v>1489</v>
      </c>
      <c r="B1490" s="17">
        <v>46012.208599537043</v>
      </c>
      <c r="C1490" s="18">
        <v>46012</v>
      </c>
      <c r="D1490" s="10" t="s">
        <v>342</v>
      </c>
      <c r="E1490" s="14">
        <v>500</v>
      </c>
      <c r="F1490" s="5">
        <v>0</v>
      </c>
      <c r="G1490" s="5">
        <v>0</v>
      </c>
      <c r="H1490" s="10" t="s">
        <v>51</v>
      </c>
      <c r="I1490" s="10" t="s">
        <v>52</v>
      </c>
      <c r="J1490" s="10" t="s">
        <v>33</v>
      </c>
      <c r="K1490" s="10" t="s">
        <v>24</v>
      </c>
      <c r="L1490" s="10" t="s">
        <v>1941</v>
      </c>
    </row>
    <row r="1491" spans="1:12" x14ac:dyDescent="0.35">
      <c r="A1491" s="9">
        <v>1490</v>
      </c>
      <c r="B1491" s="19">
        <v>46012.339988425927</v>
      </c>
      <c r="C1491" s="20">
        <v>46012</v>
      </c>
      <c r="D1491" s="8" t="s">
        <v>1942</v>
      </c>
      <c r="E1491" s="12">
        <v>10900</v>
      </c>
      <c r="F1491" s="3">
        <v>0</v>
      </c>
      <c r="G1491" s="3">
        <v>0</v>
      </c>
      <c r="H1491" s="8" t="s">
        <v>51</v>
      </c>
      <c r="I1491" s="8" t="s">
        <v>52</v>
      </c>
      <c r="J1491" s="8" t="s">
        <v>30</v>
      </c>
      <c r="K1491" s="8" t="s">
        <v>24</v>
      </c>
      <c r="L1491" s="8" t="s">
        <v>1943</v>
      </c>
    </row>
    <row r="1492" spans="1:12" x14ac:dyDescent="0.35">
      <c r="A1492" s="11">
        <v>1491</v>
      </c>
      <c r="B1492" s="17">
        <v>46012.340046296304</v>
      </c>
      <c r="C1492" s="18">
        <v>46012</v>
      </c>
      <c r="D1492" s="10" t="s">
        <v>394</v>
      </c>
      <c r="E1492" s="5">
        <v>0</v>
      </c>
      <c r="F1492" s="15">
        <v>10900</v>
      </c>
      <c r="G1492" s="5">
        <v>10900</v>
      </c>
      <c r="H1492" s="10" t="s">
        <v>51</v>
      </c>
      <c r="I1492" s="10" t="s">
        <v>71</v>
      </c>
      <c r="J1492" s="10" t="s">
        <v>32</v>
      </c>
      <c r="K1492" s="10" t="s">
        <v>24</v>
      </c>
      <c r="L1492" s="10" t="s">
        <v>1944</v>
      </c>
    </row>
    <row r="1493" spans="1:12" x14ac:dyDescent="0.35">
      <c r="A1493" s="9">
        <v>1492</v>
      </c>
      <c r="B1493" s="19">
        <v>46013.208611111113</v>
      </c>
      <c r="C1493" s="20">
        <v>46013</v>
      </c>
      <c r="D1493" s="8" t="s">
        <v>394</v>
      </c>
      <c r="E1493" s="3">
        <v>0</v>
      </c>
      <c r="F1493" s="13">
        <v>500</v>
      </c>
      <c r="G1493" s="3">
        <v>500</v>
      </c>
      <c r="H1493" s="8" t="s">
        <v>51</v>
      </c>
      <c r="I1493" s="8" t="s">
        <v>71</v>
      </c>
      <c r="J1493" s="8" t="s">
        <v>32</v>
      </c>
      <c r="K1493" s="8" t="s">
        <v>24</v>
      </c>
      <c r="L1493" s="8" t="s">
        <v>1945</v>
      </c>
    </row>
    <row r="1494" spans="1:12" x14ac:dyDescent="0.35">
      <c r="A1494" s="11">
        <v>1493</v>
      </c>
      <c r="B1494" s="17">
        <v>46013.208611111113</v>
      </c>
      <c r="C1494" s="18">
        <v>46013</v>
      </c>
      <c r="D1494" s="10" t="s">
        <v>342</v>
      </c>
      <c r="E1494" s="14">
        <v>500</v>
      </c>
      <c r="F1494" s="5">
        <v>0</v>
      </c>
      <c r="G1494" s="5">
        <v>0</v>
      </c>
      <c r="H1494" s="10" t="s">
        <v>51</v>
      </c>
      <c r="I1494" s="10" t="s">
        <v>52</v>
      </c>
      <c r="J1494" s="10" t="s">
        <v>33</v>
      </c>
      <c r="K1494" s="10" t="s">
        <v>24</v>
      </c>
      <c r="L1494" s="10" t="s">
        <v>1946</v>
      </c>
    </row>
    <row r="1495" spans="1:12" x14ac:dyDescent="0.35">
      <c r="A1495" s="9">
        <v>1494</v>
      </c>
      <c r="B1495" s="19">
        <v>46013.582881944443</v>
      </c>
      <c r="C1495" s="20">
        <v>46013</v>
      </c>
      <c r="D1495" s="8" t="s">
        <v>1947</v>
      </c>
      <c r="E1495" s="12">
        <v>2280.5</v>
      </c>
      <c r="F1495" s="3">
        <v>0</v>
      </c>
      <c r="G1495" s="3">
        <v>0</v>
      </c>
      <c r="H1495" s="8" t="s">
        <v>51</v>
      </c>
      <c r="I1495" s="8" t="s">
        <v>52</v>
      </c>
      <c r="J1495" s="8" t="s">
        <v>36</v>
      </c>
      <c r="K1495" s="8" t="s">
        <v>24</v>
      </c>
      <c r="L1495" s="8" t="s">
        <v>1948</v>
      </c>
    </row>
    <row r="1496" spans="1:12" x14ac:dyDescent="0.35">
      <c r="A1496" s="11">
        <v>1495</v>
      </c>
      <c r="B1496" s="17">
        <v>46013.582951388889</v>
      </c>
      <c r="C1496" s="18">
        <v>46013</v>
      </c>
      <c r="D1496" s="10" t="s">
        <v>394</v>
      </c>
      <c r="E1496" s="5">
        <v>0</v>
      </c>
      <c r="F1496" s="15">
        <v>2280.5</v>
      </c>
      <c r="G1496" s="5">
        <v>2280.5</v>
      </c>
      <c r="H1496" s="10" t="s">
        <v>51</v>
      </c>
      <c r="I1496" s="10" t="s">
        <v>71</v>
      </c>
      <c r="J1496" s="10" t="s">
        <v>32</v>
      </c>
      <c r="K1496" s="10" t="s">
        <v>24</v>
      </c>
      <c r="L1496" s="10" t="s">
        <v>1949</v>
      </c>
    </row>
    <row r="1497" spans="1:12" x14ac:dyDescent="0.35">
      <c r="A1497" s="9">
        <v>1496</v>
      </c>
      <c r="B1497" s="19">
        <v>46014.208587962959</v>
      </c>
      <c r="C1497" s="20">
        <v>46014</v>
      </c>
      <c r="D1497" s="8" t="s">
        <v>394</v>
      </c>
      <c r="E1497" s="3">
        <v>0</v>
      </c>
      <c r="F1497" s="13">
        <v>500</v>
      </c>
      <c r="G1497" s="3">
        <v>500</v>
      </c>
      <c r="H1497" s="8" t="s">
        <v>51</v>
      </c>
      <c r="I1497" s="8" t="s">
        <v>71</v>
      </c>
      <c r="J1497" s="8" t="s">
        <v>32</v>
      </c>
      <c r="K1497" s="8" t="s">
        <v>24</v>
      </c>
      <c r="L1497" s="8" t="s">
        <v>1950</v>
      </c>
    </row>
    <row r="1498" spans="1:12" x14ac:dyDescent="0.35">
      <c r="A1498" s="11">
        <v>1497</v>
      </c>
      <c r="B1498" s="17">
        <v>46014.208587962959</v>
      </c>
      <c r="C1498" s="18">
        <v>46014</v>
      </c>
      <c r="D1498" s="10" t="s">
        <v>342</v>
      </c>
      <c r="E1498" s="14">
        <v>500</v>
      </c>
      <c r="F1498" s="5">
        <v>0</v>
      </c>
      <c r="G1498" s="5">
        <v>0</v>
      </c>
      <c r="H1498" s="10" t="s">
        <v>51</v>
      </c>
      <c r="I1498" s="10" t="s">
        <v>52</v>
      </c>
      <c r="J1498" s="10" t="s">
        <v>33</v>
      </c>
      <c r="K1498" s="10" t="s">
        <v>24</v>
      </c>
      <c r="L1498" s="10" t="s">
        <v>1951</v>
      </c>
    </row>
    <row r="1499" spans="1:12" x14ac:dyDescent="0.35">
      <c r="A1499" s="9">
        <v>1498</v>
      </c>
      <c r="B1499" s="19">
        <v>46014.708923611113</v>
      </c>
      <c r="C1499" s="20">
        <v>46014</v>
      </c>
      <c r="D1499" s="8" t="s">
        <v>1952</v>
      </c>
      <c r="E1499" s="12">
        <v>4950</v>
      </c>
      <c r="F1499" s="3">
        <v>0</v>
      </c>
      <c r="G1499" s="3">
        <v>0</v>
      </c>
      <c r="H1499" s="8" t="s">
        <v>51</v>
      </c>
      <c r="I1499" s="8" t="s">
        <v>52</v>
      </c>
      <c r="J1499" s="8" t="s">
        <v>36</v>
      </c>
      <c r="K1499" s="8" t="s">
        <v>24</v>
      </c>
      <c r="L1499" s="8" t="s">
        <v>1953</v>
      </c>
    </row>
    <row r="1500" spans="1:12" x14ac:dyDescent="0.35">
      <c r="A1500" s="11">
        <v>1499</v>
      </c>
      <c r="B1500" s="17">
        <v>46014.709004629629</v>
      </c>
      <c r="C1500" s="18">
        <v>46014</v>
      </c>
      <c r="D1500" s="10" t="s">
        <v>394</v>
      </c>
      <c r="E1500" s="5">
        <v>0</v>
      </c>
      <c r="F1500" s="15">
        <v>4950</v>
      </c>
      <c r="G1500" s="5">
        <v>4950</v>
      </c>
      <c r="H1500" s="10" t="s">
        <v>51</v>
      </c>
      <c r="I1500" s="10" t="s">
        <v>71</v>
      </c>
      <c r="J1500" s="10" t="s">
        <v>32</v>
      </c>
      <c r="K1500" s="10" t="s">
        <v>24</v>
      </c>
      <c r="L1500" s="10" t="s">
        <v>1954</v>
      </c>
    </row>
    <row r="1501" spans="1:12" x14ac:dyDescent="0.35">
      <c r="A1501" s="9">
        <v>1500</v>
      </c>
      <c r="B1501" s="19">
        <v>46014.850983796299</v>
      </c>
      <c r="C1501" s="20">
        <v>46014</v>
      </c>
      <c r="D1501" s="8" t="s">
        <v>1955</v>
      </c>
      <c r="E1501" s="3">
        <v>0</v>
      </c>
      <c r="F1501" s="13">
        <v>250000</v>
      </c>
      <c r="G1501" s="3">
        <v>250000</v>
      </c>
      <c r="H1501" s="8" t="s">
        <v>51</v>
      </c>
      <c r="I1501" s="8" t="s">
        <v>71</v>
      </c>
      <c r="J1501" s="8" t="s">
        <v>31</v>
      </c>
      <c r="K1501" s="8" t="s">
        <v>24</v>
      </c>
      <c r="L1501" s="8" t="s">
        <v>1956</v>
      </c>
    </row>
    <row r="1502" spans="1:12" x14ac:dyDescent="0.35">
      <c r="A1502" s="11">
        <v>1501</v>
      </c>
      <c r="B1502" s="17">
        <v>46014.850995370369</v>
      </c>
      <c r="C1502" s="18">
        <v>46014</v>
      </c>
      <c r="D1502" s="10" t="s">
        <v>79</v>
      </c>
      <c r="E1502" s="14">
        <v>50</v>
      </c>
      <c r="F1502" s="5">
        <v>0</v>
      </c>
      <c r="G1502" s="5">
        <v>249950</v>
      </c>
      <c r="H1502" s="10" t="s">
        <v>51</v>
      </c>
      <c r="I1502" s="10" t="s">
        <v>52</v>
      </c>
      <c r="J1502" s="10" t="s">
        <v>36</v>
      </c>
      <c r="K1502" s="10" t="s">
        <v>24</v>
      </c>
      <c r="L1502" s="10" t="s">
        <v>1957</v>
      </c>
    </row>
    <row r="1503" spans="1:12" x14ac:dyDescent="0.35">
      <c r="A1503" s="9">
        <v>1502</v>
      </c>
      <c r="B1503" s="19">
        <v>46014.926712962973</v>
      </c>
      <c r="C1503" s="20">
        <v>46014</v>
      </c>
      <c r="D1503" s="8" t="s">
        <v>426</v>
      </c>
      <c r="E1503" s="12">
        <v>249950</v>
      </c>
      <c r="F1503" s="3">
        <v>0</v>
      </c>
      <c r="G1503" s="3">
        <v>0</v>
      </c>
      <c r="H1503" s="8" t="s">
        <v>51</v>
      </c>
      <c r="I1503" s="8" t="s">
        <v>52</v>
      </c>
      <c r="J1503" s="8" t="s">
        <v>32</v>
      </c>
      <c r="K1503" s="8" t="s">
        <v>24</v>
      </c>
      <c r="L1503" s="8" t="s">
        <v>1958</v>
      </c>
    </row>
    <row r="1504" spans="1:12" x14ac:dyDescent="0.35">
      <c r="A1504" s="11">
        <v>1503</v>
      </c>
      <c r="B1504" s="17">
        <v>46015.208599537043</v>
      </c>
      <c r="C1504" s="18">
        <v>46015</v>
      </c>
      <c r="D1504" s="10" t="s">
        <v>342</v>
      </c>
      <c r="E1504" s="14">
        <v>500</v>
      </c>
      <c r="F1504" s="5">
        <v>0</v>
      </c>
      <c r="G1504" s="5">
        <v>0</v>
      </c>
      <c r="H1504" s="10" t="s">
        <v>51</v>
      </c>
      <c r="I1504" s="10" t="s">
        <v>52</v>
      </c>
      <c r="J1504" s="10" t="s">
        <v>33</v>
      </c>
      <c r="K1504" s="10" t="s">
        <v>24</v>
      </c>
      <c r="L1504" s="10" t="s">
        <v>1959</v>
      </c>
    </row>
    <row r="1505" spans="1:12" x14ac:dyDescent="0.35">
      <c r="A1505" s="9">
        <v>1504</v>
      </c>
      <c r="B1505" s="19">
        <v>46015.208611111113</v>
      </c>
      <c r="C1505" s="20">
        <v>46015</v>
      </c>
      <c r="D1505" s="8" t="s">
        <v>394</v>
      </c>
      <c r="E1505" s="3">
        <v>0</v>
      </c>
      <c r="F1505" s="13">
        <v>500</v>
      </c>
      <c r="G1505" s="3">
        <v>500</v>
      </c>
      <c r="H1505" s="8" t="s">
        <v>51</v>
      </c>
      <c r="I1505" s="8" t="s">
        <v>71</v>
      </c>
      <c r="J1505" s="8" t="s">
        <v>32</v>
      </c>
      <c r="K1505" s="8" t="s">
        <v>24</v>
      </c>
      <c r="L1505" s="8" t="s">
        <v>1960</v>
      </c>
    </row>
    <row r="1506" spans="1:12" x14ac:dyDescent="0.35">
      <c r="A1506" s="11">
        <v>1505</v>
      </c>
      <c r="B1506" s="17">
        <v>46016.209224537037</v>
      </c>
      <c r="C1506" s="18">
        <v>46016</v>
      </c>
      <c r="D1506" s="10" t="s">
        <v>394</v>
      </c>
      <c r="E1506" s="5">
        <v>0</v>
      </c>
      <c r="F1506" s="15">
        <v>500</v>
      </c>
      <c r="G1506" s="5">
        <v>500</v>
      </c>
      <c r="H1506" s="10" t="s">
        <v>51</v>
      </c>
      <c r="I1506" s="10" t="s">
        <v>71</v>
      </c>
      <c r="J1506" s="10" t="s">
        <v>32</v>
      </c>
      <c r="K1506" s="10" t="s">
        <v>24</v>
      </c>
      <c r="L1506" s="10" t="s">
        <v>1961</v>
      </c>
    </row>
    <row r="1507" spans="1:12" x14ac:dyDescent="0.35">
      <c r="A1507" s="9">
        <v>1506</v>
      </c>
      <c r="B1507" s="19">
        <v>46016.209224537037</v>
      </c>
      <c r="C1507" s="20">
        <v>46016</v>
      </c>
      <c r="D1507" s="8" t="s">
        <v>342</v>
      </c>
      <c r="E1507" s="12">
        <v>500</v>
      </c>
      <c r="F1507" s="3">
        <v>0</v>
      </c>
      <c r="G1507" s="3">
        <v>0</v>
      </c>
      <c r="H1507" s="8" t="s">
        <v>51</v>
      </c>
      <c r="I1507" s="8" t="s">
        <v>52</v>
      </c>
      <c r="J1507" s="8" t="s">
        <v>33</v>
      </c>
      <c r="K1507" s="8" t="s">
        <v>24</v>
      </c>
      <c r="L1507" s="8" t="s">
        <v>1962</v>
      </c>
    </row>
    <row r="1508" spans="1:12" x14ac:dyDescent="0.35">
      <c r="A1508" s="11">
        <v>1507</v>
      </c>
      <c r="B1508" s="17">
        <v>46016.797291666669</v>
      </c>
      <c r="C1508" s="18">
        <v>46016</v>
      </c>
      <c r="D1508" s="10" t="s">
        <v>1963</v>
      </c>
      <c r="E1508" s="14">
        <v>1200</v>
      </c>
      <c r="F1508" s="5">
        <v>0</v>
      </c>
      <c r="G1508" s="5">
        <v>0</v>
      </c>
      <c r="H1508" s="10" t="s">
        <v>51</v>
      </c>
      <c r="I1508" s="10" t="s">
        <v>52</v>
      </c>
      <c r="J1508" s="10" t="s">
        <v>30</v>
      </c>
      <c r="K1508" s="10" t="s">
        <v>24</v>
      </c>
      <c r="L1508" s="10" t="s">
        <v>1964</v>
      </c>
    </row>
    <row r="1509" spans="1:12" x14ac:dyDescent="0.35">
      <c r="A1509" s="9">
        <v>1508</v>
      </c>
      <c r="B1509" s="19">
        <v>46016.797500000001</v>
      </c>
      <c r="C1509" s="20">
        <v>46016</v>
      </c>
      <c r="D1509" s="8" t="s">
        <v>394</v>
      </c>
      <c r="E1509" s="3">
        <v>0</v>
      </c>
      <c r="F1509" s="13">
        <v>1200</v>
      </c>
      <c r="G1509" s="3">
        <v>1200</v>
      </c>
      <c r="H1509" s="8" t="s">
        <v>51</v>
      </c>
      <c r="I1509" s="8" t="s">
        <v>71</v>
      </c>
      <c r="J1509" s="8" t="s">
        <v>32</v>
      </c>
      <c r="K1509" s="8" t="s">
        <v>24</v>
      </c>
      <c r="L1509" s="8" t="s">
        <v>1965</v>
      </c>
    </row>
    <row r="1510" spans="1:12" x14ac:dyDescent="0.35">
      <c r="A1510" s="11">
        <v>1509</v>
      </c>
      <c r="B1510" s="17">
        <v>46017.20921296296</v>
      </c>
      <c r="C1510" s="18">
        <v>46017</v>
      </c>
      <c r="D1510" s="10" t="s">
        <v>394</v>
      </c>
      <c r="E1510" s="5">
        <v>0</v>
      </c>
      <c r="F1510" s="15">
        <v>500</v>
      </c>
      <c r="G1510" s="5">
        <v>500</v>
      </c>
      <c r="H1510" s="10" t="s">
        <v>51</v>
      </c>
      <c r="I1510" s="10" t="s">
        <v>71</v>
      </c>
      <c r="J1510" s="10" t="s">
        <v>32</v>
      </c>
      <c r="K1510" s="10" t="s">
        <v>24</v>
      </c>
      <c r="L1510" s="10" t="s">
        <v>1966</v>
      </c>
    </row>
    <row r="1511" spans="1:12" x14ac:dyDescent="0.35">
      <c r="A1511" s="9">
        <v>1510</v>
      </c>
      <c r="B1511" s="19">
        <v>46017.20921296296</v>
      </c>
      <c r="C1511" s="20">
        <v>46017</v>
      </c>
      <c r="D1511" s="8" t="s">
        <v>342</v>
      </c>
      <c r="E1511" s="12">
        <v>500</v>
      </c>
      <c r="F1511" s="3">
        <v>0</v>
      </c>
      <c r="G1511" s="3">
        <v>0</v>
      </c>
      <c r="H1511" s="8" t="s">
        <v>51</v>
      </c>
      <c r="I1511" s="8" t="s">
        <v>52</v>
      </c>
      <c r="J1511" s="8" t="s">
        <v>33</v>
      </c>
      <c r="K1511" s="8" t="s">
        <v>24</v>
      </c>
      <c r="L1511" s="8" t="s">
        <v>1967</v>
      </c>
    </row>
    <row r="1512" spans="1:12" x14ac:dyDescent="0.35">
      <c r="A1512" s="11">
        <v>1511</v>
      </c>
      <c r="B1512" s="17">
        <v>46017.383587962962</v>
      </c>
      <c r="C1512" s="18">
        <v>46017</v>
      </c>
      <c r="D1512" s="10" t="s">
        <v>1968</v>
      </c>
      <c r="E1512" s="14">
        <v>2100</v>
      </c>
      <c r="F1512" s="5">
        <v>0</v>
      </c>
      <c r="G1512" s="5">
        <v>0</v>
      </c>
      <c r="H1512" s="10" t="s">
        <v>51</v>
      </c>
      <c r="I1512" s="10" t="s">
        <v>52</v>
      </c>
      <c r="J1512" s="10" t="s">
        <v>30</v>
      </c>
      <c r="K1512" s="10" t="s">
        <v>24</v>
      </c>
      <c r="L1512" s="10" t="s">
        <v>1969</v>
      </c>
    </row>
    <row r="1513" spans="1:12" x14ac:dyDescent="0.35">
      <c r="A1513" s="9">
        <v>1512</v>
      </c>
      <c r="B1513" s="19">
        <v>46017.383634259262</v>
      </c>
      <c r="C1513" s="20">
        <v>46017</v>
      </c>
      <c r="D1513" s="8" t="s">
        <v>394</v>
      </c>
      <c r="E1513" s="3">
        <v>0</v>
      </c>
      <c r="F1513" s="13">
        <v>2100</v>
      </c>
      <c r="G1513" s="3">
        <v>2100</v>
      </c>
      <c r="H1513" s="8" t="s">
        <v>51</v>
      </c>
      <c r="I1513" s="8" t="s">
        <v>71</v>
      </c>
      <c r="J1513" s="8" t="s">
        <v>32</v>
      </c>
      <c r="K1513" s="8" t="s">
        <v>24</v>
      </c>
      <c r="L1513" s="8" t="s">
        <v>1970</v>
      </c>
    </row>
    <row r="1514" spans="1:12" x14ac:dyDescent="0.35">
      <c r="A1514" s="11">
        <v>1513</v>
      </c>
      <c r="B1514" s="17">
        <v>46017.394305555557</v>
      </c>
      <c r="C1514" s="18">
        <v>46017</v>
      </c>
      <c r="D1514" s="10" t="s">
        <v>1971</v>
      </c>
      <c r="E1514" s="14">
        <v>11000</v>
      </c>
      <c r="F1514" s="5">
        <v>0</v>
      </c>
      <c r="G1514" s="5">
        <v>0</v>
      </c>
      <c r="H1514" s="10" t="s">
        <v>51</v>
      </c>
      <c r="I1514" s="10" t="s">
        <v>52</v>
      </c>
      <c r="J1514" s="10" t="s">
        <v>30</v>
      </c>
      <c r="K1514" s="10" t="s">
        <v>24</v>
      </c>
      <c r="L1514" s="10" t="s">
        <v>1972</v>
      </c>
    </row>
    <row r="1515" spans="1:12" x14ac:dyDescent="0.35">
      <c r="A1515" s="9">
        <v>1514</v>
      </c>
      <c r="B1515" s="19">
        <v>46017.394363425927</v>
      </c>
      <c r="C1515" s="20">
        <v>46017</v>
      </c>
      <c r="D1515" s="8" t="s">
        <v>394</v>
      </c>
      <c r="E1515" s="3">
        <v>0</v>
      </c>
      <c r="F1515" s="13">
        <v>11000</v>
      </c>
      <c r="G1515" s="3">
        <v>11000</v>
      </c>
      <c r="H1515" s="8" t="s">
        <v>51</v>
      </c>
      <c r="I1515" s="8" t="s">
        <v>71</v>
      </c>
      <c r="J1515" s="8" t="s">
        <v>32</v>
      </c>
      <c r="K1515" s="8" t="s">
        <v>24</v>
      </c>
      <c r="L1515" s="8" t="s">
        <v>1973</v>
      </c>
    </row>
    <row r="1516" spans="1:12" x14ac:dyDescent="0.35">
      <c r="A1516" s="11">
        <v>1515</v>
      </c>
      <c r="B1516" s="17">
        <v>46017.402789351851</v>
      </c>
      <c r="C1516" s="18">
        <v>46017</v>
      </c>
      <c r="D1516" s="10" t="s">
        <v>1974</v>
      </c>
      <c r="E1516" s="14">
        <v>6500</v>
      </c>
      <c r="F1516" s="5">
        <v>0</v>
      </c>
      <c r="G1516" s="5">
        <v>0</v>
      </c>
      <c r="H1516" s="10" t="s">
        <v>51</v>
      </c>
      <c r="I1516" s="10" t="s">
        <v>52</v>
      </c>
      <c r="J1516" s="10" t="s">
        <v>30</v>
      </c>
      <c r="K1516" s="10" t="s">
        <v>24</v>
      </c>
      <c r="L1516" s="10" t="s">
        <v>1975</v>
      </c>
    </row>
    <row r="1517" spans="1:12" x14ac:dyDescent="0.35">
      <c r="A1517" s="9">
        <v>1516</v>
      </c>
      <c r="B1517" s="19">
        <v>46017.40284722222</v>
      </c>
      <c r="C1517" s="20">
        <v>46017</v>
      </c>
      <c r="D1517" s="8" t="s">
        <v>394</v>
      </c>
      <c r="E1517" s="3">
        <v>0</v>
      </c>
      <c r="F1517" s="13">
        <v>6500</v>
      </c>
      <c r="G1517" s="3">
        <v>6500</v>
      </c>
      <c r="H1517" s="8" t="s">
        <v>51</v>
      </c>
      <c r="I1517" s="8" t="s">
        <v>71</v>
      </c>
      <c r="J1517" s="8" t="s">
        <v>32</v>
      </c>
      <c r="K1517" s="8" t="s">
        <v>24</v>
      </c>
      <c r="L1517" s="8" t="s">
        <v>1976</v>
      </c>
    </row>
    <row r="1518" spans="1:12" x14ac:dyDescent="0.35">
      <c r="A1518" s="11">
        <v>1517</v>
      </c>
      <c r="B1518" s="17">
        <v>46017.785763888889</v>
      </c>
      <c r="C1518" s="18">
        <v>46017</v>
      </c>
      <c r="D1518" s="10" t="s">
        <v>1977</v>
      </c>
      <c r="E1518" s="14">
        <v>1610</v>
      </c>
      <c r="F1518" s="5">
        <v>0</v>
      </c>
      <c r="G1518" s="5">
        <v>0</v>
      </c>
      <c r="H1518" s="10" t="s">
        <v>51</v>
      </c>
      <c r="I1518" s="10" t="s">
        <v>52</v>
      </c>
      <c r="J1518" s="10" t="s">
        <v>30</v>
      </c>
      <c r="K1518" s="10" t="s">
        <v>24</v>
      </c>
      <c r="L1518" s="10" t="s">
        <v>1978</v>
      </c>
    </row>
    <row r="1519" spans="1:12" x14ac:dyDescent="0.35">
      <c r="A1519" s="9">
        <v>1518</v>
      </c>
      <c r="B1519" s="19">
        <v>46017.785821759258</v>
      </c>
      <c r="C1519" s="20">
        <v>46017</v>
      </c>
      <c r="D1519" s="8" t="s">
        <v>394</v>
      </c>
      <c r="E1519" s="3">
        <v>0</v>
      </c>
      <c r="F1519" s="13">
        <v>1610</v>
      </c>
      <c r="G1519" s="3">
        <v>1610</v>
      </c>
      <c r="H1519" s="8" t="s">
        <v>51</v>
      </c>
      <c r="I1519" s="8" t="s">
        <v>71</v>
      </c>
      <c r="J1519" s="8" t="s">
        <v>32</v>
      </c>
      <c r="K1519" s="8" t="s">
        <v>24</v>
      </c>
      <c r="L1519" s="8" t="s">
        <v>1979</v>
      </c>
    </row>
    <row r="1520" spans="1:12" x14ac:dyDescent="0.35">
      <c r="A1520" s="11">
        <v>1519</v>
      </c>
      <c r="B1520" s="17">
        <v>46018.209201388891</v>
      </c>
      <c r="C1520" s="18">
        <v>46018</v>
      </c>
      <c r="D1520" s="10" t="s">
        <v>342</v>
      </c>
      <c r="E1520" s="14">
        <v>500</v>
      </c>
      <c r="F1520" s="5">
        <v>0</v>
      </c>
      <c r="G1520" s="5">
        <v>0</v>
      </c>
      <c r="H1520" s="10" t="s">
        <v>51</v>
      </c>
      <c r="I1520" s="10" t="s">
        <v>52</v>
      </c>
      <c r="J1520" s="10" t="s">
        <v>33</v>
      </c>
      <c r="K1520" s="10" t="s">
        <v>24</v>
      </c>
      <c r="L1520" s="10" t="s">
        <v>1980</v>
      </c>
    </row>
    <row r="1521" spans="1:12" x14ac:dyDescent="0.35">
      <c r="A1521" s="9">
        <v>1520</v>
      </c>
      <c r="B1521" s="19">
        <v>46018.20921296296</v>
      </c>
      <c r="C1521" s="20">
        <v>46018</v>
      </c>
      <c r="D1521" s="8" t="s">
        <v>394</v>
      </c>
      <c r="E1521" s="3">
        <v>0</v>
      </c>
      <c r="F1521" s="13">
        <v>500</v>
      </c>
      <c r="G1521" s="3">
        <v>500</v>
      </c>
      <c r="H1521" s="8" t="s">
        <v>51</v>
      </c>
      <c r="I1521" s="8" t="s">
        <v>71</v>
      </c>
      <c r="J1521" s="8" t="s">
        <v>32</v>
      </c>
      <c r="K1521" s="8" t="s">
        <v>24</v>
      </c>
      <c r="L1521" s="8" t="s">
        <v>1981</v>
      </c>
    </row>
    <row r="1522" spans="1:12" x14ac:dyDescent="0.35">
      <c r="A1522" s="11">
        <v>1521</v>
      </c>
      <c r="B1522" s="17">
        <v>46018.78833333333</v>
      </c>
      <c r="C1522" s="18">
        <v>46018</v>
      </c>
      <c r="D1522" s="10" t="s">
        <v>1982</v>
      </c>
      <c r="E1522" s="14">
        <v>1000</v>
      </c>
      <c r="F1522" s="5">
        <v>0</v>
      </c>
      <c r="G1522" s="5">
        <v>0</v>
      </c>
      <c r="H1522" s="10" t="s">
        <v>51</v>
      </c>
      <c r="I1522" s="10" t="s">
        <v>52</v>
      </c>
      <c r="J1522" s="10" t="s">
        <v>30</v>
      </c>
      <c r="K1522" s="10" t="s">
        <v>24</v>
      </c>
      <c r="L1522" s="10" t="s">
        <v>1983</v>
      </c>
    </row>
    <row r="1523" spans="1:12" x14ac:dyDescent="0.35">
      <c r="A1523" s="9">
        <v>1522</v>
      </c>
      <c r="B1523" s="19">
        <v>46018.78837962963</v>
      </c>
      <c r="C1523" s="20">
        <v>46018</v>
      </c>
      <c r="D1523" s="8" t="s">
        <v>394</v>
      </c>
      <c r="E1523" s="3">
        <v>0</v>
      </c>
      <c r="F1523" s="13">
        <v>1000</v>
      </c>
      <c r="G1523" s="3">
        <v>1000</v>
      </c>
      <c r="H1523" s="8" t="s">
        <v>51</v>
      </c>
      <c r="I1523" s="8" t="s">
        <v>71</v>
      </c>
      <c r="J1523" s="8" t="s">
        <v>32</v>
      </c>
      <c r="K1523" s="8" t="s">
        <v>24</v>
      </c>
      <c r="L1523" s="8" t="s">
        <v>1984</v>
      </c>
    </row>
    <row r="1524" spans="1:12" x14ac:dyDescent="0.35">
      <c r="A1524" s="11">
        <v>1523</v>
      </c>
      <c r="B1524" s="17">
        <v>46018.797754629632</v>
      </c>
      <c r="C1524" s="18">
        <v>46018</v>
      </c>
      <c r="D1524" s="10" t="s">
        <v>1985</v>
      </c>
      <c r="E1524" s="14">
        <v>1500</v>
      </c>
      <c r="F1524" s="5">
        <v>0</v>
      </c>
      <c r="G1524" s="5">
        <v>0</v>
      </c>
      <c r="H1524" s="10" t="s">
        <v>51</v>
      </c>
      <c r="I1524" s="10" t="s">
        <v>52</v>
      </c>
      <c r="J1524" s="10" t="s">
        <v>30</v>
      </c>
      <c r="K1524" s="10" t="s">
        <v>24</v>
      </c>
      <c r="L1524" s="10" t="s">
        <v>1986</v>
      </c>
    </row>
    <row r="1525" spans="1:12" x14ac:dyDescent="0.35">
      <c r="A1525" s="9">
        <v>1524</v>
      </c>
      <c r="B1525" s="19">
        <v>46018.797789351847</v>
      </c>
      <c r="C1525" s="20">
        <v>46018</v>
      </c>
      <c r="D1525" s="8" t="s">
        <v>394</v>
      </c>
      <c r="E1525" s="3">
        <v>0</v>
      </c>
      <c r="F1525" s="13">
        <v>1500</v>
      </c>
      <c r="G1525" s="3">
        <v>1500</v>
      </c>
      <c r="H1525" s="8" t="s">
        <v>51</v>
      </c>
      <c r="I1525" s="8" t="s">
        <v>71</v>
      </c>
      <c r="J1525" s="8" t="s">
        <v>32</v>
      </c>
      <c r="K1525" s="8" t="s">
        <v>24</v>
      </c>
      <c r="L1525" s="8" t="s">
        <v>1987</v>
      </c>
    </row>
    <row r="1526" spans="1:12" x14ac:dyDescent="0.35">
      <c r="A1526" s="11">
        <v>1525</v>
      </c>
      <c r="B1526" s="17">
        <v>46018.94604166667</v>
      </c>
      <c r="C1526" s="18">
        <v>46018</v>
      </c>
      <c r="D1526" s="10" t="s">
        <v>188</v>
      </c>
      <c r="E1526" s="14">
        <v>2000</v>
      </c>
      <c r="F1526" s="5">
        <v>0</v>
      </c>
      <c r="G1526" s="5">
        <v>0</v>
      </c>
      <c r="H1526" s="10" t="s">
        <v>51</v>
      </c>
      <c r="I1526" s="10" t="s">
        <v>52</v>
      </c>
      <c r="J1526" s="10" t="s">
        <v>37</v>
      </c>
      <c r="K1526" s="10" t="s">
        <v>24</v>
      </c>
      <c r="L1526" s="10" t="s">
        <v>1988</v>
      </c>
    </row>
    <row r="1527" spans="1:12" x14ac:dyDescent="0.35">
      <c r="A1527" s="9">
        <v>1526</v>
      </c>
      <c r="B1527" s="19">
        <v>46018.946087962962</v>
      </c>
      <c r="C1527" s="20">
        <v>46018</v>
      </c>
      <c r="D1527" s="8" t="s">
        <v>394</v>
      </c>
      <c r="E1527" s="3">
        <v>0</v>
      </c>
      <c r="F1527" s="13">
        <v>2000</v>
      </c>
      <c r="G1527" s="3">
        <v>2000</v>
      </c>
      <c r="H1527" s="8" t="s">
        <v>51</v>
      </c>
      <c r="I1527" s="8" t="s">
        <v>71</v>
      </c>
      <c r="J1527" s="8" t="s">
        <v>32</v>
      </c>
      <c r="K1527" s="8" t="s">
        <v>24</v>
      </c>
      <c r="L1527" s="8" t="s">
        <v>1989</v>
      </c>
    </row>
    <row r="1528" spans="1:12" x14ac:dyDescent="0.35">
      <c r="A1528" s="11">
        <v>1527</v>
      </c>
      <c r="B1528" s="17">
        <v>46019.209201388891</v>
      </c>
      <c r="C1528" s="18">
        <v>46019</v>
      </c>
      <c r="D1528" s="10" t="s">
        <v>394</v>
      </c>
      <c r="E1528" s="5">
        <v>0</v>
      </c>
      <c r="F1528" s="15">
        <v>500</v>
      </c>
      <c r="G1528" s="5">
        <v>500</v>
      </c>
      <c r="H1528" s="10" t="s">
        <v>51</v>
      </c>
      <c r="I1528" s="10" t="s">
        <v>71</v>
      </c>
      <c r="J1528" s="10" t="s">
        <v>32</v>
      </c>
      <c r="K1528" s="10" t="s">
        <v>24</v>
      </c>
      <c r="L1528" s="10" t="s">
        <v>1990</v>
      </c>
    </row>
    <row r="1529" spans="1:12" x14ac:dyDescent="0.35">
      <c r="A1529" s="9">
        <v>1528</v>
      </c>
      <c r="B1529" s="19">
        <v>46019.209201388891</v>
      </c>
      <c r="C1529" s="20">
        <v>46019</v>
      </c>
      <c r="D1529" s="8" t="s">
        <v>342</v>
      </c>
      <c r="E1529" s="12">
        <v>500</v>
      </c>
      <c r="F1529" s="3">
        <v>0</v>
      </c>
      <c r="G1529" s="3">
        <v>0</v>
      </c>
      <c r="H1529" s="8" t="s">
        <v>51</v>
      </c>
      <c r="I1529" s="8" t="s">
        <v>52</v>
      </c>
      <c r="J1529" s="8" t="s">
        <v>33</v>
      </c>
      <c r="K1529" s="8" t="s">
        <v>24</v>
      </c>
      <c r="L1529" s="8" t="s">
        <v>1991</v>
      </c>
    </row>
    <row r="1530" spans="1:12" x14ac:dyDescent="0.35">
      <c r="A1530" s="11">
        <v>1529</v>
      </c>
      <c r="B1530" s="17">
        <v>46019.610162037039</v>
      </c>
      <c r="C1530" s="18">
        <v>46019</v>
      </c>
      <c r="D1530" s="10" t="s">
        <v>1992</v>
      </c>
      <c r="E1530" s="14">
        <v>126886.46</v>
      </c>
      <c r="F1530" s="5">
        <v>0</v>
      </c>
      <c r="G1530" s="5">
        <v>0</v>
      </c>
      <c r="H1530" s="10" t="s">
        <v>51</v>
      </c>
      <c r="I1530" s="10" t="s">
        <v>52</v>
      </c>
      <c r="J1530" s="10" t="s">
        <v>34</v>
      </c>
      <c r="K1530" s="10" t="s">
        <v>24</v>
      </c>
      <c r="L1530" s="10" t="s">
        <v>1993</v>
      </c>
    </row>
    <row r="1531" spans="1:12" x14ac:dyDescent="0.35">
      <c r="A1531" s="9">
        <v>1530</v>
      </c>
      <c r="B1531" s="19">
        <v>46019.610277777778</v>
      </c>
      <c r="C1531" s="20">
        <v>46019</v>
      </c>
      <c r="D1531" s="8" t="s">
        <v>394</v>
      </c>
      <c r="E1531" s="3">
        <v>0</v>
      </c>
      <c r="F1531" s="13">
        <v>126886.46</v>
      </c>
      <c r="G1531" s="3">
        <v>126886.46</v>
      </c>
      <c r="H1531" s="8" t="s">
        <v>51</v>
      </c>
      <c r="I1531" s="8" t="s">
        <v>71</v>
      </c>
      <c r="J1531" s="8" t="s">
        <v>32</v>
      </c>
      <c r="K1531" s="8" t="s">
        <v>24</v>
      </c>
      <c r="L1531" s="8" t="s">
        <v>1994</v>
      </c>
    </row>
    <row r="1532" spans="1:12" x14ac:dyDescent="0.35">
      <c r="A1532" s="11">
        <v>1531</v>
      </c>
      <c r="B1532" s="17">
        <v>46019.73542824074</v>
      </c>
      <c r="C1532" s="18">
        <v>46019</v>
      </c>
      <c r="D1532" s="10" t="s">
        <v>1963</v>
      </c>
      <c r="E1532" s="14">
        <v>1500</v>
      </c>
      <c r="F1532" s="5">
        <v>0</v>
      </c>
      <c r="G1532" s="5">
        <v>0</v>
      </c>
      <c r="H1532" s="10" t="s">
        <v>51</v>
      </c>
      <c r="I1532" s="10" t="s">
        <v>52</v>
      </c>
      <c r="J1532" s="10" t="s">
        <v>30</v>
      </c>
      <c r="K1532" s="10" t="s">
        <v>24</v>
      </c>
      <c r="L1532" s="10" t="s">
        <v>1995</v>
      </c>
    </row>
    <row r="1533" spans="1:12" x14ac:dyDescent="0.35">
      <c r="A1533" s="9">
        <v>1532</v>
      </c>
      <c r="B1533" s="19">
        <v>46019.735509259262</v>
      </c>
      <c r="C1533" s="20">
        <v>46019</v>
      </c>
      <c r="D1533" s="8" t="s">
        <v>394</v>
      </c>
      <c r="E1533" s="3">
        <v>0</v>
      </c>
      <c r="F1533" s="13">
        <v>1500</v>
      </c>
      <c r="G1533" s="3">
        <v>1500</v>
      </c>
      <c r="H1533" s="8" t="s">
        <v>51</v>
      </c>
      <c r="I1533" s="8" t="s">
        <v>71</v>
      </c>
      <c r="J1533" s="8" t="s">
        <v>32</v>
      </c>
      <c r="K1533" s="8" t="s">
        <v>24</v>
      </c>
      <c r="L1533" s="8" t="s">
        <v>1996</v>
      </c>
    </row>
    <row r="1534" spans="1:12" x14ac:dyDescent="0.35">
      <c r="A1534" s="11">
        <v>1533</v>
      </c>
      <c r="B1534" s="17">
        <v>46020.209201388891</v>
      </c>
      <c r="C1534" s="18">
        <v>46020</v>
      </c>
      <c r="D1534" s="10" t="s">
        <v>394</v>
      </c>
      <c r="E1534" s="5">
        <v>0</v>
      </c>
      <c r="F1534" s="15">
        <v>500</v>
      </c>
      <c r="G1534" s="5">
        <v>500</v>
      </c>
      <c r="H1534" s="10" t="s">
        <v>51</v>
      </c>
      <c r="I1534" s="10" t="s">
        <v>71</v>
      </c>
      <c r="J1534" s="10" t="s">
        <v>32</v>
      </c>
      <c r="K1534" s="10" t="s">
        <v>24</v>
      </c>
      <c r="L1534" s="10" t="s">
        <v>1997</v>
      </c>
    </row>
    <row r="1535" spans="1:12" x14ac:dyDescent="0.35">
      <c r="A1535" s="9">
        <v>1534</v>
      </c>
      <c r="B1535" s="19">
        <v>46020.209201388891</v>
      </c>
      <c r="C1535" s="20">
        <v>46020</v>
      </c>
      <c r="D1535" s="8" t="s">
        <v>342</v>
      </c>
      <c r="E1535" s="12">
        <v>500</v>
      </c>
      <c r="F1535" s="3">
        <v>0</v>
      </c>
      <c r="G1535" s="3">
        <v>0</v>
      </c>
      <c r="H1535" s="8" t="s">
        <v>51</v>
      </c>
      <c r="I1535" s="8" t="s">
        <v>52</v>
      </c>
      <c r="J1535" s="8" t="s">
        <v>33</v>
      </c>
      <c r="K1535" s="8" t="s">
        <v>24</v>
      </c>
      <c r="L1535" s="8" t="s">
        <v>1998</v>
      </c>
    </row>
    <row r="1536" spans="1:12" x14ac:dyDescent="0.35">
      <c r="A1536" s="11">
        <v>1535</v>
      </c>
      <c r="B1536" s="17">
        <v>46020.438321759262</v>
      </c>
      <c r="C1536" s="18">
        <v>46020</v>
      </c>
      <c r="D1536" s="10" t="s">
        <v>1963</v>
      </c>
      <c r="E1536" s="14">
        <v>1300</v>
      </c>
      <c r="F1536" s="5">
        <v>0</v>
      </c>
      <c r="G1536" s="5">
        <v>0</v>
      </c>
      <c r="H1536" s="10" t="s">
        <v>51</v>
      </c>
      <c r="I1536" s="10" t="s">
        <v>52</v>
      </c>
      <c r="J1536" s="10" t="s">
        <v>30</v>
      </c>
      <c r="K1536" s="10" t="s">
        <v>24</v>
      </c>
      <c r="L1536" s="10" t="s">
        <v>1999</v>
      </c>
    </row>
    <row r="1537" spans="1:12" x14ac:dyDescent="0.35">
      <c r="A1537" s="9">
        <v>1536</v>
      </c>
      <c r="B1537" s="19">
        <v>46020.438391203701</v>
      </c>
      <c r="C1537" s="20">
        <v>46020</v>
      </c>
      <c r="D1537" s="8" t="s">
        <v>394</v>
      </c>
      <c r="E1537" s="3">
        <v>0</v>
      </c>
      <c r="F1537" s="13">
        <v>1300</v>
      </c>
      <c r="G1537" s="3">
        <v>1300</v>
      </c>
      <c r="H1537" s="8" t="s">
        <v>51</v>
      </c>
      <c r="I1537" s="8" t="s">
        <v>71</v>
      </c>
      <c r="J1537" s="8" t="s">
        <v>32</v>
      </c>
      <c r="K1537" s="8" t="s">
        <v>24</v>
      </c>
      <c r="L1537" s="8" t="s">
        <v>2000</v>
      </c>
    </row>
    <row r="1538" spans="1:12" x14ac:dyDescent="0.35">
      <c r="A1538" s="11">
        <v>1537</v>
      </c>
      <c r="B1538" s="17">
        <v>46020.455636574072</v>
      </c>
      <c r="C1538" s="18">
        <v>46020</v>
      </c>
      <c r="D1538" s="10" t="s">
        <v>2001</v>
      </c>
      <c r="E1538" s="14">
        <v>31500</v>
      </c>
      <c r="F1538" s="5">
        <v>0</v>
      </c>
      <c r="G1538" s="5">
        <v>0</v>
      </c>
      <c r="H1538" s="10" t="s">
        <v>51</v>
      </c>
      <c r="I1538" s="10" t="s">
        <v>52</v>
      </c>
      <c r="J1538" s="10" t="s">
        <v>30</v>
      </c>
      <c r="K1538" s="10" t="s">
        <v>24</v>
      </c>
      <c r="L1538" s="10" t="s">
        <v>2002</v>
      </c>
    </row>
    <row r="1539" spans="1:12" x14ac:dyDescent="0.35">
      <c r="A1539" s="9">
        <v>1538</v>
      </c>
      <c r="B1539" s="19">
        <v>46020.455682870372</v>
      </c>
      <c r="C1539" s="20">
        <v>46020</v>
      </c>
      <c r="D1539" s="8" t="s">
        <v>394</v>
      </c>
      <c r="E1539" s="3">
        <v>0</v>
      </c>
      <c r="F1539" s="13">
        <v>31500</v>
      </c>
      <c r="G1539" s="3">
        <v>31500</v>
      </c>
      <c r="H1539" s="8" t="s">
        <v>51</v>
      </c>
      <c r="I1539" s="8" t="s">
        <v>71</v>
      </c>
      <c r="J1539" s="8" t="s">
        <v>32</v>
      </c>
      <c r="K1539" s="8" t="s">
        <v>24</v>
      </c>
      <c r="L1539" s="8" t="s">
        <v>2003</v>
      </c>
    </row>
    <row r="1540" spans="1:12" x14ac:dyDescent="0.35">
      <c r="A1540" s="11">
        <v>1539</v>
      </c>
      <c r="B1540" s="17">
        <v>46020.826099537036</v>
      </c>
      <c r="C1540" s="18">
        <v>46020</v>
      </c>
      <c r="D1540" s="10" t="s">
        <v>394</v>
      </c>
      <c r="E1540" s="5">
        <v>0</v>
      </c>
      <c r="F1540" s="15">
        <v>10</v>
      </c>
      <c r="G1540" s="5">
        <v>10</v>
      </c>
      <c r="H1540" s="10" t="s">
        <v>51</v>
      </c>
      <c r="I1540" s="10" t="s">
        <v>71</v>
      </c>
      <c r="J1540" s="10" t="s">
        <v>32</v>
      </c>
      <c r="K1540" s="10" t="s">
        <v>24</v>
      </c>
      <c r="L1540" s="10" t="s">
        <v>2004</v>
      </c>
    </row>
    <row r="1541" spans="1:12" x14ac:dyDescent="0.35">
      <c r="A1541" s="9">
        <v>1540</v>
      </c>
      <c r="B1541" s="19">
        <v>46020.826099537036</v>
      </c>
      <c r="C1541" s="20">
        <v>46020</v>
      </c>
      <c r="D1541" s="8" t="s">
        <v>98</v>
      </c>
      <c r="E1541" s="12">
        <v>10</v>
      </c>
      <c r="F1541" s="3">
        <v>0</v>
      </c>
      <c r="G1541" s="3">
        <v>0</v>
      </c>
      <c r="H1541" s="8" t="s">
        <v>99</v>
      </c>
      <c r="I1541" s="8" t="s">
        <v>52</v>
      </c>
      <c r="J1541" s="8" t="s">
        <v>36</v>
      </c>
      <c r="K1541" s="8" t="s">
        <v>24</v>
      </c>
      <c r="L1541" s="8" t="s">
        <v>2005</v>
      </c>
    </row>
    <row r="1542" spans="1:12" x14ac:dyDescent="0.35">
      <c r="A1542" s="11">
        <v>1541</v>
      </c>
      <c r="B1542" s="17">
        <v>46020.826354166667</v>
      </c>
      <c r="C1542" s="18">
        <v>46020</v>
      </c>
      <c r="D1542" s="10" t="s">
        <v>394</v>
      </c>
      <c r="E1542" s="5">
        <v>0</v>
      </c>
      <c r="F1542" s="15">
        <v>10</v>
      </c>
      <c r="G1542" s="5">
        <v>10</v>
      </c>
      <c r="H1542" s="10" t="s">
        <v>51</v>
      </c>
      <c r="I1542" s="10" t="s">
        <v>71</v>
      </c>
      <c r="J1542" s="10" t="s">
        <v>32</v>
      </c>
      <c r="K1542" s="10" t="s">
        <v>24</v>
      </c>
      <c r="L1542" s="10" t="s">
        <v>2006</v>
      </c>
    </row>
    <row r="1543" spans="1:12" x14ac:dyDescent="0.35">
      <c r="A1543" s="9">
        <v>1542</v>
      </c>
      <c r="B1543" s="19">
        <v>46020.826354166667</v>
      </c>
      <c r="C1543" s="20">
        <v>46020</v>
      </c>
      <c r="D1543" s="8" t="s">
        <v>98</v>
      </c>
      <c r="E1543" s="12">
        <v>10</v>
      </c>
      <c r="F1543" s="3">
        <v>0</v>
      </c>
      <c r="G1543" s="3">
        <v>0</v>
      </c>
      <c r="H1543" s="8" t="s">
        <v>99</v>
      </c>
      <c r="I1543" s="8" t="s">
        <v>52</v>
      </c>
      <c r="J1543" s="8" t="s">
        <v>36</v>
      </c>
      <c r="K1543" s="8" t="s">
        <v>24</v>
      </c>
      <c r="L1543" s="8" t="s">
        <v>2007</v>
      </c>
    </row>
    <row r="1544" spans="1:12" x14ac:dyDescent="0.35">
      <c r="A1544" s="11">
        <v>1543</v>
      </c>
      <c r="B1544" s="17">
        <v>46020.975682870368</v>
      </c>
      <c r="C1544" s="18">
        <v>46020</v>
      </c>
      <c r="D1544" s="10" t="s">
        <v>188</v>
      </c>
      <c r="E1544" s="14">
        <v>2000</v>
      </c>
      <c r="F1544" s="5">
        <v>0</v>
      </c>
      <c r="G1544" s="5">
        <v>0</v>
      </c>
      <c r="H1544" s="10" t="s">
        <v>51</v>
      </c>
      <c r="I1544" s="10" t="s">
        <v>52</v>
      </c>
      <c r="J1544" s="10" t="s">
        <v>37</v>
      </c>
      <c r="K1544" s="10" t="s">
        <v>24</v>
      </c>
      <c r="L1544" s="10" t="s">
        <v>2008</v>
      </c>
    </row>
    <row r="1545" spans="1:12" x14ac:dyDescent="0.35">
      <c r="A1545" s="9">
        <v>1544</v>
      </c>
      <c r="B1545" s="19">
        <v>46020.975729166668</v>
      </c>
      <c r="C1545" s="20">
        <v>46020</v>
      </c>
      <c r="D1545" s="8" t="s">
        <v>394</v>
      </c>
      <c r="E1545" s="3">
        <v>0</v>
      </c>
      <c r="F1545" s="13">
        <v>2000</v>
      </c>
      <c r="G1545" s="3">
        <v>2000</v>
      </c>
      <c r="H1545" s="8" t="s">
        <v>51</v>
      </c>
      <c r="I1545" s="8" t="s">
        <v>71</v>
      </c>
      <c r="J1545" s="8" t="s">
        <v>32</v>
      </c>
      <c r="K1545" s="8" t="s">
        <v>24</v>
      </c>
      <c r="L1545" s="8" t="s">
        <v>2009</v>
      </c>
    </row>
    <row r="1546" spans="1:12" x14ac:dyDescent="0.35">
      <c r="A1546" s="11">
        <v>1545</v>
      </c>
      <c r="B1546" s="17">
        <v>46021.209189814806</v>
      </c>
      <c r="C1546" s="18">
        <v>46021</v>
      </c>
      <c r="D1546" s="10" t="s">
        <v>394</v>
      </c>
      <c r="E1546" s="5">
        <v>0</v>
      </c>
      <c r="F1546" s="15">
        <v>500</v>
      </c>
      <c r="G1546" s="5">
        <v>500</v>
      </c>
      <c r="H1546" s="10" t="s">
        <v>51</v>
      </c>
      <c r="I1546" s="10" t="s">
        <v>71</v>
      </c>
      <c r="J1546" s="10" t="s">
        <v>32</v>
      </c>
      <c r="K1546" s="10" t="s">
        <v>24</v>
      </c>
      <c r="L1546" s="10" t="s">
        <v>2010</v>
      </c>
    </row>
    <row r="1547" spans="1:12" x14ac:dyDescent="0.35">
      <c r="A1547" s="9">
        <v>1546</v>
      </c>
      <c r="B1547" s="19">
        <v>46021.209189814806</v>
      </c>
      <c r="C1547" s="20">
        <v>46021</v>
      </c>
      <c r="D1547" s="8" t="s">
        <v>342</v>
      </c>
      <c r="E1547" s="12">
        <v>500</v>
      </c>
      <c r="F1547" s="3">
        <v>0</v>
      </c>
      <c r="G1547" s="3">
        <v>0</v>
      </c>
      <c r="H1547" s="8" t="s">
        <v>51</v>
      </c>
      <c r="I1547" s="8" t="s">
        <v>52</v>
      </c>
      <c r="J1547" s="8" t="s">
        <v>33</v>
      </c>
      <c r="K1547" s="8" t="s">
        <v>24</v>
      </c>
      <c r="L1547" s="8" t="s">
        <v>2011</v>
      </c>
    </row>
    <row r="1548" spans="1:12" x14ac:dyDescent="0.35">
      <c r="A1548" s="11">
        <v>1547</v>
      </c>
      <c r="B1548" s="17">
        <v>46021.946087962962</v>
      </c>
      <c r="C1548" s="18">
        <v>46021</v>
      </c>
      <c r="D1548" s="10" t="s">
        <v>1963</v>
      </c>
      <c r="E1548" s="14">
        <v>600</v>
      </c>
      <c r="F1548" s="5">
        <v>0</v>
      </c>
      <c r="G1548" s="5">
        <v>0</v>
      </c>
      <c r="H1548" s="10" t="s">
        <v>51</v>
      </c>
      <c r="I1548" s="10" t="s">
        <v>52</v>
      </c>
      <c r="J1548" s="10" t="s">
        <v>30</v>
      </c>
      <c r="K1548" s="10" t="s">
        <v>24</v>
      </c>
      <c r="L1548" s="10" t="s">
        <v>2012</v>
      </c>
    </row>
    <row r="1549" spans="1:12" x14ac:dyDescent="0.35">
      <c r="A1549" s="9">
        <v>1548</v>
      </c>
      <c r="B1549" s="19">
        <v>46021.949664351851</v>
      </c>
      <c r="C1549" s="20">
        <v>46021</v>
      </c>
      <c r="D1549" s="8" t="s">
        <v>394</v>
      </c>
      <c r="E1549" s="3">
        <v>0</v>
      </c>
      <c r="F1549" s="13">
        <v>600</v>
      </c>
      <c r="G1549" s="3">
        <v>600</v>
      </c>
      <c r="H1549" s="8" t="s">
        <v>51</v>
      </c>
      <c r="I1549" s="8" t="s">
        <v>71</v>
      </c>
      <c r="J1549" s="8" t="s">
        <v>32</v>
      </c>
      <c r="K1549" s="8" t="s">
        <v>24</v>
      </c>
      <c r="L1549" s="8" t="s">
        <v>2013</v>
      </c>
    </row>
    <row r="1550" spans="1:12" x14ac:dyDescent="0.35">
      <c r="A1550" s="11">
        <v>1549</v>
      </c>
      <c r="B1550" s="17">
        <v>46022.209131944437</v>
      </c>
      <c r="C1550" s="18">
        <v>46022</v>
      </c>
      <c r="D1550" s="10" t="s">
        <v>394</v>
      </c>
      <c r="E1550" s="5">
        <v>0</v>
      </c>
      <c r="F1550" s="15">
        <v>500</v>
      </c>
      <c r="G1550" s="5">
        <v>500</v>
      </c>
      <c r="H1550" s="10" t="s">
        <v>51</v>
      </c>
      <c r="I1550" s="10" t="s">
        <v>71</v>
      </c>
      <c r="J1550" s="10" t="s">
        <v>32</v>
      </c>
      <c r="K1550" s="10" t="s">
        <v>24</v>
      </c>
      <c r="L1550" s="10" t="s">
        <v>2014</v>
      </c>
    </row>
    <row r="1551" spans="1:12" x14ac:dyDescent="0.35">
      <c r="A1551" s="9">
        <v>1550</v>
      </c>
      <c r="B1551" s="19">
        <v>46022.209131944437</v>
      </c>
      <c r="C1551" s="20">
        <v>46022</v>
      </c>
      <c r="D1551" s="8" t="s">
        <v>342</v>
      </c>
      <c r="E1551" s="12">
        <v>500</v>
      </c>
      <c r="F1551" s="3">
        <v>0</v>
      </c>
      <c r="G1551" s="3">
        <v>0</v>
      </c>
      <c r="H1551" s="8" t="s">
        <v>51</v>
      </c>
      <c r="I1551" s="8" t="s">
        <v>52</v>
      </c>
      <c r="J1551" s="8" t="s">
        <v>33</v>
      </c>
      <c r="K1551" s="8" t="s">
        <v>24</v>
      </c>
      <c r="L1551" s="8" t="s">
        <v>2015</v>
      </c>
    </row>
    <row r="1552" spans="1:12" x14ac:dyDescent="0.35">
      <c r="A1552" s="11">
        <v>1551</v>
      </c>
      <c r="B1552" s="17">
        <v>46022.902673611112</v>
      </c>
      <c r="C1552" s="18">
        <v>46022</v>
      </c>
      <c r="D1552" s="10" t="s">
        <v>394</v>
      </c>
      <c r="E1552" s="5">
        <v>0</v>
      </c>
      <c r="F1552" s="15">
        <v>10</v>
      </c>
      <c r="G1552" s="5">
        <v>10</v>
      </c>
      <c r="H1552" s="10" t="s">
        <v>51</v>
      </c>
      <c r="I1552" s="10" t="s">
        <v>71</v>
      </c>
      <c r="J1552" s="10" t="s">
        <v>32</v>
      </c>
      <c r="K1552" s="10" t="s">
        <v>24</v>
      </c>
      <c r="L1552" s="10" t="s">
        <v>2016</v>
      </c>
    </row>
    <row r="1553" spans="1:12" x14ac:dyDescent="0.35">
      <c r="A1553" s="9">
        <v>1552</v>
      </c>
      <c r="B1553" s="19">
        <v>46022.902673611112</v>
      </c>
      <c r="C1553" s="20">
        <v>46022</v>
      </c>
      <c r="D1553" s="8" t="s">
        <v>98</v>
      </c>
      <c r="E1553" s="12">
        <v>10</v>
      </c>
      <c r="F1553" s="3">
        <v>0</v>
      </c>
      <c r="G1553" s="3">
        <v>0</v>
      </c>
      <c r="H1553" s="8" t="s">
        <v>99</v>
      </c>
      <c r="I1553" s="8" t="s">
        <v>52</v>
      </c>
      <c r="J1553" s="8" t="s">
        <v>36</v>
      </c>
      <c r="K1553" s="8" t="s">
        <v>24</v>
      </c>
      <c r="L1553" s="8" t="s">
        <v>2017</v>
      </c>
    </row>
    <row r="1554" spans="1:12" x14ac:dyDescent="0.35">
      <c r="A1554" s="11">
        <v>1553</v>
      </c>
      <c r="B1554" s="17">
        <v>46023.209131944437</v>
      </c>
      <c r="C1554" s="18">
        <v>46023</v>
      </c>
      <c r="D1554" s="10" t="s">
        <v>342</v>
      </c>
      <c r="E1554" s="14">
        <v>500</v>
      </c>
      <c r="F1554" s="5">
        <v>0</v>
      </c>
      <c r="G1554" s="5">
        <v>0</v>
      </c>
      <c r="H1554" s="10" t="s">
        <v>51</v>
      </c>
      <c r="I1554" s="10" t="s">
        <v>52</v>
      </c>
      <c r="J1554" s="10" t="s">
        <v>33</v>
      </c>
      <c r="K1554" s="10" t="s">
        <v>25</v>
      </c>
      <c r="L1554" s="10" t="s">
        <v>2018</v>
      </c>
    </row>
    <row r="1555" spans="1:12" x14ac:dyDescent="0.35">
      <c r="A1555" s="9">
        <v>1554</v>
      </c>
      <c r="B1555" s="19">
        <v>46023.209143518521</v>
      </c>
      <c r="C1555" s="20">
        <v>46023</v>
      </c>
      <c r="D1555" s="8" t="s">
        <v>394</v>
      </c>
      <c r="E1555" s="3">
        <v>0</v>
      </c>
      <c r="F1555" s="13">
        <v>500</v>
      </c>
      <c r="G1555" s="3">
        <v>500</v>
      </c>
      <c r="H1555" s="8" t="s">
        <v>51</v>
      </c>
      <c r="I1555" s="8" t="s">
        <v>71</v>
      </c>
      <c r="J1555" s="8" t="s">
        <v>32</v>
      </c>
      <c r="K1555" s="8" t="s">
        <v>25</v>
      </c>
      <c r="L1555" s="8" t="s">
        <v>2019</v>
      </c>
    </row>
    <row r="1556" spans="1:12" x14ac:dyDescent="0.35">
      <c r="A1556" s="11">
        <v>1555</v>
      </c>
      <c r="B1556" s="17">
        <v>46023.612546296303</v>
      </c>
      <c r="C1556" s="18">
        <v>46023</v>
      </c>
      <c r="D1556" s="10" t="s">
        <v>1686</v>
      </c>
      <c r="E1556" s="14">
        <v>750</v>
      </c>
      <c r="F1556" s="5">
        <v>0</v>
      </c>
      <c r="G1556" s="5">
        <v>0</v>
      </c>
      <c r="H1556" s="10" t="s">
        <v>51</v>
      </c>
      <c r="I1556" s="10" t="s">
        <v>52</v>
      </c>
      <c r="J1556" s="10" t="s">
        <v>36</v>
      </c>
      <c r="K1556" s="10" t="s">
        <v>25</v>
      </c>
      <c r="L1556" s="10" t="s">
        <v>2020</v>
      </c>
    </row>
    <row r="1557" spans="1:12" x14ac:dyDescent="0.35">
      <c r="A1557" s="9">
        <v>1556</v>
      </c>
      <c r="B1557" s="19">
        <v>46023.612604166658</v>
      </c>
      <c r="C1557" s="20">
        <v>46023</v>
      </c>
      <c r="D1557" s="8" t="s">
        <v>394</v>
      </c>
      <c r="E1557" s="3">
        <v>0</v>
      </c>
      <c r="F1557" s="13">
        <v>750</v>
      </c>
      <c r="G1557" s="3">
        <v>750</v>
      </c>
      <c r="H1557" s="8" t="s">
        <v>51</v>
      </c>
      <c r="I1557" s="8" t="s">
        <v>71</v>
      </c>
      <c r="J1557" s="8" t="s">
        <v>32</v>
      </c>
      <c r="K1557" s="8" t="s">
        <v>25</v>
      </c>
      <c r="L1557" s="8" t="s">
        <v>2021</v>
      </c>
    </row>
    <row r="1558" spans="1:12" x14ac:dyDescent="0.35">
      <c r="A1558" s="11">
        <v>1557</v>
      </c>
      <c r="B1558" s="17">
        <v>46023.817094907397</v>
      </c>
      <c r="C1558" s="18">
        <v>46023</v>
      </c>
      <c r="D1558" s="10" t="s">
        <v>2022</v>
      </c>
      <c r="E1558" s="14">
        <v>4000</v>
      </c>
      <c r="F1558" s="5">
        <v>0</v>
      </c>
      <c r="G1558" s="5">
        <v>0</v>
      </c>
      <c r="H1558" s="10" t="s">
        <v>51</v>
      </c>
      <c r="I1558" s="10" t="s">
        <v>52</v>
      </c>
      <c r="J1558" s="10" t="s">
        <v>30</v>
      </c>
      <c r="K1558" s="10" t="s">
        <v>25</v>
      </c>
      <c r="L1558" s="10" t="s">
        <v>2023</v>
      </c>
    </row>
    <row r="1559" spans="1:12" x14ac:dyDescent="0.35">
      <c r="A1559" s="9">
        <v>1558</v>
      </c>
      <c r="B1559" s="19">
        <v>46023.817141203697</v>
      </c>
      <c r="C1559" s="20">
        <v>46023</v>
      </c>
      <c r="D1559" s="8" t="s">
        <v>394</v>
      </c>
      <c r="E1559" s="3">
        <v>0</v>
      </c>
      <c r="F1559" s="13">
        <v>4000</v>
      </c>
      <c r="G1559" s="3">
        <v>4000</v>
      </c>
      <c r="H1559" s="8" t="s">
        <v>51</v>
      </c>
      <c r="I1559" s="8" t="s">
        <v>71</v>
      </c>
      <c r="J1559" s="8" t="s">
        <v>32</v>
      </c>
      <c r="K1559" s="8" t="s">
        <v>25</v>
      </c>
      <c r="L1559" s="8" t="s">
        <v>2024</v>
      </c>
    </row>
    <row r="1560" spans="1:12" x14ac:dyDescent="0.35">
      <c r="A1560" s="11">
        <v>1559</v>
      </c>
      <c r="B1560" s="17">
        <v>46023.853206018517</v>
      </c>
      <c r="C1560" s="18">
        <v>46023</v>
      </c>
      <c r="D1560" s="10" t="s">
        <v>2025</v>
      </c>
      <c r="E1560" s="14">
        <v>2800</v>
      </c>
      <c r="F1560" s="5">
        <v>0</v>
      </c>
      <c r="G1560" s="5">
        <v>0</v>
      </c>
      <c r="H1560" s="10" t="s">
        <v>51</v>
      </c>
      <c r="I1560" s="10" t="s">
        <v>52</v>
      </c>
      <c r="J1560" s="10" t="s">
        <v>30</v>
      </c>
      <c r="K1560" s="10" t="s">
        <v>25</v>
      </c>
      <c r="L1560" s="10" t="s">
        <v>2026</v>
      </c>
    </row>
    <row r="1561" spans="1:12" x14ac:dyDescent="0.35">
      <c r="A1561" s="9">
        <v>1560</v>
      </c>
      <c r="B1561" s="19">
        <v>46023.853252314817</v>
      </c>
      <c r="C1561" s="20">
        <v>46023</v>
      </c>
      <c r="D1561" s="8" t="s">
        <v>394</v>
      </c>
      <c r="E1561" s="3">
        <v>0</v>
      </c>
      <c r="F1561" s="13">
        <v>2800</v>
      </c>
      <c r="G1561" s="3">
        <v>2800</v>
      </c>
      <c r="H1561" s="8" t="s">
        <v>51</v>
      </c>
      <c r="I1561" s="8" t="s">
        <v>71</v>
      </c>
      <c r="J1561" s="8" t="s">
        <v>32</v>
      </c>
      <c r="K1561" s="8" t="s">
        <v>25</v>
      </c>
      <c r="L1561" s="8" t="s">
        <v>2027</v>
      </c>
    </row>
    <row r="1562" spans="1:12" x14ac:dyDescent="0.35">
      <c r="A1562" s="11">
        <v>1561</v>
      </c>
      <c r="B1562" s="17">
        <v>46023.906990740739</v>
      </c>
      <c r="C1562" s="18">
        <v>46023</v>
      </c>
      <c r="D1562" s="10" t="s">
        <v>2028</v>
      </c>
      <c r="E1562" s="14">
        <v>10000</v>
      </c>
      <c r="F1562" s="5">
        <v>0</v>
      </c>
      <c r="G1562" s="5">
        <v>0</v>
      </c>
      <c r="H1562" s="10" t="s">
        <v>51</v>
      </c>
      <c r="I1562" s="10" t="s">
        <v>52</v>
      </c>
      <c r="J1562" s="10" t="s">
        <v>30</v>
      </c>
      <c r="K1562" s="10" t="s">
        <v>25</v>
      </c>
      <c r="L1562" s="10" t="s">
        <v>2029</v>
      </c>
    </row>
    <row r="1563" spans="1:12" x14ac:dyDescent="0.35">
      <c r="A1563" s="9">
        <v>1562</v>
      </c>
      <c r="B1563" s="19">
        <v>46023.907048611109</v>
      </c>
      <c r="C1563" s="20">
        <v>46023</v>
      </c>
      <c r="D1563" s="8" t="s">
        <v>394</v>
      </c>
      <c r="E1563" s="3">
        <v>0</v>
      </c>
      <c r="F1563" s="13">
        <v>10000</v>
      </c>
      <c r="G1563" s="3">
        <v>10000</v>
      </c>
      <c r="H1563" s="8" t="s">
        <v>51</v>
      </c>
      <c r="I1563" s="8" t="s">
        <v>71</v>
      </c>
      <c r="J1563" s="8" t="s">
        <v>32</v>
      </c>
      <c r="K1563" s="8" t="s">
        <v>25</v>
      </c>
      <c r="L1563" s="8" t="s">
        <v>2030</v>
      </c>
    </row>
    <row r="1564" spans="1:12" x14ac:dyDescent="0.35">
      <c r="A1564" s="11">
        <v>1563</v>
      </c>
      <c r="B1564" s="17">
        <v>46024.2969212963</v>
      </c>
      <c r="C1564" s="18">
        <v>46024</v>
      </c>
      <c r="D1564" s="10" t="s">
        <v>2031</v>
      </c>
      <c r="E1564" s="14">
        <v>150000</v>
      </c>
      <c r="F1564" s="5">
        <v>0</v>
      </c>
      <c r="G1564" s="5">
        <v>0</v>
      </c>
      <c r="H1564" s="10" t="s">
        <v>51</v>
      </c>
      <c r="I1564" s="10" t="s">
        <v>52</v>
      </c>
      <c r="J1564" s="10" t="s">
        <v>30</v>
      </c>
      <c r="K1564" s="10" t="s">
        <v>25</v>
      </c>
      <c r="L1564" s="10" t="s">
        <v>2032</v>
      </c>
    </row>
    <row r="1565" spans="1:12" x14ac:dyDescent="0.35">
      <c r="A1565" s="9">
        <v>1564</v>
      </c>
      <c r="B1565" s="19">
        <v>46024.296967592592</v>
      </c>
      <c r="C1565" s="20">
        <v>46024</v>
      </c>
      <c r="D1565" s="8" t="s">
        <v>394</v>
      </c>
      <c r="E1565" s="3">
        <v>0</v>
      </c>
      <c r="F1565" s="13">
        <v>150000</v>
      </c>
      <c r="G1565" s="3">
        <v>150000</v>
      </c>
      <c r="H1565" s="8" t="s">
        <v>51</v>
      </c>
      <c r="I1565" s="8" t="s">
        <v>71</v>
      </c>
      <c r="J1565" s="8" t="s">
        <v>32</v>
      </c>
      <c r="K1565" s="8" t="s">
        <v>25</v>
      </c>
      <c r="L1565" s="8" t="s">
        <v>2033</v>
      </c>
    </row>
    <row r="1566" spans="1:12" x14ac:dyDescent="0.35">
      <c r="A1566" s="11">
        <v>1565</v>
      </c>
      <c r="B1566" s="17">
        <v>46024.617881944447</v>
      </c>
      <c r="C1566" s="18">
        <v>46024</v>
      </c>
      <c r="D1566" s="10" t="s">
        <v>394</v>
      </c>
      <c r="E1566" s="5">
        <v>0</v>
      </c>
      <c r="F1566" s="15">
        <v>10</v>
      </c>
      <c r="G1566" s="5">
        <v>10</v>
      </c>
      <c r="H1566" s="10" t="s">
        <v>51</v>
      </c>
      <c r="I1566" s="10" t="s">
        <v>71</v>
      </c>
      <c r="J1566" s="10" t="s">
        <v>32</v>
      </c>
      <c r="K1566" s="10" t="s">
        <v>25</v>
      </c>
      <c r="L1566" s="10" t="s">
        <v>2034</v>
      </c>
    </row>
    <row r="1567" spans="1:12" x14ac:dyDescent="0.35">
      <c r="A1567" s="9">
        <v>1566</v>
      </c>
      <c r="B1567" s="19">
        <v>46024.617881944447</v>
      </c>
      <c r="C1567" s="20">
        <v>46024</v>
      </c>
      <c r="D1567" s="8" t="s">
        <v>98</v>
      </c>
      <c r="E1567" s="12">
        <v>10</v>
      </c>
      <c r="F1567" s="3">
        <v>0</v>
      </c>
      <c r="G1567" s="3">
        <v>0</v>
      </c>
      <c r="H1567" s="8" t="s">
        <v>99</v>
      </c>
      <c r="I1567" s="8" t="s">
        <v>52</v>
      </c>
      <c r="J1567" s="8" t="s">
        <v>36</v>
      </c>
      <c r="K1567" s="8" t="s">
        <v>25</v>
      </c>
      <c r="L1567" s="8" t="s">
        <v>2035</v>
      </c>
    </row>
    <row r="1568" spans="1:12" x14ac:dyDescent="0.35">
      <c r="A1568" s="11">
        <v>1567</v>
      </c>
      <c r="B1568" s="17">
        <v>46024.618217592593</v>
      </c>
      <c r="C1568" s="18">
        <v>46024</v>
      </c>
      <c r="D1568" s="10" t="s">
        <v>276</v>
      </c>
      <c r="E1568" s="14">
        <v>900</v>
      </c>
      <c r="F1568" s="5">
        <v>0</v>
      </c>
      <c r="G1568" s="5">
        <v>0</v>
      </c>
      <c r="H1568" s="10" t="s">
        <v>99</v>
      </c>
      <c r="I1568" s="10" t="s">
        <v>52</v>
      </c>
      <c r="J1568" s="10" t="s">
        <v>36</v>
      </c>
      <c r="K1568" s="10" t="s">
        <v>25</v>
      </c>
      <c r="L1568" s="10" t="s">
        <v>2036</v>
      </c>
    </row>
    <row r="1569" spans="1:12" x14ac:dyDescent="0.35">
      <c r="A1569" s="9">
        <v>1568</v>
      </c>
      <c r="B1569" s="19">
        <v>46024.618217592593</v>
      </c>
      <c r="C1569" s="20">
        <v>46024</v>
      </c>
      <c r="D1569" s="8" t="s">
        <v>394</v>
      </c>
      <c r="E1569" s="3">
        <v>0</v>
      </c>
      <c r="F1569" s="13">
        <v>900</v>
      </c>
      <c r="G1569" s="3">
        <v>900</v>
      </c>
      <c r="H1569" s="8" t="s">
        <v>51</v>
      </c>
      <c r="I1569" s="8" t="s">
        <v>71</v>
      </c>
      <c r="J1569" s="8" t="s">
        <v>32</v>
      </c>
      <c r="K1569" s="8" t="s">
        <v>25</v>
      </c>
      <c r="L1569" s="8" t="s">
        <v>2037</v>
      </c>
    </row>
    <row r="1570" spans="1:12" x14ac:dyDescent="0.35">
      <c r="A1570" s="11">
        <v>1569</v>
      </c>
      <c r="B1570" s="17">
        <v>46024.765543981477</v>
      </c>
      <c r="C1570" s="18">
        <v>46024</v>
      </c>
      <c r="D1570" s="10" t="s">
        <v>98</v>
      </c>
      <c r="E1570" s="14">
        <v>10</v>
      </c>
      <c r="F1570" s="5">
        <v>0</v>
      </c>
      <c r="G1570" s="5">
        <v>0</v>
      </c>
      <c r="H1570" s="10" t="s">
        <v>99</v>
      </c>
      <c r="I1570" s="10" t="s">
        <v>52</v>
      </c>
      <c r="J1570" s="10" t="s">
        <v>36</v>
      </c>
      <c r="K1570" s="10" t="s">
        <v>25</v>
      </c>
      <c r="L1570" s="10" t="s">
        <v>2038</v>
      </c>
    </row>
    <row r="1571" spans="1:12" x14ac:dyDescent="0.35">
      <c r="A1571" s="9">
        <v>1570</v>
      </c>
      <c r="B1571" s="19">
        <v>46024.765555555547</v>
      </c>
      <c r="C1571" s="20">
        <v>46024</v>
      </c>
      <c r="D1571" s="8" t="s">
        <v>394</v>
      </c>
      <c r="E1571" s="3">
        <v>0</v>
      </c>
      <c r="F1571" s="13">
        <v>10</v>
      </c>
      <c r="G1571" s="3">
        <v>10</v>
      </c>
      <c r="H1571" s="8" t="s">
        <v>51</v>
      </c>
      <c r="I1571" s="8" t="s">
        <v>71</v>
      </c>
      <c r="J1571" s="8" t="s">
        <v>32</v>
      </c>
      <c r="K1571" s="8" t="s">
        <v>25</v>
      </c>
      <c r="L1571" s="8" t="s">
        <v>2039</v>
      </c>
    </row>
    <row r="1572" spans="1:12" x14ac:dyDescent="0.35">
      <c r="A1572" s="11">
        <v>1571</v>
      </c>
      <c r="B1572" s="17">
        <v>46024.768506944441</v>
      </c>
      <c r="C1572" s="18">
        <v>46024</v>
      </c>
      <c r="D1572" s="10" t="s">
        <v>2040</v>
      </c>
      <c r="E1572" s="14">
        <v>14000</v>
      </c>
      <c r="F1572" s="5">
        <v>0</v>
      </c>
      <c r="G1572" s="5">
        <v>0</v>
      </c>
      <c r="H1572" s="10" t="s">
        <v>51</v>
      </c>
      <c r="I1572" s="10" t="s">
        <v>52</v>
      </c>
      <c r="J1572" s="10" t="s">
        <v>30</v>
      </c>
      <c r="K1572" s="10" t="s">
        <v>25</v>
      </c>
      <c r="L1572" s="10" t="s">
        <v>2041</v>
      </c>
    </row>
    <row r="1573" spans="1:12" x14ac:dyDescent="0.35">
      <c r="A1573" s="9">
        <v>1572</v>
      </c>
      <c r="B1573" s="19">
        <v>46024.768553240741</v>
      </c>
      <c r="C1573" s="20">
        <v>46024</v>
      </c>
      <c r="D1573" s="8" t="s">
        <v>394</v>
      </c>
      <c r="E1573" s="3">
        <v>0</v>
      </c>
      <c r="F1573" s="13">
        <v>14000</v>
      </c>
      <c r="G1573" s="3">
        <v>14000</v>
      </c>
      <c r="H1573" s="8" t="s">
        <v>51</v>
      </c>
      <c r="I1573" s="8" t="s">
        <v>71</v>
      </c>
      <c r="J1573" s="8" t="s">
        <v>32</v>
      </c>
      <c r="K1573" s="8" t="s">
        <v>25</v>
      </c>
      <c r="L1573" s="8" t="s">
        <v>2042</v>
      </c>
    </row>
    <row r="1574" spans="1:12" x14ac:dyDescent="0.35">
      <c r="A1574" s="11">
        <v>1573</v>
      </c>
      <c r="B1574" s="17">
        <v>46024.927893518521</v>
      </c>
      <c r="C1574" s="18">
        <v>46024</v>
      </c>
      <c r="D1574" s="10" t="s">
        <v>2043</v>
      </c>
      <c r="E1574" s="14">
        <v>1447</v>
      </c>
      <c r="F1574" s="5">
        <v>0</v>
      </c>
      <c r="G1574" s="5">
        <v>0</v>
      </c>
      <c r="H1574" s="10" t="s">
        <v>51</v>
      </c>
      <c r="I1574" s="10" t="s">
        <v>52</v>
      </c>
      <c r="J1574" s="10" t="s">
        <v>37</v>
      </c>
      <c r="K1574" s="10" t="s">
        <v>25</v>
      </c>
      <c r="L1574" s="10" t="s">
        <v>2044</v>
      </c>
    </row>
    <row r="1575" spans="1:12" x14ac:dyDescent="0.35">
      <c r="A1575" s="9">
        <v>1574</v>
      </c>
      <c r="B1575" s="19">
        <v>46024.92796296296</v>
      </c>
      <c r="C1575" s="20">
        <v>46024</v>
      </c>
      <c r="D1575" s="8" t="s">
        <v>394</v>
      </c>
      <c r="E1575" s="3">
        <v>0</v>
      </c>
      <c r="F1575" s="13">
        <v>1447</v>
      </c>
      <c r="G1575" s="3">
        <v>1447</v>
      </c>
      <c r="H1575" s="8" t="s">
        <v>51</v>
      </c>
      <c r="I1575" s="8" t="s">
        <v>71</v>
      </c>
      <c r="J1575" s="8" t="s">
        <v>32</v>
      </c>
      <c r="K1575" s="8" t="s">
        <v>25</v>
      </c>
      <c r="L1575" s="8" t="s">
        <v>2045</v>
      </c>
    </row>
    <row r="1576" spans="1:12" x14ac:dyDescent="0.35">
      <c r="A1576" s="11">
        <v>1575</v>
      </c>
      <c r="B1576" s="17">
        <v>46025.439641203702</v>
      </c>
      <c r="C1576" s="18">
        <v>46025</v>
      </c>
      <c r="D1576" s="10" t="s">
        <v>276</v>
      </c>
      <c r="E1576" s="14">
        <v>870</v>
      </c>
      <c r="F1576" s="5">
        <v>0</v>
      </c>
      <c r="G1576" s="5">
        <v>0</v>
      </c>
      <c r="H1576" s="10" t="s">
        <v>51</v>
      </c>
      <c r="I1576" s="10" t="s">
        <v>52</v>
      </c>
      <c r="J1576" s="10" t="s">
        <v>36</v>
      </c>
      <c r="K1576" s="10" t="s">
        <v>25</v>
      </c>
      <c r="L1576" s="10" t="s">
        <v>2046</v>
      </c>
    </row>
    <row r="1577" spans="1:12" x14ac:dyDescent="0.35">
      <c r="A1577" s="9">
        <v>1576</v>
      </c>
      <c r="B1577" s="19">
        <v>46025.439722222232</v>
      </c>
      <c r="C1577" s="20">
        <v>46025</v>
      </c>
      <c r="D1577" s="8" t="s">
        <v>394</v>
      </c>
      <c r="E1577" s="3">
        <v>0</v>
      </c>
      <c r="F1577" s="13">
        <v>870</v>
      </c>
      <c r="G1577" s="3">
        <v>870</v>
      </c>
      <c r="H1577" s="8" t="s">
        <v>51</v>
      </c>
      <c r="I1577" s="8" t="s">
        <v>71</v>
      </c>
      <c r="J1577" s="8" t="s">
        <v>32</v>
      </c>
      <c r="K1577" s="8" t="s">
        <v>25</v>
      </c>
      <c r="L1577" s="8" t="s">
        <v>2047</v>
      </c>
    </row>
    <row r="1578" spans="1:12" x14ac:dyDescent="0.35">
      <c r="A1578" s="11">
        <v>1577</v>
      </c>
      <c r="B1578" s="17">
        <v>46025.806932870371</v>
      </c>
      <c r="C1578" s="18">
        <v>46025</v>
      </c>
      <c r="D1578" s="10" t="s">
        <v>2048</v>
      </c>
      <c r="E1578" s="14">
        <v>3400</v>
      </c>
      <c r="F1578" s="5">
        <v>0</v>
      </c>
      <c r="G1578" s="5">
        <v>0</v>
      </c>
      <c r="H1578" s="10" t="s">
        <v>33</v>
      </c>
      <c r="I1578" s="10" t="s">
        <v>52</v>
      </c>
      <c r="J1578" s="10" t="s">
        <v>34</v>
      </c>
      <c r="K1578" s="10" t="s">
        <v>25</v>
      </c>
      <c r="L1578" s="10" t="s">
        <v>2049</v>
      </c>
    </row>
    <row r="1579" spans="1:12" x14ac:dyDescent="0.35">
      <c r="A1579" s="9">
        <v>1578</v>
      </c>
      <c r="B1579" s="19">
        <v>46025.806932870371</v>
      </c>
      <c r="C1579" s="20">
        <v>46025</v>
      </c>
      <c r="D1579" s="8" t="s">
        <v>394</v>
      </c>
      <c r="E1579" s="3">
        <v>0</v>
      </c>
      <c r="F1579" s="13">
        <v>3400</v>
      </c>
      <c r="G1579" s="3">
        <v>3400</v>
      </c>
      <c r="H1579" s="8" t="s">
        <v>51</v>
      </c>
      <c r="I1579" s="8" t="s">
        <v>71</v>
      </c>
      <c r="J1579" s="8" t="s">
        <v>32</v>
      </c>
      <c r="K1579" s="8" t="s">
        <v>25</v>
      </c>
      <c r="L1579" s="8" t="s">
        <v>2050</v>
      </c>
    </row>
    <row r="1580" spans="1:12" x14ac:dyDescent="0.35">
      <c r="A1580" s="11">
        <v>1579</v>
      </c>
      <c r="B1580" s="17">
        <v>46027.301550925928</v>
      </c>
      <c r="C1580" s="18">
        <v>46027</v>
      </c>
      <c r="D1580" s="10" t="s">
        <v>384</v>
      </c>
      <c r="E1580" s="14">
        <v>5000</v>
      </c>
      <c r="F1580" s="5">
        <v>0</v>
      </c>
      <c r="G1580" s="5">
        <v>0</v>
      </c>
      <c r="H1580" s="10" t="s">
        <v>51</v>
      </c>
      <c r="I1580" s="10" t="s">
        <v>52</v>
      </c>
      <c r="J1580" s="10" t="s">
        <v>30</v>
      </c>
      <c r="K1580" s="10" t="s">
        <v>25</v>
      </c>
      <c r="L1580" s="10" t="s">
        <v>2051</v>
      </c>
    </row>
    <row r="1581" spans="1:12" x14ac:dyDescent="0.35">
      <c r="A1581" s="9">
        <v>1580</v>
      </c>
      <c r="B1581" s="19">
        <v>46027.30159722222</v>
      </c>
      <c r="C1581" s="20">
        <v>46027</v>
      </c>
      <c r="D1581" s="8" t="s">
        <v>394</v>
      </c>
      <c r="E1581" s="3">
        <v>0</v>
      </c>
      <c r="F1581" s="13">
        <v>5000</v>
      </c>
      <c r="G1581" s="3">
        <v>5000</v>
      </c>
      <c r="H1581" s="8" t="s">
        <v>51</v>
      </c>
      <c r="I1581" s="8" t="s">
        <v>71</v>
      </c>
      <c r="J1581" s="8" t="s">
        <v>32</v>
      </c>
      <c r="K1581" s="8" t="s">
        <v>25</v>
      </c>
      <c r="L1581" s="8" t="s">
        <v>2052</v>
      </c>
    </row>
    <row r="1582" spans="1:12" x14ac:dyDescent="0.35">
      <c r="A1582" s="11">
        <v>1581</v>
      </c>
      <c r="B1582" s="17">
        <v>46027.526006944441</v>
      </c>
      <c r="C1582" s="18">
        <v>46027</v>
      </c>
      <c r="D1582" s="10" t="s">
        <v>394</v>
      </c>
      <c r="E1582" s="5">
        <v>0</v>
      </c>
      <c r="F1582" s="15">
        <v>10</v>
      </c>
      <c r="G1582" s="5">
        <v>10</v>
      </c>
      <c r="H1582" s="10" t="s">
        <v>51</v>
      </c>
      <c r="I1582" s="10" t="s">
        <v>71</v>
      </c>
      <c r="J1582" s="10" t="s">
        <v>32</v>
      </c>
      <c r="K1582" s="10" t="s">
        <v>25</v>
      </c>
      <c r="L1582" s="10" t="s">
        <v>2053</v>
      </c>
    </row>
    <row r="1583" spans="1:12" x14ac:dyDescent="0.35">
      <c r="A1583" s="9">
        <v>1582</v>
      </c>
      <c r="B1583" s="19">
        <v>46027.526006944441</v>
      </c>
      <c r="C1583" s="20">
        <v>46027</v>
      </c>
      <c r="D1583" s="8" t="s">
        <v>98</v>
      </c>
      <c r="E1583" s="12">
        <v>10</v>
      </c>
      <c r="F1583" s="3">
        <v>0</v>
      </c>
      <c r="G1583" s="3">
        <v>0</v>
      </c>
      <c r="H1583" s="8" t="s">
        <v>99</v>
      </c>
      <c r="I1583" s="8" t="s">
        <v>52</v>
      </c>
      <c r="J1583" s="8" t="s">
        <v>36</v>
      </c>
      <c r="K1583" s="8" t="s">
        <v>25</v>
      </c>
      <c r="L1583" s="8" t="s">
        <v>2054</v>
      </c>
    </row>
    <row r="1584" spans="1:12" x14ac:dyDescent="0.35">
      <c r="A1584" s="11">
        <v>1583</v>
      </c>
      <c r="B1584" s="17">
        <v>46027.526087962957</v>
      </c>
      <c r="C1584" s="18">
        <v>46027</v>
      </c>
      <c r="D1584" s="10" t="s">
        <v>98</v>
      </c>
      <c r="E1584" s="14">
        <v>10</v>
      </c>
      <c r="F1584" s="5">
        <v>0</v>
      </c>
      <c r="G1584" s="5">
        <v>0</v>
      </c>
      <c r="H1584" s="10" t="s">
        <v>99</v>
      </c>
      <c r="I1584" s="10" t="s">
        <v>52</v>
      </c>
      <c r="J1584" s="10" t="s">
        <v>36</v>
      </c>
      <c r="K1584" s="10" t="s">
        <v>25</v>
      </c>
      <c r="L1584" s="10" t="s">
        <v>2055</v>
      </c>
    </row>
    <row r="1585" spans="1:12" x14ac:dyDescent="0.35">
      <c r="A1585" s="9">
        <v>1584</v>
      </c>
      <c r="B1585" s="19">
        <v>46027.526099537034</v>
      </c>
      <c r="C1585" s="20">
        <v>46027</v>
      </c>
      <c r="D1585" s="8" t="s">
        <v>394</v>
      </c>
      <c r="E1585" s="3">
        <v>0</v>
      </c>
      <c r="F1585" s="13">
        <v>10</v>
      </c>
      <c r="G1585" s="3">
        <v>10</v>
      </c>
      <c r="H1585" s="8" t="s">
        <v>51</v>
      </c>
      <c r="I1585" s="8" t="s">
        <v>71</v>
      </c>
      <c r="J1585" s="8" t="s">
        <v>32</v>
      </c>
      <c r="K1585" s="8" t="s">
        <v>25</v>
      </c>
      <c r="L1585" s="8" t="s">
        <v>2056</v>
      </c>
    </row>
    <row r="1586" spans="1:12" x14ac:dyDescent="0.35">
      <c r="A1586" s="11">
        <v>1585</v>
      </c>
      <c r="B1586" s="17">
        <v>46027.526504629634</v>
      </c>
      <c r="C1586" s="18">
        <v>46027</v>
      </c>
      <c r="D1586" s="10" t="s">
        <v>2057</v>
      </c>
      <c r="E1586" s="14">
        <v>8000</v>
      </c>
      <c r="F1586" s="5">
        <v>0</v>
      </c>
      <c r="G1586" s="5">
        <v>0</v>
      </c>
      <c r="H1586" s="10" t="s">
        <v>99</v>
      </c>
      <c r="I1586" s="10" t="s">
        <v>52</v>
      </c>
      <c r="J1586" s="10" t="s">
        <v>30</v>
      </c>
      <c r="K1586" s="10" t="s">
        <v>25</v>
      </c>
      <c r="L1586" s="10" t="s">
        <v>2058</v>
      </c>
    </row>
    <row r="1587" spans="1:12" x14ac:dyDescent="0.35">
      <c r="A1587" s="9">
        <v>1586</v>
      </c>
      <c r="B1587" s="19">
        <v>46027.526516203703</v>
      </c>
      <c r="C1587" s="20">
        <v>46027</v>
      </c>
      <c r="D1587" s="8" t="s">
        <v>394</v>
      </c>
      <c r="E1587" s="3">
        <v>0</v>
      </c>
      <c r="F1587" s="13">
        <v>8000</v>
      </c>
      <c r="G1587" s="3">
        <v>8000</v>
      </c>
      <c r="H1587" s="8" t="s">
        <v>51</v>
      </c>
      <c r="I1587" s="8" t="s">
        <v>71</v>
      </c>
      <c r="J1587" s="8" t="s">
        <v>32</v>
      </c>
      <c r="K1587" s="8" t="s">
        <v>25</v>
      </c>
      <c r="L1587" s="8" t="s">
        <v>2059</v>
      </c>
    </row>
    <row r="1588" spans="1:12" x14ac:dyDescent="0.35">
      <c r="A1588" s="11">
        <v>1587</v>
      </c>
      <c r="B1588" s="17">
        <v>46027.564965277779</v>
      </c>
      <c r="C1588" s="18">
        <v>46027</v>
      </c>
      <c r="D1588" s="10" t="s">
        <v>1686</v>
      </c>
      <c r="E1588" s="14">
        <v>750</v>
      </c>
      <c r="F1588" s="5">
        <v>0</v>
      </c>
      <c r="G1588" s="5">
        <v>0</v>
      </c>
      <c r="H1588" s="10" t="s">
        <v>51</v>
      </c>
      <c r="I1588" s="10" t="s">
        <v>52</v>
      </c>
      <c r="J1588" s="10" t="s">
        <v>36</v>
      </c>
      <c r="K1588" s="10" t="s">
        <v>25</v>
      </c>
      <c r="L1588" s="10" t="s">
        <v>2060</v>
      </c>
    </row>
    <row r="1589" spans="1:12" x14ac:dyDescent="0.35">
      <c r="A1589" s="9">
        <v>1588</v>
      </c>
      <c r="B1589" s="19">
        <v>46027.565011574072</v>
      </c>
      <c r="C1589" s="20">
        <v>46027</v>
      </c>
      <c r="D1589" s="8" t="s">
        <v>394</v>
      </c>
      <c r="E1589" s="3">
        <v>0</v>
      </c>
      <c r="F1589" s="13">
        <v>750</v>
      </c>
      <c r="G1589" s="3">
        <v>750</v>
      </c>
      <c r="H1589" s="8" t="s">
        <v>51</v>
      </c>
      <c r="I1589" s="8" t="s">
        <v>71</v>
      </c>
      <c r="J1589" s="8" t="s">
        <v>32</v>
      </c>
      <c r="K1589" s="8" t="s">
        <v>25</v>
      </c>
      <c r="L1589" s="8" t="s">
        <v>2061</v>
      </c>
    </row>
    <row r="1590" spans="1:12" x14ac:dyDescent="0.35">
      <c r="A1590" s="11">
        <v>1589</v>
      </c>
      <c r="B1590" s="17">
        <v>46027.624606481477</v>
      </c>
      <c r="C1590" s="18">
        <v>46027</v>
      </c>
      <c r="D1590" s="10" t="s">
        <v>2062</v>
      </c>
      <c r="E1590" s="14">
        <v>4300</v>
      </c>
      <c r="F1590" s="5">
        <v>0</v>
      </c>
      <c r="G1590" s="5">
        <v>0</v>
      </c>
      <c r="H1590" s="10" t="s">
        <v>33</v>
      </c>
      <c r="I1590" s="10" t="s">
        <v>52</v>
      </c>
      <c r="J1590" s="10" t="s">
        <v>34</v>
      </c>
      <c r="K1590" s="10" t="s">
        <v>25</v>
      </c>
      <c r="L1590" s="10" t="s">
        <v>2063</v>
      </c>
    </row>
    <row r="1591" spans="1:12" x14ac:dyDescent="0.35">
      <c r="A1591" s="9">
        <v>1590</v>
      </c>
      <c r="B1591" s="19">
        <v>46027.624606481477</v>
      </c>
      <c r="C1591" s="20">
        <v>46027</v>
      </c>
      <c r="D1591" s="8" t="s">
        <v>394</v>
      </c>
      <c r="E1591" s="3">
        <v>0</v>
      </c>
      <c r="F1591" s="13">
        <v>4300</v>
      </c>
      <c r="G1591" s="3">
        <v>4300</v>
      </c>
      <c r="H1591" s="8" t="s">
        <v>51</v>
      </c>
      <c r="I1591" s="8" t="s">
        <v>71</v>
      </c>
      <c r="J1591" s="8" t="s">
        <v>32</v>
      </c>
      <c r="K1591" s="8" t="s">
        <v>25</v>
      </c>
      <c r="L1591" s="8" t="s">
        <v>2064</v>
      </c>
    </row>
    <row r="1592" spans="1:12" x14ac:dyDescent="0.35">
      <c r="A1592" s="11">
        <v>1591</v>
      </c>
      <c r="B1592" s="17">
        <v>46028.466273148151</v>
      </c>
      <c r="C1592" s="18">
        <v>46028</v>
      </c>
      <c r="D1592" s="10" t="s">
        <v>2065</v>
      </c>
      <c r="E1592" s="14">
        <v>5000</v>
      </c>
      <c r="F1592" s="5">
        <v>0</v>
      </c>
      <c r="G1592" s="5">
        <v>0</v>
      </c>
      <c r="H1592" s="10" t="s">
        <v>51</v>
      </c>
      <c r="I1592" s="10" t="s">
        <v>52</v>
      </c>
      <c r="J1592" s="10" t="s">
        <v>30</v>
      </c>
      <c r="K1592" s="10" t="s">
        <v>25</v>
      </c>
      <c r="L1592" s="10" t="s">
        <v>2066</v>
      </c>
    </row>
    <row r="1593" spans="1:12" x14ac:dyDescent="0.35">
      <c r="A1593" s="9">
        <v>1592</v>
      </c>
      <c r="B1593" s="19">
        <v>46028.466319444437</v>
      </c>
      <c r="C1593" s="20">
        <v>46028</v>
      </c>
      <c r="D1593" s="8" t="s">
        <v>394</v>
      </c>
      <c r="E1593" s="3">
        <v>0</v>
      </c>
      <c r="F1593" s="13">
        <v>5000</v>
      </c>
      <c r="G1593" s="3">
        <v>5000</v>
      </c>
      <c r="H1593" s="8" t="s">
        <v>51</v>
      </c>
      <c r="I1593" s="8" t="s">
        <v>71</v>
      </c>
      <c r="J1593" s="8" t="s">
        <v>32</v>
      </c>
      <c r="K1593" s="8" t="s">
        <v>25</v>
      </c>
      <c r="L1593" s="8" t="s">
        <v>2067</v>
      </c>
    </row>
    <row r="1594" spans="1:12" x14ac:dyDescent="0.35">
      <c r="A1594" s="11">
        <v>1593</v>
      </c>
      <c r="B1594" s="17">
        <v>46028.479039351849</v>
      </c>
      <c r="C1594" s="18">
        <v>46028</v>
      </c>
      <c r="D1594" s="10" t="s">
        <v>188</v>
      </c>
      <c r="E1594" s="14">
        <v>1000</v>
      </c>
      <c r="F1594" s="5">
        <v>0</v>
      </c>
      <c r="G1594" s="5">
        <v>0</v>
      </c>
      <c r="H1594" s="10" t="s">
        <v>51</v>
      </c>
      <c r="I1594" s="10" t="s">
        <v>52</v>
      </c>
      <c r="J1594" s="10" t="s">
        <v>37</v>
      </c>
      <c r="K1594" s="10" t="s">
        <v>25</v>
      </c>
      <c r="L1594" s="10" t="s">
        <v>2068</v>
      </c>
    </row>
    <row r="1595" spans="1:12" x14ac:dyDescent="0.35">
      <c r="A1595" s="9">
        <v>1594</v>
      </c>
      <c r="B1595" s="19">
        <v>46028.479108796288</v>
      </c>
      <c r="C1595" s="20">
        <v>46028</v>
      </c>
      <c r="D1595" s="8" t="s">
        <v>394</v>
      </c>
      <c r="E1595" s="3">
        <v>0</v>
      </c>
      <c r="F1595" s="13">
        <v>1000</v>
      </c>
      <c r="G1595" s="3">
        <v>1000</v>
      </c>
      <c r="H1595" s="8" t="s">
        <v>51</v>
      </c>
      <c r="I1595" s="8" t="s">
        <v>71</v>
      </c>
      <c r="J1595" s="8" t="s">
        <v>32</v>
      </c>
      <c r="K1595" s="8" t="s">
        <v>25</v>
      </c>
      <c r="L1595" s="8" t="s">
        <v>2069</v>
      </c>
    </row>
    <row r="1596" spans="1:12" x14ac:dyDescent="0.35">
      <c r="A1596" s="11">
        <v>1595</v>
      </c>
      <c r="B1596" s="17">
        <v>46028.577245370368</v>
      </c>
      <c r="C1596" s="18">
        <v>46028</v>
      </c>
      <c r="D1596" s="10" t="s">
        <v>98</v>
      </c>
      <c r="E1596" s="14">
        <v>10</v>
      </c>
      <c r="F1596" s="5">
        <v>0</v>
      </c>
      <c r="G1596" s="5">
        <v>0</v>
      </c>
      <c r="H1596" s="10" t="s">
        <v>99</v>
      </c>
      <c r="I1596" s="10" t="s">
        <v>52</v>
      </c>
      <c r="J1596" s="10" t="s">
        <v>36</v>
      </c>
      <c r="K1596" s="10" t="s">
        <v>25</v>
      </c>
      <c r="L1596" s="10" t="s">
        <v>2070</v>
      </c>
    </row>
    <row r="1597" spans="1:12" x14ac:dyDescent="0.35">
      <c r="A1597" s="9">
        <v>1596</v>
      </c>
      <c r="B1597" s="19">
        <v>46028.577256944453</v>
      </c>
      <c r="C1597" s="20">
        <v>46028</v>
      </c>
      <c r="D1597" s="8" t="s">
        <v>394</v>
      </c>
      <c r="E1597" s="3">
        <v>0</v>
      </c>
      <c r="F1597" s="13">
        <v>10</v>
      </c>
      <c r="G1597" s="3">
        <v>10</v>
      </c>
      <c r="H1597" s="8" t="s">
        <v>51</v>
      </c>
      <c r="I1597" s="8" t="s">
        <v>71</v>
      </c>
      <c r="J1597" s="8" t="s">
        <v>32</v>
      </c>
      <c r="K1597" s="8" t="s">
        <v>25</v>
      </c>
      <c r="L1597" s="8" t="s">
        <v>2071</v>
      </c>
    </row>
    <row r="1598" spans="1:12" x14ac:dyDescent="0.35">
      <c r="A1598" s="11">
        <v>1597</v>
      </c>
      <c r="B1598" s="17">
        <v>46028.577361111107</v>
      </c>
      <c r="C1598" s="18">
        <v>46028</v>
      </c>
      <c r="D1598" s="10" t="s">
        <v>394</v>
      </c>
      <c r="E1598" s="5">
        <v>0</v>
      </c>
      <c r="F1598" s="15">
        <v>10</v>
      </c>
      <c r="G1598" s="5">
        <v>10</v>
      </c>
      <c r="H1598" s="10" t="s">
        <v>51</v>
      </c>
      <c r="I1598" s="10" t="s">
        <v>71</v>
      </c>
      <c r="J1598" s="10" t="s">
        <v>32</v>
      </c>
      <c r="K1598" s="10" t="s">
        <v>25</v>
      </c>
      <c r="L1598" s="10" t="s">
        <v>2072</v>
      </c>
    </row>
    <row r="1599" spans="1:12" x14ac:dyDescent="0.35">
      <c r="A1599" s="9">
        <v>1598</v>
      </c>
      <c r="B1599" s="19">
        <v>46028.577361111107</v>
      </c>
      <c r="C1599" s="20">
        <v>46028</v>
      </c>
      <c r="D1599" s="8" t="s">
        <v>98</v>
      </c>
      <c r="E1599" s="12">
        <v>10</v>
      </c>
      <c r="F1599" s="3">
        <v>0</v>
      </c>
      <c r="G1599" s="3">
        <v>0</v>
      </c>
      <c r="H1599" s="8" t="s">
        <v>99</v>
      </c>
      <c r="I1599" s="8" t="s">
        <v>52</v>
      </c>
      <c r="J1599" s="8" t="s">
        <v>36</v>
      </c>
      <c r="K1599" s="8" t="s">
        <v>25</v>
      </c>
      <c r="L1599" s="8" t="s">
        <v>2073</v>
      </c>
    </row>
    <row r="1600" spans="1:12" x14ac:dyDescent="0.35">
      <c r="A1600" s="11">
        <v>1599</v>
      </c>
      <c r="B1600" s="17">
        <v>46028.577662037038</v>
      </c>
      <c r="C1600" s="18">
        <v>46028</v>
      </c>
      <c r="D1600" s="10" t="s">
        <v>276</v>
      </c>
      <c r="E1600" s="14">
        <v>900</v>
      </c>
      <c r="F1600" s="5">
        <v>0</v>
      </c>
      <c r="G1600" s="5">
        <v>0</v>
      </c>
      <c r="H1600" s="10" t="s">
        <v>99</v>
      </c>
      <c r="I1600" s="10" t="s">
        <v>52</v>
      </c>
      <c r="J1600" s="10" t="s">
        <v>36</v>
      </c>
      <c r="K1600" s="10" t="s">
        <v>25</v>
      </c>
      <c r="L1600" s="10" t="s">
        <v>2074</v>
      </c>
    </row>
    <row r="1601" spans="1:12" x14ac:dyDescent="0.35">
      <c r="A1601" s="9">
        <v>1600</v>
      </c>
      <c r="B1601" s="19">
        <v>46028.577662037038</v>
      </c>
      <c r="C1601" s="20">
        <v>46028</v>
      </c>
      <c r="D1601" s="8" t="s">
        <v>394</v>
      </c>
      <c r="E1601" s="3">
        <v>0</v>
      </c>
      <c r="F1601" s="13">
        <v>900</v>
      </c>
      <c r="G1601" s="3">
        <v>900</v>
      </c>
      <c r="H1601" s="8" t="s">
        <v>51</v>
      </c>
      <c r="I1601" s="8" t="s">
        <v>71</v>
      </c>
      <c r="J1601" s="8" t="s">
        <v>32</v>
      </c>
      <c r="K1601" s="8" t="s">
        <v>25</v>
      </c>
      <c r="L1601" s="8" t="s">
        <v>2075</v>
      </c>
    </row>
    <row r="1602" spans="1:12" x14ac:dyDescent="0.35">
      <c r="A1602" s="11">
        <v>1601</v>
      </c>
      <c r="B1602" s="17">
        <v>46028.614583333343</v>
      </c>
      <c r="C1602" s="18">
        <v>46028</v>
      </c>
      <c r="D1602" s="10" t="s">
        <v>2076</v>
      </c>
      <c r="E1602" s="14">
        <v>18938</v>
      </c>
      <c r="F1602" s="5">
        <v>0</v>
      </c>
      <c r="G1602" s="5">
        <v>0</v>
      </c>
      <c r="H1602" s="10" t="s">
        <v>51</v>
      </c>
      <c r="I1602" s="10" t="s">
        <v>52</v>
      </c>
      <c r="J1602" s="10" t="s">
        <v>36</v>
      </c>
      <c r="K1602" s="10" t="s">
        <v>25</v>
      </c>
      <c r="L1602" s="10" t="s">
        <v>2077</v>
      </c>
    </row>
    <row r="1603" spans="1:12" x14ac:dyDescent="0.35">
      <c r="A1603" s="9">
        <v>1602</v>
      </c>
      <c r="B1603" s="19">
        <v>46028.614652777767</v>
      </c>
      <c r="C1603" s="20">
        <v>46028</v>
      </c>
      <c r="D1603" s="8" t="s">
        <v>394</v>
      </c>
      <c r="E1603" s="3">
        <v>0</v>
      </c>
      <c r="F1603" s="13">
        <v>18938</v>
      </c>
      <c r="G1603" s="3">
        <v>18938</v>
      </c>
      <c r="H1603" s="8" t="s">
        <v>51</v>
      </c>
      <c r="I1603" s="8" t="s">
        <v>71</v>
      </c>
      <c r="J1603" s="8" t="s">
        <v>32</v>
      </c>
      <c r="K1603" s="8" t="s">
        <v>25</v>
      </c>
      <c r="L1603" s="8" t="s">
        <v>2078</v>
      </c>
    </row>
    <row r="1604" spans="1:12" x14ac:dyDescent="0.35">
      <c r="A1604" s="11">
        <v>1603</v>
      </c>
      <c r="B1604" s="17">
        <v>46028.637094907397</v>
      </c>
      <c r="C1604" s="18">
        <v>46028</v>
      </c>
      <c r="D1604" s="10" t="s">
        <v>2079</v>
      </c>
      <c r="E1604" s="14">
        <v>6000</v>
      </c>
      <c r="F1604" s="5">
        <v>0</v>
      </c>
      <c r="G1604" s="5">
        <v>0</v>
      </c>
      <c r="H1604" s="10" t="s">
        <v>328</v>
      </c>
      <c r="I1604" s="10" t="s">
        <v>52</v>
      </c>
      <c r="J1604" s="10" t="s">
        <v>36</v>
      </c>
      <c r="K1604" s="10" t="s">
        <v>25</v>
      </c>
      <c r="L1604" s="10" t="s">
        <v>2080</v>
      </c>
    </row>
    <row r="1605" spans="1:12" x14ac:dyDescent="0.35">
      <c r="A1605" s="9">
        <v>1604</v>
      </c>
      <c r="B1605" s="19">
        <v>46028.637372685182</v>
      </c>
      <c r="C1605" s="20">
        <v>46028</v>
      </c>
      <c r="D1605" s="8" t="s">
        <v>394</v>
      </c>
      <c r="E1605" s="3">
        <v>0</v>
      </c>
      <c r="F1605" s="13">
        <v>6000</v>
      </c>
      <c r="G1605" s="3">
        <v>6000</v>
      </c>
      <c r="H1605" s="8" t="s">
        <v>51</v>
      </c>
      <c r="I1605" s="8" t="s">
        <v>71</v>
      </c>
      <c r="J1605" s="8" t="s">
        <v>32</v>
      </c>
      <c r="K1605" s="8" t="s">
        <v>25</v>
      </c>
      <c r="L1605" s="8" t="s">
        <v>2081</v>
      </c>
    </row>
    <row r="1606" spans="1:12" x14ac:dyDescent="0.35">
      <c r="A1606" s="11">
        <v>1605</v>
      </c>
      <c r="B1606" s="17">
        <v>46029.739988425928</v>
      </c>
      <c r="C1606" s="18">
        <v>46029</v>
      </c>
      <c r="D1606" s="10" t="s">
        <v>394</v>
      </c>
      <c r="E1606" s="5">
        <v>0</v>
      </c>
      <c r="F1606" s="15">
        <v>10</v>
      </c>
      <c r="G1606" s="5">
        <v>10</v>
      </c>
      <c r="H1606" s="10" t="s">
        <v>51</v>
      </c>
      <c r="I1606" s="10" t="s">
        <v>71</v>
      </c>
      <c r="J1606" s="10" t="s">
        <v>32</v>
      </c>
      <c r="K1606" s="10" t="s">
        <v>25</v>
      </c>
      <c r="L1606" s="10" t="s">
        <v>2082</v>
      </c>
    </row>
    <row r="1607" spans="1:12" x14ac:dyDescent="0.35">
      <c r="A1607" s="9">
        <v>1606</v>
      </c>
      <c r="B1607" s="19">
        <v>46029.739988425928</v>
      </c>
      <c r="C1607" s="20">
        <v>46029</v>
      </c>
      <c r="D1607" s="8" t="s">
        <v>98</v>
      </c>
      <c r="E1607" s="12">
        <v>10</v>
      </c>
      <c r="F1607" s="3">
        <v>0</v>
      </c>
      <c r="G1607" s="3">
        <v>0</v>
      </c>
      <c r="H1607" s="8" t="s">
        <v>99</v>
      </c>
      <c r="I1607" s="8" t="s">
        <v>52</v>
      </c>
      <c r="J1607" s="8" t="s">
        <v>36</v>
      </c>
      <c r="K1607" s="8" t="s">
        <v>25</v>
      </c>
      <c r="L1607" s="8" t="s">
        <v>2083</v>
      </c>
    </row>
    <row r="1608" spans="1:12" x14ac:dyDescent="0.35">
      <c r="A1608" s="11">
        <v>1607</v>
      </c>
      <c r="B1608" s="17">
        <v>46029.740254629629</v>
      </c>
      <c r="C1608" s="18">
        <v>46029</v>
      </c>
      <c r="D1608" s="10" t="s">
        <v>276</v>
      </c>
      <c r="E1608" s="14">
        <v>900</v>
      </c>
      <c r="F1608" s="5">
        <v>0</v>
      </c>
      <c r="G1608" s="5">
        <v>0</v>
      </c>
      <c r="H1608" s="10" t="s">
        <v>99</v>
      </c>
      <c r="I1608" s="10" t="s">
        <v>52</v>
      </c>
      <c r="J1608" s="10" t="s">
        <v>36</v>
      </c>
      <c r="K1608" s="10" t="s">
        <v>25</v>
      </c>
      <c r="L1608" s="10" t="s">
        <v>2084</v>
      </c>
    </row>
    <row r="1609" spans="1:12" x14ac:dyDescent="0.35">
      <c r="A1609" s="9">
        <v>1608</v>
      </c>
      <c r="B1609" s="19">
        <v>46029.740266203713</v>
      </c>
      <c r="C1609" s="20">
        <v>46029</v>
      </c>
      <c r="D1609" s="8" t="s">
        <v>394</v>
      </c>
      <c r="E1609" s="3">
        <v>0</v>
      </c>
      <c r="F1609" s="13">
        <v>900</v>
      </c>
      <c r="G1609" s="3">
        <v>900</v>
      </c>
      <c r="H1609" s="8" t="s">
        <v>51</v>
      </c>
      <c r="I1609" s="8" t="s">
        <v>71</v>
      </c>
      <c r="J1609" s="8" t="s">
        <v>32</v>
      </c>
      <c r="K1609" s="8" t="s">
        <v>25</v>
      </c>
      <c r="L1609" s="8" t="s">
        <v>2085</v>
      </c>
    </row>
    <row r="1610" spans="1:12" x14ac:dyDescent="0.35">
      <c r="A1610" s="11">
        <v>1609</v>
      </c>
      <c r="B1610" s="17">
        <v>46029.789189814823</v>
      </c>
      <c r="C1610" s="18">
        <v>46029</v>
      </c>
      <c r="D1610" s="10" t="s">
        <v>2086</v>
      </c>
      <c r="E1610" s="14">
        <v>9900</v>
      </c>
      <c r="F1610" s="5">
        <v>0</v>
      </c>
      <c r="G1610" s="5">
        <v>0</v>
      </c>
      <c r="H1610" s="10" t="s">
        <v>33</v>
      </c>
      <c r="I1610" s="10" t="s">
        <v>52</v>
      </c>
      <c r="J1610" s="10" t="s">
        <v>34</v>
      </c>
      <c r="K1610" s="10" t="s">
        <v>25</v>
      </c>
      <c r="L1610" s="10" t="s">
        <v>2087</v>
      </c>
    </row>
    <row r="1611" spans="1:12" x14ac:dyDescent="0.35">
      <c r="A1611" s="9">
        <v>1610</v>
      </c>
      <c r="B1611" s="19">
        <v>46029.789189814823</v>
      </c>
      <c r="C1611" s="20">
        <v>46029</v>
      </c>
      <c r="D1611" s="8" t="s">
        <v>394</v>
      </c>
      <c r="E1611" s="3">
        <v>0</v>
      </c>
      <c r="F1611" s="13">
        <v>9900</v>
      </c>
      <c r="G1611" s="3">
        <v>9900</v>
      </c>
      <c r="H1611" s="8" t="s">
        <v>51</v>
      </c>
      <c r="I1611" s="8" t="s">
        <v>71</v>
      </c>
      <c r="J1611" s="8" t="s">
        <v>32</v>
      </c>
      <c r="K1611" s="8" t="s">
        <v>25</v>
      </c>
      <c r="L1611" s="8" t="s">
        <v>2088</v>
      </c>
    </row>
    <row r="1612" spans="1:12" x14ac:dyDescent="0.35">
      <c r="A1612" s="11">
        <v>1611</v>
      </c>
      <c r="B1612" s="17">
        <v>46029.797581018523</v>
      </c>
      <c r="C1612" s="18">
        <v>46029</v>
      </c>
      <c r="D1612" s="10" t="s">
        <v>2089</v>
      </c>
      <c r="E1612" s="14">
        <v>1500</v>
      </c>
      <c r="F1612" s="5">
        <v>0</v>
      </c>
      <c r="G1612" s="5">
        <v>0</v>
      </c>
      <c r="H1612" s="10" t="s">
        <v>33</v>
      </c>
      <c r="I1612" s="10" t="s">
        <v>52</v>
      </c>
      <c r="J1612" s="10" t="s">
        <v>34</v>
      </c>
      <c r="K1612" s="10" t="s">
        <v>25</v>
      </c>
      <c r="L1612" s="10" t="s">
        <v>2090</v>
      </c>
    </row>
    <row r="1613" spans="1:12" x14ac:dyDescent="0.35">
      <c r="A1613" s="9">
        <v>1612</v>
      </c>
      <c r="B1613" s="19">
        <v>46029.797581018523</v>
      </c>
      <c r="C1613" s="20">
        <v>46029</v>
      </c>
      <c r="D1613" s="8" t="s">
        <v>394</v>
      </c>
      <c r="E1613" s="3">
        <v>0</v>
      </c>
      <c r="F1613" s="13">
        <v>1500</v>
      </c>
      <c r="G1613" s="3">
        <v>1500</v>
      </c>
      <c r="H1613" s="8" t="s">
        <v>51</v>
      </c>
      <c r="I1613" s="8" t="s">
        <v>71</v>
      </c>
      <c r="J1613" s="8" t="s">
        <v>32</v>
      </c>
      <c r="K1613" s="8" t="s">
        <v>25</v>
      </c>
      <c r="L1613" s="8" t="s">
        <v>2091</v>
      </c>
    </row>
    <row r="1614" spans="1:12" x14ac:dyDescent="0.35">
      <c r="A1614" s="11">
        <v>1613</v>
      </c>
      <c r="B1614" s="17">
        <v>46030.445451388892</v>
      </c>
      <c r="C1614" s="18">
        <v>46030</v>
      </c>
      <c r="D1614" s="10" t="s">
        <v>2092</v>
      </c>
      <c r="E1614" s="14">
        <v>22500</v>
      </c>
      <c r="F1614" s="5">
        <v>0</v>
      </c>
      <c r="G1614" s="5">
        <v>0</v>
      </c>
      <c r="H1614" s="10" t="s">
        <v>51</v>
      </c>
      <c r="I1614" s="10" t="s">
        <v>52</v>
      </c>
      <c r="J1614" s="10" t="s">
        <v>30</v>
      </c>
      <c r="K1614" s="10" t="s">
        <v>25</v>
      </c>
      <c r="L1614" s="10" t="s">
        <v>2093</v>
      </c>
    </row>
    <row r="1615" spans="1:12" x14ac:dyDescent="0.35">
      <c r="A1615" s="9">
        <v>1614</v>
      </c>
      <c r="B1615" s="19">
        <v>46030.445497685178</v>
      </c>
      <c r="C1615" s="20">
        <v>46030</v>
      </c>
      <c r="D1615" s="8" t="s">
        <v>394</v>
      </c>
      <c r="E1615" s="3">
        <v>0</v>
      </c>
      <c r="F1615" s="13">
        <v>22500</v>
      </c>
      <c r="G1615" s="3">
        <v>22500</v>
      </c>
      <c r="H1615" s="8" t="s">
        <v>51</v>
      </c>
      <c r="I1615" s="8" t="s">
        <v>71</v>
      </c>
      <c r="J1615" s="8" t="s">
        <v>32</v>
      </c>
      <c r="K1615" s="8" t="s">
        <v>25</v>
      </c>
      <c r="L1615" s="8" t="s">
        <v>2094</v>
      </c>
    </row>
    <row r="1616" spans="1:12" x14ac:dyDescent="0.35">
      <c r="A1616" s="11">
        <v>1615</v>
      </c>
      <c r="B1616" s="17">
        <v>46030.445520833331</v>
      </c>
      <c r="C1616" s="18">
        <v>46030</v>
      </c>
      <c r="D1616" s="10" t="s">
        <v>2095</v>
      </c>
      <c r="E1616" s="14">
        <v>50</v>
      </c>
      <c r="F1616" s="5">
        <v>0</v>
      </c>
      <c r="G1616" s="5">
        <v>0</v>
      </c>
      <c r="H1616" s="10" t="s">
        <v>51</v>
      </c>
      <c r="I1616" s="10" t="s">
        <v>52</v>
      </c>
      <c r="J1616" s="10" t="s">
        <v>36</v>
      </c>
      <c r="K1616" s="10" t="s">
        <v>25</v>
      </c>
      <c r="L1616" s="10" t="s">
        <v>2096</v>
      </c>
    </row>
    <row r="1617" spans="1:12" x14ac:dyDescent="0.35">
      <c r="A1617" s="9">
        <v>1616</v>
      </c>
      <c r="B1617" s="19">
        <v>46030.445520833331</v>
      </c>
      <c r="C1617" s="20">
        <v>46030</v>
      </c>
      <c r="D1617" s="8" t="s">
        <v>394</v>
      </c>
      <c r="E1617" s="3">
        <v>0</v>
      </c>
      <c r="F1617" s="13">
        <v>50</v>
      </c>
      <c r="G1617" s="3">
        <v>50</v>
      </c>
      <c r="H1617" s="8" t="s">
        <v>51</v>
      </c>
      <c r="I1617" s="8" t="s">
        <v>71</v>
      </c>
      <c r="J1617" s="8" t="s">
        <v>32</v>
      </c>
      <c r="K1617" s="8" t="s">
        <v>25</v>
      </c>
      <c r="L1617" s="8" t="s">
        <v>2097</v>
      </c>
    </row>
    <row r="1618" spans="1:12" x14ac:dyDescent="0.35">
      <c r="A1618" s="11">
        <v>1617</v>
      </c>
      <c r="B1618" s="17">
        <v>46030.528831018521</v>
      </c>
      <c r="C1618" s="18">
        <v>46030</v>
      </c>
      <c r="D1618" s="10" t="s">
        <v>2098</v>
      </c>
      <c r="E1618" s="14">
        <v>8620</v>
      </c>
      <c r="F1618" s="5">
        <v>0</v>
      </c>
      <c r="G1618" s="5">
        <v>0</v>
      </c>
      <c r="H1618" s="10" t="s">
        <v>33</v>
      </c>
      <c r="I1618" s="10" t="s">
        <v>52</v>
      </c>
      <c r="J1618" s="10" t="s">
        <v>34</v>
      </c>
      <c r="K1618" s="10" t="s">
        <v>25</v>
      </c>
      <c r="L1618" s="10" t="s">
        <v>2099</v>
      </c>
    </row>
    <row r="1619" spans="1:12" x14ac:dyDescent="0.35">
      <c r="A1619" s="9">
        <v>1618</v>
      </c>
      <c r="B1619" s="19">
        <v>46030.528831018521</v>
      </c>
      <c r="C1619" s="20">
        <v>46030</v>
      </c>
      <c r="D1619" s="8" t="s">
        <v>394</v>
      </c>
      <c r="E1619" s="3">
        <v>0</v>
      </c>
      <c r="F1619" s="13">
        <v>8620</v>
      </c>
      <c r="G1619" s="3">
        <v>8620</v>
      </c>
      <c r="H1619" s="8" t="s">
        <v>51</v>
      </c>
      <c r="I1619" s="8" t="s">
        <v>71</v>
      </c>
      <c r="J1619" s="8" t="s">
        <v>32</v>
      </c>
      <c r="K1619" s="8" t="s">
        <v>25</v>
      </c>
      <c r="L1619" s="8" t="s">
        <v>2100</v>
      </c>
    </row>
    <row r="1620" spans="1:12" x14ac:dyDescent="0.35">
      <c r="A1620" s="11">
        <v>1619</v>
      </c>
      <c r="B1620" s="17">
        <v>46030.546759259261</v>
      </c>
      <c r="C1620" s="18">
        <v>46030</v>
      </c>
      <c r="D1620" s="10" t="s">
        <v>394</v>
      </c>
      <c r="E1620" s="5">
        <v>0</v>
      </c>
      <c r="F1620" s="15">
        <v>10</v>
      </c>
      <c r="G1620" s="5">
        <v>10</v>
      </c>
      <c r="H1620" s="10" t="s">
        <v>51</v>
      </c>
      <c r="I1620" s="10" t="s">
        <v>71</v>
      </c>
      <c r="J1620" s="10" t="s">
        <v>32</v>
      </c>
      <c r="K1620" s="10" t="s">
        <v>25</v>
      </c>
      <c r="L1620" s="10" t="s">
        <v>2101</v>
      </c>
    </row>
    <row r="1621" spans="1:12" x14ac:dyDescent="0.35">
      <c r="A1621" s="9">
        <v>1620</v>
      </c>
      <c r="B1621" s="19">
        <v>46030.546759259261</v>
      </c>
      <c r="C1621" s="20">
        <v>46030</v>
      </c>
      <c r="D1621" s="8" t="s">
        <v>98</v>
      </c>
      <c r="E1621" s="12">
        <v>10</v>
      </c>
      <c r="F1621" s="3">
        <v>0</v>
      </c>
      <c r="G1621" s="3">
        <v>0</v>
      </c>
      <c r="H1621" s="8" t="s">
        <v>99</v>
      </c>
      <c r="I1621" s="8" t="s">
        <v>52</v>
      </c>
      <c r="J1621" s="8" t="s">
        <v>36</v>
      </c>
      <c r="K1621" s="8" t="s">
        <v>25</v>
      </c>
      <c r="L1621" s="8" t="s">
        <v>2102</v>
      </c>
    </row>
    <row r="1622" spans="1:12" x14ac:dyDescent="0.35">
      <c r="A1622" s="11">
        <v>1621</v>
      </c>
      <c r="B1622" s="17">
        <v>46030.547037037039</v>
      </c>
      <c r="C1622" s="18">
        <v>46030</v>
      </c>
      <c r="D1622" s="10" t="s">
        <v>276</v>
      </c>
      <c r="E1622" s="14">
        <v>900</v>
      </c>
      <c r="F1622" s="5">
        <v>0</v>
      </c>
      <c r="G1622" s="5">
        <v>0</v>
      </c>
      <c r="H1622" s="10" t="s">
        <v>99</v>
      </c>
      <c r="I1622" s="10" t="s">
        <v>52</v>
      </c>
      <c r="J1622" s="10" t="s">
        <v>36</v>
      </c>
      <c r="K1622" s="10" t="s">
        <v>25</v>
      </c>
      <c r="L1622" s="10" t="s">
        <v>2103</v>
      </c>
    </row>
    <row r="1623" spans="1:12" x14ac:dyDescent="0.35">
      <c r="A1623" s="9">
        <v>1622</v>
      </c>
      <c r="B1623" s="19">
        <v>46030.547037037039</v>
      </c>
      <c r="C1623" s="20">
        <v>46030</v>
      </c>
      <c r="D1623" s="8" t="s">
        <v>394</v>
      </c>
      <c r="E1623" s="3">
        <v>0</v>
      </c>
      <c r="F1623" s="13">
        <v>900</v>
      </c>
      <c r="G1623" s="3">
        <v>900</v>
      </c>
      <c r="H1623" s="8" t="s">
        <v>51</v>
      </c>
      <c r="I1623" s="8" t="s">
        <v>71</v>
      </c>
      <c r="J1623" s="8" t="s">
        <v>32</v>
      </c>
      <c r="K1623" s="8" t="s">
        <v>25</v>
      </c>
      <c r="L1623" s="8" t="s">
        <v>2104</v>
      </c>
    </row>
    <row r="1624" spans="1:12" x14ac:dyDescent="0.35">
      <c r="A1624" s="11">
        <v>1623</v>
      </c>
      <c r="B1624" s="17">
        <v>46031.904444444437</v>
      </c>
      <c r="C1624" s="18">
        <v>46031</v>
      </c>
      <c r="D1624" s="10" t="s">
        <v>1686</v>
      </c>
      <c r="E1624" s="14">
        <v>732</v>
      </c>
      <c r="F1624" s="5">
        <v>0</v>
      </c>
      <c r="G1624" s="5">
        <v>0</v>
      </c>
      <c r="H1624" s="10" t="s">
        <v>51</v>
      </c>
      <c r="I1624" s="10" t="s">
        <v>52</v>
      </c>
      <c r="J1624" s="10" t="s">
        <v>36</v>
      </c>
      <c r="K1624" s="10" t="s">
        <v>25</v>
      </c>
      <c r="L1624" s="10" t="s">
        <v>2105</v>
      </c>
    </row>
    <row r="1625" spans="1:12" x14ac:dyDescent="0.35">
      <c r="A1625" s="9">
        <v>1624</v>
      </c>
      <c r="B1625" s="19">
        <v>46031.904502314806</v>
      </c>
      <c r="C1625" s="20">
        <v>46031</v>
      </c>
      <c r="D1625" s="8" t="s">
        <v>394</v>
      </c>
      <c r="E1625" s="3">
        <v>0</v>
      </c>
      <c r="F1625" s="13">
        <v>732</v>
      </c>
      <c r="G1625" s="3">
        <v>732</v>
      </c>
      <c r="H1625" s="8" t="s">
        <v>51</v>
      </c>
      <c r="I1625" s="8" t="s">
        <v>71</v>
      </c>
      <c r="J1625" s="8" t="s">
        <v>32</v>
      </c>
      <c r="K1625" s="8" t="s">
        <v>25</v>
      </c>
      <c r="L1625" s="8" t="s">
        <v>2106</v>
      </c>
    </row>
    <row r="1626" spans="1:12" x14ac:dyDescent="0.35">
      <c r="A1626" s="11">
        <v>1625</v>
      </c>
      <c r="B1626" s="17">
        <v>46032.050983796304</v>
      </c>
      <c r="C1626" s="18">
        <v>46032</v>
      </c>
      <c r="D1626" s="10" t="s">
        <v>2107</v>
      </c>
      <c r="E1626" s="14">
        <v>20000</v>
      </c>
      <c r="F1626" s="5">
        <v>0</v>
      </c>
      <c r="G1626" s="5">
        <v>0</v>
      </c>
      <c r="H1626" s="10" t="s">
        <v>51</v>
      </c>
      <c r="I1626" s="10" t="s">
        <v>52</v>
      </c>
      <c r="J1626" s="10" t="s">
        <v>30</v>
      </c>
      <c r="K1626" s="10" t="s">
        <v>25</v>
      </c>
      <c r="L1626" s="10" t="s">
        <v>2108</v>
      </c>
    </row>
    <row r="1627" spans="1:12" x14ac:dyDescent="0.35">
      <c r="A1627" s="9">
        <v>1626</v>
      </c>
      <c r="B1627" s="19">
        <v>46032.051041666673</v>
      </c>
      <c r="C1627" s="20">
        <v>46032</v>
      </c>
      <c r="D1627" s="8" t="s">
        <v>394</v>
      </c>
      <c r="E1627" s="3">
        <v>0</v>
      </c>
      <c r="F1627" s="13">
        <v>20000</v>
      </c>
      <c r="G1627" s="3">
        <v>20000</v>
      </c>
      <c r="H1627" s="8" t="s">
        <v>51</v>
      </c>
      <c r="I1627" s="8" t="s">
        <v>71</v>
      </c>
      <c r="J1627" s="8" t="s">
        <v>32</v>
      </c>
      <c r="K1627" s="8" t="s">
        <v>25</v>
      </c>
      <c r="L1627" s="8" t="s">
        <v>2109</v>
      </c>
    </row>
    <row r="1628" spans="1:12" x14ac:dyDescent="0.35">
      <c r="A1628" s="11">
        <v>1627</v>
      </c>
      <c r="B1628" s="17">
        <v>46032.051053240742</v>
      </c>
      <c r="C1628" s="18">
        <v>46032</v>
      </c>
      <c r="D1628" s="10" t="s">
        <v>2095</v>
      </c>
      <c r="E1628" s="14">
        <v>50</v>
      </c>
      <c r="F1628" s="5">
        <v>0</v>
      </c>
      <c r="G1628" s="5">
        <v>0</v>
      </c>
      <c r="H1628" s="10" t="s">
        <v>51</v>
      </c>
      <c r="I1628" s="10" t="s">
        <v>52</v>
      </c>
      <c r="J1628" s="10" t="s">
        <v>36</v>
      </c>
      <c r="K1628" s="10" t="s">
        <v>25</v>
      </c>
      <c r="L1628" s="10" t="s">
        <v>2110</v>
      </c>
    </row>
    <row r="1629" spans="1:12" x14ac:dyDescent="0.35">
      <c r="A1629" s="9">
        <v>1628</v>
      </c>
      <c r="B1629" s="19">
        <v>46032.051053240742</v>
      </c>
      <c r="C1629" s="20">
        <v>46032</v>
      </c>
      <c r="D1629" s="8" t="s">
        <v>394</v>
      </c>
      <c r="E1629" s="3">
        <v>0</v>
      </c>
      <c r="F1629" s="13">
        <v>50</v>
      </c>
      <c r="G1629" s="3">
        <v>50</v>
      </c>
      <c r="H1629" s="8" t="s">
        <v>51</v>
      </c>
      <c r="I1629" s="8" t="s">
        <v>71</v>
      </c>
      <c r="J1629" s="8" t="s">
        <v>32</v>
      </c>
      <c r="K1629" s="8" t="s">
        <v>25</v>
      </c>
      <c r="L1629" s="8" t="s">
        <v>2111</v>
      </c>
    </row>
    <row r="1630" spans="1:12" x14ac:dyDescent="0.35">
      <c r="A1630" s="11">
        <v>1629</v>
      </c>
      <c r="B1630" s="17">
        <v>46032.05127314815</v>
      </c>
      <c r="C1630" s="18">
        <v>46032</v>
      </c>
      <c r="D1630" s="10" t="s">
        <v>2107</v>
      </c>
      <c r="E1630" s="14">
        <v>5000</v>
      </c>
      <c r="F1630" s="5">
        <v>0</v>
      </c>
      <c r="G1630" s="5">
        <v>0</v>
      </c>
      <c r="H1630" s="10" t="s">
        <v>51</v>
      </c>
      <c r="I1630" s="10" t="s">
        <v>52</v>
      </c>
      <c r="J1630" s="10" t="s">
        <v>30</v>
      </c>
      <c r="K1630" s="10" t="s">
        <v>25</v>
      </c>
      <c r="L1630" s="10" t="s">
        <v>2112</v>
      </c>
    </row>
    <row r="1631" spans="1:12" x14ac:dyDescent="0.35">
      <c r="A1631" s="9">
        <v>1630</v>
      </c>
      <c r="B1631" s="19">
        <v>46032.051319444443</v>
      </c>
      <c r="C1631" s="20">
        <v>46032</v>
      </c>
      <c r="D1631" s="8" t="s">
        <v>394</v>
      </c>
      <c r="E1631" s="3">
        <v>0</v>
      </c>
      <c r="F1631" s="13">
        <v>5000</v>
      </c>
      <c r="G1631" s="3">
        <v>5000</v>
      </c>
      <c r="H1631" s="8" t="s">
        <v>51</v>
      </c>
      <c r="I1631" s="8" t="s">
        <v>71</v>
      </c>
      <c r="J1631" s="8" t="s">
        <v>32</v>
      </c>
      <c r="K1631" s="8" t="s">
        <v>25</v>
      </c>
      <c r="L1631" s="8" t="s">
        <v>2113</v>
      </c>
    </row>
    <row r="1632" spans="1:12" x14ac:dyDescent="0.35">
      <c r="A1632" s="11">
        <v>1631</v>
      </c>
      <c r="B1632" s="17">
        <v>46033.384027777778</v>
      </c>
      <c r="C1632" s="18">
        <v>46033</v>
      </c>
      <c r="D1632" s="10" t="s">
        <v>394</v>
      </c>
      <c r="E1632" s="5">
        <v>0</v>
      </c>
      <c r="F1632" s="15">
        <v>10</v>
      </c>
      <c r="G1632" s="5">
        <v>10</v>
      </c>
      <c r="H1632" s="10" t="s">
        <v>51</v>
      </c>
      <c r="I1632" s="10" t="s">
        <v>71</v>
      </c>
      <c r="J1632" s="10" t="s">
        <v>32</v>
      </c>
      <c r="K1632" s="10" t="s">
        <v>25</v>
      </c>
      <c r="L1632" s="10" t="s">
        <v>2114</v>
      </c>
    </row>
    <row r="1633" spans="1:12" x14ac:dyDescent="0.35">
      <c r="A1633" s="9">
        <v>1632</v>
      </c>
      <c r="B1633" s="19">
        <v>46033.384027777778</v>
      </c>
      <c r="C1633" s="20">
        <v>46033</v>
      </c>
      <c r="D1633" s="8" t="s">
        <v>98</v>
      </c>
      <c r="E1633" s="12">
        <v>10</v>
      </c>
      <c r="F1633" s="3">
        <v>0</v>
      </c>
      <c r="G1633" s="3">
        <v>0</v>
      </c>
      <c r="H1633" s="8" t="s">
        <v>99</v>
      </c>
      <c r="I1633" s="8" t="s">
        <v>52</v>
      </c>
      <c r="J1633" s="8" t="s">
        <v>36</v>
      </c>
      <c r="K1633" s="8" t="s">
        <v>25</v>
      </c>
      <c r="L1633" s="8" t="s">
        <v>2115</v>
      </c>
    </row>
    <row r="1634" spans="1:12" x14ac:dyDescent="0.35">
      <c r="A1634" s="11">
        <v>1633</v>
      </c>
      <c r="B1634" s="17">
        <v>46033.384259259263</v>
      </c>
      <c r="C1634" s="18">
        <v>46033</v>
      </c>
      <c r="D1634" s="10" t="s">
        <v>276</v>
      </c>
      <c r="E1634" s="14">
        <v>900</v>
      </c>
      <c r="F1634" s="5">
        <v>0</v>
      </c>
      <c r="G1634" s="5">
        <v>0</v>
      </c>
      <c r="H1634" s="10" t="s">
        <v>99</v>
      </c>
      <c r="I1634" s="10" t="s">
        <v>52</v>
      </c>
      <c r="J1634" s="10" t="s">
        <v>36</v>
      </c>
      <c r="K1634" s="10" t="s">
        <v>25</v>
      </c>
      <c r="L1634" s="10" t="s">
        <v>2116</v>
      </c>
    </row>
    <row r="1635" spans="1:12" x14ac:dyDescent="0.35">
      <c r="A1635" s="9">
        <v>1634</v>
      </c>
      <c r="B1635" s="19">
        <v>46033.384259259263</v>
      </c>
      <c r="C1635" s="20">
        <v>46033</v>
      </c>
      <c r="D1635" s="8" t="s">
        <v>394</v>
      </c>
      <c r="E1635" s="3">
        <v>0</v>
      </c>
      <c r="F1635" s="13">
        <v>900</v>
      </c>
      <c r="G1635" s="3">
        <v>900</v>
      </c>
      <c r="H1635" s="8" t="s">
        <v>51</v>
      </c>
      <c r="I1635" s="8" t="s">
        <v>71</v>
      </c>
      <c r="J1635" s="8" t="s">
        <v>32</v>
      </c>
      <c r="K1635" s="8" t="s">
        <v>25</v>
      </c>
      <c r="L1635" s="8" t="s">
        <v>2117</v>
      </c>
    </row>
    <row r="1636" spans="1:12" x14ac:dyDescent="0.35">
      <c r="A1636" s="11">
        <v>1635</v>
      </c>
      <c r="B1636" s="17">
        <v>46033.563055555547</v>
      </c>
      <c r="C1636" s="18">
        <v>46033</v>
      </c>
      <c r="D1636" s="10" t="s">
        <v>2118</v>
      </c>
      <c r="E1636" s="14">
        <v>3000</v>
      </c>
      <c r="F1636" s="5">
        <v>0</v>
      </c>
      <c r="G1636" s="5">
        <v>0</v>
      </c>
      <c r="H1636" s="10" t="s">
        <v>33</v>
      </c>
      <c r="I1636" s="10" t="s">
        <v>52</v>
      </c>
      <c r="J1636" s="10" t="s">
        <v>34</v>
      </c>
      <c r="K1636" s="10" t="s">
        <v>25</v>
      </c>
      <c r="L1636" s="10" t="s">
        <v>2119</v>
      </c>
    </row>
    <row r="1637" spans="1:12" x14ac:dyDescent="0.35">
      <c r="A1637" s="9">
        <v>1636</v>
      </c>
      <c r="B1637" s="19">
        <v>46033.563055555547</v>
      </c>
      <c r="C1637" s="20">
        <v>46033</v>
      </c>
      <c r="D1637" s="8" t="s">
        <v>394</v>
      </c>
      <c r="E1637" s="3">
        <v>0</v>
      </c>
      <c r="F1637" s="13">
        <v>3000</v>
      </c>
      <c r="G1637" s="3">
        <v>3000</v>
      </c>
      <c r="H1637" s="8" t="s">
        <v>51</v>
      </c>
      <c r="I1637" s="8" t="s">
        <v>71</v>
      </c>
      <c r="J1637" s="8" t="s">
        <v>32</v>
      </c>
      <c r="K1637" s="8" t="s">
        <v>25</v>
      </c>
      <c r="L1637" s="8" t="s">
        <v>2120</v>
      </c>
    </row>
    <row r="1638" spans="1:12" x14ac:dyDescent="0.35">
      <c r="A1638" s="11">
        <v>1637</v>
      </c>
      <c r="B1638" s="17">
        <v>46033.570590277777</v>
      </c>
      <c r="C1638" s="18">
        <v>46033</v>
      </c>
      <c r="D1638" s="10" t="s">
        <v>2121</v>
      </c>
      <c r="E1638" s="14">
        <v>1800</v>
      </c>
      <c r="F1638" s="5">
        <v>0</v>
      </c>
      <c r="G1638" s="5">
        <v>0</v>
      </c>
      <c r="H1638" s="10" t="s">
        <v>33</v>
      </c>
      <c r="I1638" s="10" t="s">
        <v>52</v>
      </c>
      <c r="J1638" s="10" t="s">
        <v>34</v>
      </c>
      <c r="K1638" s="10" t="s">
        <v>25</v>
      </c>
      <c r="L1638" s="10" t="s">
        <v>2122</v>
      </c>
    </row>
    <row r="1639" spans="1:12" x14ac:dyDescent="0.35">
      <c r="A1639" s="9">
        <v>1638</v>
      </c>
      <c r="B1639" s="19">
        <v>46033.570590277777</v>
      </c>
      <c r="C1639" s="20">
        <v>46033</v>
      </c>
      <c r="D1639" s="8" t="s">
        <v>394</v>
      </c>
      <c r="E1639" s="3">
        <v>0</v>
      </c>
      <c r="F1639" s="13">
        <v>1800</v>
      </c>
      <c r="G1639" s="3">
        <v>1800</v>
      </c>
      <c r="H1639" s="8" t="s">
        <v>51</v>
      </c>
      <c r="I1639" s="8" t="s">
        <v>71</v>
      </c>
      <c r="J1639" s="8" t="s">
        <v>32</v>
      </c>
      <c r="K1639" s="8" t="s">
        <v>25</v>
      </c>
      <c r="L1639" s="8" t="s">
        <v>2123</v>
      </c>
    </row>
    <row r="1640" spans="1:12" x14ac:dyDescent="0.35">
      <c r="A1640" s="11">
        <v>1639</v>
      </c>
      <c r="B1640" s="17">
        <v>46033.800636574073</v>
      </c>
      <c r="C1640" s="18">
        <v>46033</v>
      </c>
      <c r="D1640" s="10" t="s">
        <v>2124</v>
      </c>
      <c r="E1640" s="14">
        <v>2000</v>
      </c>
      <c r="F1640" s="5">
        <v>0</v>
      </c>
      <c r="G1640" s="5">
        <v>0</v>
      </c>
      <c r="H1640" s="10" t="s">
        <v>33</v>
      </c>
      <c r="I1640" s="10" t="s">
        <v>52</v>
      </c>
      <c r="J1640" s="10" t="s">
        <v>34</v>
      </c>
      <c r="K1640" s="10" t="s">
        <v>25</v>
      </c>
      <c r="L1640" s="10" t="s">
        <v>2125</v>
      </c>
    </row>
    <row r="1641" spans="1:12" x14ac:dyDescent="0.35">
      <c r="A1641" s="9">
        <v>1640</v>
      </c>
      <c r="B1641" s="19">
        <v>46033.800636574073</v>
      </c>
      <c r="C1641" s="20">
        <v>46033</v>
      </c>
      <c r="D1641" s="8" t="s">
        <v>394</v>
      </c>
      <c r="E1641" s="3">
        <v>0</v>
      </c>
      <c r="F1641" s="13">
        <v>2000</v>
      </c>
      <c r="G1641" s="3">
        <v>2000</v>
      </c>
      <c r="H1641" s="8" t="s">
        <v>51</v>
      </c>
      <c r="I1641" s="8" t="s">
        <v>71</v>
      </c>
      <c r="J1641" s="8" t="s">
        <v>32</v>
      </c>
      <c r="K1641" s="8" t="s">
        <v>25</v>
      </c>
      <c r="L1641" s="8" t="s">
        <v>2126</v>
      </c>
    </row>
    <row r="1642" spans="1:12" x14ac:dyDescent="0.35">
      <c r="A1642" s="11">
        <v>1641</v>
      </c>
      <c r="B1642" s="17">
        <v>46034.392835648148</v>
      </c>
      <c r="C1642" s="18">
        <v>46034</v>
      </c>
      <c r="D1642" s="10" t="s">
        <v>2127</v>
      </c>
      <c r="E1642" s="14">
        <v>2700</v>
      </c>
      <c r="F1642" s="5">
        <v>0</v>
      </c>
      <c r="G1642" s="5">
        <v>0</v>
      </c>
      <c r="H1642" s="10" t="s">
        <v>51</v>
      </c>
      <c r="I1642" s="10" t="s">
        <v>52</v>
      </c>
      <c r="J1642" s="10" t="s">
        <v>30</v>
      </c>
      <c r="K1642" s="10" t="s">
        <v>25</v>
      </c>
      <c r="L1642" s="10" t="s">
        <v>2128</v>
      </c>
    </row>
    <row r="1643" spans="1:12" x14ac:dyDescent="0.35">
      <c r="A1643" s="9">
        <v>1642</v>
      </c>
      <c r="B1643" s="19">
        <v>46034.392893518518</v>
      </c>
      <c r="C1643" s="20">
        <v>46034</v>
      </c>
      <c r="D1643" s="8" t="s">
        <v>394</v>
      </c>
      <c r="E1643" s="3">
        <v>0</v>
      </c>
      <c r="F1643" s="13">
        <v>2700</v>
      </c>
      <c r="G1643" s="3">
        <v>2700</v>
      </c>
      <c r="H1643" s="8" t="s">
        <v>51</v>
      </c>
      <c r="I1643" s="8" t="s">
        <v>71</v>
      </c>
      <c r="J1643" s="8" t="s">
        <v>32</v>
      </c>
      <c r="K1643" s="8" t="s">
        <v>25</v>
      </c>
      <c r="L1643" s="8" t="s">
        <v>2129</v>
      </c>
    </row>
    <row r="1644" spans="1:12" x14ac:dyDescent="0.35">
      <c r="A1644" s="11">
        <v>1643</v>
      </c>
      <c r="B1644" s="17">
        <v>46034.761990740742</v>
      </c>
      <c r="C1644" s="18">
        <v>46034</v>
      </c>
      <c r="D1644" s="10" t="s">
        <v>2130</v>
      </c>
      <c r="E1644" s="14">
        <v>4000</v>
      </c>
      <c r="F1644" s="5">
        <v>0</v>
      </c>
      <c r="G1644" s="5">
        <v>0</v>
      </c>
      <c r="H1644" s="10" t="s">
        <v>51</v>
      </c>
      <c r="I1644" s="10" t="s">
        <v>52</v>
      </c>
      <c r="J1644" s="10" t="s">
        <v>30</v>
      </c>
      <c r="K1644" s="10" t="s">
        <v>25</v>
      </c>
      <c r="L1644" s="10" t="s">
        <v>2131</v>
      </c>
    </row>
    <row r="1645" spans="1:12" x14ac:dyDescent="0.35">
      <c r="A1645" s="9">
        <v>1644</v>
      </c>
      <c r="B1645" s="19">
        <v>46034.762037037042</v>
      </c>
      <c r="C1645" s="20">
        <v>46034</v>
      </c>
      <c r="D1645" s="8" t="s">
        <v>394</v>
      </c>
      <c r="E1645" s="3">
        <v>0</v>
      </c>
      <c r="F1645" s="13">
        <v>4000</v>
      </c>
      <c r="G1645" s="3">
        <v>4000</v>
      </c>
      <c r="H1645" s="8" t="s">
        <v>51</v>
      </c>
      <c r="I1645" s="8" t="s">
        <v>71</v>
      </c>
      <c r="J1645" s="8" t="s">
        <v>32</v>
      </c>
      <c r="K1645" s="8" t="s">
        <v>25</v>
      </c>
      <c r="L1645" s="8" t="s">
        <v>2132</v>
      </c>
    </row>
    <row r="1646" spans="1:12" x14ac:dyDescent="0.35">
      <c r="A1646" s="11">
        <v>1645</v>
      </c>
      <c r="B1646" s="17">
        <v>46034.79923611111</v>
      </c>
      <c r="C1646" s="18">
        <v>46034</v>
      </c>
      <c r="D1646" s="10" t="s">
        <v>2133</v>
      </c>
      <c r="E1646" s="14">
        <v>4100</v>
      </c>
      <c r="F1646" s="5">
        <v>0</v>
      </c>
      <c r="G1646" s="5">
        <v>0</v>
      </c>
      <c r="H1646" s="10" t="s">
        <v>51</v>
      </c>
      <c r="I1646" s="10" t="s">
        <v>52</v>
      </c>
      <c r="J1646" s="10" t="s">
        <v>30</v>
      </c>
      <c r="K1646" s="10" t="s">
        <v>25</v>
      </c>
      <c r="L1646" s="10" t="s">
        <v>2134</v>
      </c>
    </row>
    <row r="1647" spans="1:12" x14ac:dyDescent="0.35">
      <c r="A1647" s="9">
        <v>1646</v>
      </c>
      <c r="B1647" s="19">
        <v>46034.799270833333</v>
      </c>
      <c r="C1647" s="20">
        <v>46034</v>
      </c>
      <c r="D1647" s="8" t="s">
        <v>394</v>
      </c>
      <c r="E1647" s="3">
        <v>0</v>
      </c>
      <c r="F1647" s="13">
        <v>4100</v>
      </c>
      <c r="G1647" s="3">
        <v>4100</v>
      </c>
      <c r="H1647" s="8" t="s">
        <v>51</v>
      </c>
      <c r="I1647" s="8" t="s">
        <v>71</v>
      </c>
      <c r="J1647" s="8" t="s">
        <v>32</v>
      </c>
      <c r="K1647" s="8" t="s">
        <v>25</v>
      </c>
      <c r="L1647" s="8" t="s">
        <v>2135</v>
      </c>
    </row>
    <row r="1648" spans="1:12" x14ac:dyDescent="0.35">
      <c r="A1648" s="11">
        <v>1647</v>
      </c>
      <c r="B1648" s="17">
        <v>46034.859201388892</v>
      </c>
      <c r="C1648" s="18">
        <v>46034</v>
      </c>
      <c r="D1648" s="10" t="s">
        <v>2136</v>
      </c>
      <c r="E1648" s="14">
        <v>150000</v>
      </c>
      <c r="F1648" s="5">
        <v>0</v>
      </c>
      <c r="G1648" s="5">
        <v>0</v>
      </c>
      <c r="H1648" s="10" t="s">
        <v>51</v>
      </c>
      <c r="I1648" s="10" t="s">
        <v>52</v>
      </c>
      <c r="J1648" s="10" t="s">
        <v>30</v>
      </c>
      <c r="K1648" s="10" t="s">
        <v>25</v>
      </c>
      <c r="L1648" s="10" t="s">
        <v>2137</v>
      </c>
    </row>
    <row r="1649" spans="1:12" x14ac:dyDescent="0.35">
      <c r="A1649" s="9">
        <v>1648</v>
      </c>
      <c r="B1649" s="19">
        <v>46034.859907407408</v>
      </c>
      <c r="C1649" s="20">
        <v>46034</v>
      </c>
      <c r="D1649" s="8" t="s">
        <v>394</v>
      </c>
      <c r="E1649" s="3">
        <v>0</v>
      </c>
      <c r="F1649" s="13">
        <v>150000</v>
      </c>
      <c r="G1649" s="3">
        <v>150000</v>
      </c>
      <c r="H1649" s="8" t="s">
        <v>51</v>
      </c>
      <c r="I1649" s="8" t="s">
        <v>71</v>
      </c>
      <c r="J1649" s="8" t="s">
        <v>32</v>
      </c>
      <c r="K1649" s="8" t="s">
        <v>25</v>
      </c>
      <c r="L1649" s="8" t="s">
        <v>2138</v>
      </c>
    </row>
    <row r="1650" spans="1:12" x14ac:dyDescent="0.35">
      <c r="A1650" s="11">
        <v>1649</v>
      </c>
      <c r="B1650" s="17">
        <v>46034.859918981478</v>
      </c>
      <c r="C1650" s="18">
        <v>46034</v>
      </c>
      <c r="D1650" s="10" t="s">
        <v>2095</v>
      </c>
      <c r="E1650" s="14">
        <v>50</v>
      </c>
      <c r="F1650" s="5">
        <v>0</v>
      </c>
      <c r="G1650" s="5">
        <v>0</v>
      </c>
      <c r="H1650" s="10" t="s">
        <v>51</v>
      </c>
      <c r="I1650" s="10" t="s">
        <v>52</v>
      </c>
      <c r="J1650" s="10" t="s">
        <v>36</v>
      </c>
      <c r="K1650" s="10" t="s">
        <v>25</v>
      </c>
      <c r="L1650" s="10" t="s">
        <v>2139</v>
      </c>
    </row>
    <row r="1651" spans="1:12" x14ac:dyDescent="0.35">
      <c r="A1651" s="9">
        <v>1650</v>
      </c>
      <c r="B1651" s="19">
        <v>46034.859918981478</v>
      </c>
      <c r="C1651" s="20">
        <v>46034</v>
      </c>
      <c r="D1651" s="8" t="s">
        <v>394</v>
      </c>
      <c r="E1651" s="3">
        <v>0</v>
      </c>
      <c r="F1651" s="13">
        <v>50</v>
      </c>
      <c r="G1651" s="3">
        <v>50</v>
      </c>
      <c r="H1651" s="8" t="s">
        <v>51</v>
      </c>
      <c r="I1651" s="8" t="s">
        <v>71</v>
      </c>
      <c r="J1651" s="8" t="s">
        <v>32</v>
      </c>
      <c r="K1651" s="8" t="s">
        <v>25</v>
      </c>
      <c r="L1651" s="8" t="s">
        <v>2140</v>
      </c>
    </row>
    <row r="1652" spans="1:12" x14ac:dyDescent="0.35">
      <c r="A1652" s="11">
        <v>1651</v>
      </c>
      <c r="B1652" s="17">
        <v>46035.782025462962</v>
      </c>
      <c r="C1652" s="18">
        <v>46035</v>
      </c>
      <c r="D1652" s="10" t="s">
        <v>276</v>
      </c>
      <c r="E1652" s="14">
        <v>883.5</v>
      </c>
      <c r="F1652" s="5">
        <v>0</v>
      </c>
      <c r="G1652" s="5">
        <v>0</v>
      </c>
      <c r="H1652" s="10" t="s">
        <v>51</v>
      </c>
      <c r="I1652" s="10" t="s">
        <v>52</v>
      </c>
      <c r="J1652" s="10" t="s">
        <v>36</v>
      </c>
      <c r="K1652" s="10" t="s">
        <v>25</v>
      </c>
      <c r="L1652" s="10" t="s">
        <v>2141</v>
      </c>
    </row>
    <row r="1653" spans="1:12" x14ac:dyDescent="0.35">
      <c r="A1653" s="9">
        <v>1652</v>
      </c>
      <c r="B1653" s="19">
        <v>46035.782106481478</v>
      </c>
      <c r="C1653" s="20">
        <v>46035</v>
      </c>
      <c r="D1653" s="8" t="s">
        <v>394</v>
      </c>
      <c r="E1653" s="3">
        <v>0</v>
      </c>
      <c r="F1653" s="13">
        <v>883.5</v>
      </c>
      <c r="G1653" s="3">
        <v>883.5</v>
      </c>
      <c r="H1653" s="8" t="s">
        <v>51</v>
      </c>
      <c r="I1653" s="8" t="s">
        <v>71</v>
      </c>
      <c r="J1653" s="8" t="s">
        <v>32</v>
      </c>
      <c r="K1653" s="8" t="s">
        <v>25</v>
      </c>
      <c r="L1653" s="8" t="s">
        <v>2142</v>
      </c>
    </row>
    <row r="1654" spans="1:12" x14ac:dyDescent="0.35">
      <c r="A1654" s="11">
        <v>1653</v>
      </c>
      <c r="B1654" s="17">
        <v>46035.840092592603</v>
      </c>
      <c r="C1654" s="18">
        <v>46035</v>
      </c>
      <c r="D1654" s="10" t="s">
        <v>2143</v>
      </c>
      <c r="E1654" s="14">
        <v>3600</v>
      </c>
      <c r="F1654" s="5">
        <v>0</v>
      </c>
      <c r="G1654" s="5">
        <v>0</v>
      </c>
      <c r="H1654" s="10" t="s">
        <v>51</v>
      </c>
      <c r="I1654" s="10" t="s">
        <v>52</v>
      </c>
      <c r="J1654" s="10" t="s">
        <v>30</v>
      </c>
      <c r="K1654" s="10" t="s">
        <v>25</v>
      </c>
      <c r="L1654" s="10" t="s">
        <v>2144</v>
      </c>
    </row>
    <row r="1655" spans="1:12" x14ac:dyDescent="0.35">
      <c r="A1655" s="9">
        <v>1654</v>
      </c>
      <c r="B1655" s="19">
        <v>46035.840150462973</v>
      </c>
      <c r="C1655" s="20">
        <v>46035</v>
      </c>
      <c r="D1655" s="8" t="s">
        <v>394</v>
      </c>
      <c r="E1655" s="3">
        <v>0</v>
      </c>
      <c r="F1655" s="13">
        <v>3600</v>
      </c>
      <c r="G1655" s="3">
        <v>3600</v>
      </c>
      <c r="H1655" s="8" t="s">
        <v>51</v>
      </c>
      <c r="I1655" s="8" t="s">
        <v>71</v>
      </c>
      <c r="J1655" s="8" t="s">
        <v>32</v>
      </c>
      <c r="K1655" s="8" t="s">
        <v>25</v>
      </c>
      <c r="L1655" s="8" t="s">
        <v>2145</v>
      </c>
    </row>
    <row r="1656" spans="1:12" x14ac:dyDescent="0.35">
      <c r="A1656" s="11">
        <v>1655</v>
      </c>
      <c r="B1656" s="17">
        <v>46036.175092592603</v>
      </c>
      <c r="C1656" s="18">
        <v>46036</v>
      </c>
      <c r="D1656" s="10" t="s">
        <v>2146</v>
      </c>
      <c r="E1656" s="14">
        <v>150</v>
      </c>
      <c r="F1656" s="5">
        <v>0</v>
      </c>
      <c r="G1656" s="5">
        <v>0</v>
      </c>
      <c r="H1656" s="10" t="s">
        <v>51</v>
      </c>
      <c r="I1656" s="10" t="s">
        <v>52</v>
      </c>
      <c r="J1656" s="10" t="s">
        <v>36</v>
      </c>
      <c r="K1656" s="10" t="s">
        <v>25</v>
      </c>
      <c r="L1656" s="10" t="s">
        <v>2147</v>
      </c>
    </row>
    <row r="1657" spans="1:12" x14ac:dyDescent="0.35">
      <c r="A1657" s="9">
        <v>1656</v>
      </c>
      <c r="B1657" s="19">
        <v>46036.175104166658</v>
      </c>
      <c r="C1657" s="20">
        <v>46036</v>
      </c>
      <c r="D1657" s="8" t="s">
        <v>394</v>
      </c>
      <c r="E1657" s="3">
        <v>0</v>
      </c>
      <c r="F1657" s="13">
        <v>150</v>
      </c>
      <c r="G1657" s="3">
        <v>150</v>
      </c>
      <c r="H1657" s="8" t="s">
        <v>51</v>
      </c>
      <c r="I1657" s="8" t="s">
        <v>71</v>
      </c>
      <c r="J1657" s="8" t="s">
        <v>32</v>
      </c>
      <c r="K1657" s="8" t="s">
        <v>25</v>
      </c>
      <c r="L1657" s="8" t="s">
        <v>2148</v>
      </c>
    </row>
    <row r="1658" spans="1:12" x14ac:dyDescent="0.35">
      <c r="A1658" s="11">
        <v>1657</v>
      </c>
      <c r="B1658" s="17">
        <v>46036.88621527778</v>
      </c>
      <c r="C1658" s="18">
        <v>46036</v>
      </c>
      <c r="D1658" s="10" t="s">
        <v>2143</v>
      </c>
      <c r="E1658" s="14">
        <v>4300</v>
      </c>
      <c r="F1658" s="5">
        <v>0</v>
      </c>
      <c r="G1658" s="5">
        <v>0</v>
      </c>
      <c r="H1658" s="10" t="s">
        <v>51</v>
      </c>
      <c r="I1658" s="10" t="s">
        <v>52</v>
      </c>
      <c r="J1658" s="10" t="s">
        <v>30</v>
      </c>
      <c r="K1658" s="10" t="s">
        <v>25</v>
      </c>
      <c r="L1658" s="10" t="s">
        <v>2149</v>
      </c>
    </row>
    <row r="1659" spans="1:12" x14ac:dyDescent="0.35">
      <c r="A1659" s="9">
        <v>1658</v>
      </c>
      <c r="B1659" s="19">
        <v>46036.886307870373</v>
      </c>
      <c r="C1659" s="20">
        <v>46036</v>
      </c>
      <c r="D1659" s="8" t="s">
        <v>394</v>
      </c>
      <c r="E1659" s="3">
        <v>0</v>
      </c>
      <c r="F1659" s="13">
        <v>4300</v>
      </c>
      <c r="G1659" s="3">
        <v>4300</v>
      </c>
      <c r="H1659" s="8" t="s">
        <v>51</v>
      </c>
      <c r="I1659" s="8" t="s">
        <v>71</v>
      </c>
      <c r="J1659" s="8" t="s">
        <v>32</v>
      </c>
      <c r="K1659" s="8" t="s">
        <v>25</v>
      </c>
      <c r="L1659" s="8" t="s">
        <v>2150</v>
      </c>
    </row>
    <row r="1660" spans="1:12" x14ac:dyDescent="0.35">
      <c r="A1660" s="11">
        <v>1659</v>
      </c>
      <c r="B1660" s="17">
        <v>46037.350995370369</v>
      </c>
      <c r="C1660" s="18">
        <v>46037</v>
      </c>
      <c r="D1660" s="10" t="s">
        <v>276</v>
      </c>
      <c r="E1660" s="14">
        <v>891</v>
      </c>
      <c r="F1660" s="5">
        <v>0</v>
      </c>
      <c r="G1660" s="5">
        <v>0</v>
      </c>
      <c r="H1660" s="10" t="s">
        <v>51</v>
      </c>
      <c r="I1660" s="10" t="s">
        <v>52</v>
      </c>
      <c r="J1660" s="10" t="s">
        <v>36</v>
      </c>
      <c r="K1660" s="10" t="s">
        <v>25</v>
      </c>
      <c r="L1660" s="10" t="s">
        <v>2151</v>
      </c>
    </row>
    <row r="1661" spans="1:12" x14ac:dyDescent="0.35">
      <c r="A1661" s="9">
        <v>1660</v>
      </c>
      <c r="B1661" s="19">
        <v>46037.351053240738</v>
      </c>
      <c r="C1661" s="20">
        <v>46037</v>
      </c>
      <c r="D1661" s="8" t="s">
        <v>394</v>
      </c>
      <c r="E1661" s="3">
        <v>0</v>
      </c>
      <c r="F1661" s="13">
        <v>891</v>
      </c>
      <c r="G1661" s="3">
        <v>891</v>
      </c>
      <c r="H1661" s="8" t="s">
        <v>51</v>
      </c>
      <c r="I1661" s="8" t="s">
        <v>71</v>
      </c>
      <c r="J1661" s="8" t="s">
        <v>32</v>
      </c>
      <c r="K1661" s="8" t="s">
        <v>25</v>
      </c>
      <c r="L1661" s="8" t="s">
        <v>2152</v>
      </c>
    </row>
    <row r="1662" spans="1:12" x14ac:dyDescent="0.35">
      <c r="A1662" s="11">
        <v>1661</v>
      </c>
      <c r="B1662" s="17">
        <v>46037.421354166669</v>
      </c>
      <c r="C1662" s="18">
        <v>46037</v>
      </c>
      <c r="D1662" s="10" t="s">
        <v>2153</v>
      </c>
      <c r="E1662" s="14">
        <v>1000</v>
      </c>
      <c r="F1662" s="5">
        <v>0</v>
      </c>
      <c r="G1662" s="5">
        <v>0</v>
      </c>
      <c r="H1662" s="10" t="s">
        <v>51</v>
      </c>
      <c r="I1662" s="10" t="s">
        <v>52</v>
      </c>
      <c r="J1662" s="10" t="s">
        <v>30</v>
      </c>
      <c r="K1662" s="10" t="s">
        <v>25</v>
      </c>
      <c r="L1662" s="10" t="s">
        <v>2154</v>
      </c>
    </row>
    <row r="1663" spans="1:12" x14ac:dyDescent="0.35">
      <c r="A1663" s="9">
        <v>1662</v>
      </c>
      <c r="B1663" s="19">
        <v>46037.421412037038</v>
      </c>
      <c r="C1663" s="20">
        <v>46037</v>
      </c>
      <c r="D1663" s="8" t="s">
        <v>394</v>
      </c>
      <c r="E1663" s="3">
        <v>0</v>
      </c>
      <c r="F1663" s="13">
        <v>1000</v>
      </c>
      <c r="G1663" s="3">
        <v>1000</v>
      </c>
      <c r="H1663" s="8" t="s">
        <v>51</v>
      </c>
      <c r="I1663" s="8" t="s">
        <v>71</v>
      </c>
      <c r="J1663" s="8" t="s">
        <v>32</v>
      </c>
      <c r="K1663" s="8" t="s">
        <v>25</v>
      </c>
      <c r="L1663" s="8" t="s">
        <v>2155</v>
      </c>
    </row>
    <row r="1664" spans="1:12" x14ac:dyDescent="0.35">
      <c r="A1664" s="11">
        <v>1663</v>
      </c>
      <c r="B1664" s="17">
        <v>46037.557569444441</v>
      </c>
      <c r="C1664" s="18">
        <v>46037</v>
      </c>
      <c r="D1664" s="10" t="s">
        <v>2156</v>
      </c>
      <c r="E1664" s="14">
        <v>6800</v>
      </c>
      <c r="F1664" s="5">
        <v>0</v>
      </c>
      <c r="G1664" s="5">
        <v>0</v>
      </c>
      <c r="H1664" s="10" t="s">
        <v>33</v>
      </c>
      <c r="I1664" s="10" t="s">
        <v>52</v>
      </c>
      <c r="J1664" s="10" t="s">
        <v>34</v>
      </c>
      <c r="K1664" s="10" t="s">
        <v>25</v>
      </c>
      <c r="L1664" s="10" t="s">
        <v>2157</v>
      </c>
    </row>
    <row r="1665" spans="1:12" x14ac:dyDescent="0.35">
      <c r="A1665" s="9">
        <v>1664</v>
      </c>
      <c r="B1665" s="19">
        <v>46037.557569444441</v>
      </c>
      <c r="C1665" s="20">
        <v>46037</v>
      </c>
      <c r="D1665" s="8" t="s">
        <v>394</v>
      </c>
      <c r="E1665" s="3">
        <v>0</v>
      </c>
      <c r="F1665" s="13">
        <v>6800</v>
      </c>
      <c r="G1665" s="3">
        <v>6800</v>
      </c>
      <c r="H1665" s="8" t="s">
        <v>51</v>
      </c>
      <c r="I1665" s="8" t="s">
        <v>71</v>
      </c>
      <c r="J1665" s="8" t="s">
        <v>32</v>
      </c>
      <c r="K1665" s="8" t="s">
        <v>25</v>
      </c>
      <c r="L1665" s="8" t="s">
        <v>2158</v>
      </c>
    </row>
    <row r="1666" spans="1:12" x14ac:dyDescent="0.35">
      <c r="A1666" s="11">
        <v>1665</v>
      </c>
      <c r="B1666" s="17">
        <v>46037.61990740741</v>
      </c>
      <c r="C1666" s="18">
        <v>46037</v>
      </c>
      <c r="D1666" s="10" t="s">
        <v>2159</v>
      </c>
      <c r="E1666" s="14">
        <v>3700</v>
      </c>
      <c r="F1666" s="5">
        <v>0</v>
      </c>
      <c r="G1666" s="5">
        <v>0</v>
      </c>
      <c r="H1666" s="10" t="s">
        <v>51</v>
      </c>
      <c r="I1666" s="10" t="s">
        <v>52</v>
      </c>
      <c r="J1666" s="10" t="s">
        <v>30</v>
      </c>
      <c r="K1666" s="10" t="s">
        <v>25</v>
      </c>
      <c r="L1666" s="10" t="s">
        <v>2160</v>
      </c>
    </row>
    <row r="1667" spans="1:12" x14ac:dyDescent="0.35">
      <c r="A1667" s="9">
        <v>1666</v>
      </c>
      <c r="B1667" s="19">
        <v>46037.619942129633</v>
      </c>
      <c r="C1667" s="20">
        <v>46037</v>
      </c>
      <c r="D1667" s="8" t="s">
        <v>394</v>
      </c>
      <c r="E1667" s="3">
        <v>0</v>
      </c>
      <c r="F1667" s="13">
        <v>3700</v>
      </c>
      <c r="G1667" s="3">
        <v>3700</v>
      </c>
      <c r="H1667" s="8" t="s">
        <v>51</v>
      </c>
      <c r="I1667" s="8" t="s">
        <v>71</v>
      </c>
      <c r="J1667" s="8" t="s">
        <v>32</v>
      </c>
      <c r="K1667" s="8" t="s">
        <v>25</v>
      </c>
      <c r="L1667" s="8" t="s">
        <v>2161</v>
      </c>
    </row>
    <row r="1668" spans="1:12" x14ac:dyDescent="0.35">
      <c r="A1668" s="11">
        <v>1667</v>
      </c>
      <c r="B1668" s="17">
        <v>46038.402858796297</v>
      </c>
      <c r="C1668" s="18">
        <v>46038</v>
      </c>
      <c r="D1668" s="10" t="s">
        <v>2162</v>
      </c>
      <c r="E1668" s="14">
        <v>3100</v>
      </c>
      <c r="F1668" s="5">
        <v>0</v>
      </c>
      <c r="G1668" s="5">
        <v>0</v>
      </c>
      <c r="H1668" s="10" t="s">
        <v>33</v>
      </c>
      <c r="I1668" s="10" t="s">
        <v>52</v>
      </c>
      <c r="J1668" s="10" t="s">
        <v>34</v>
      </c>
      <c r="K1668" s="10" t="s">
        <v>25</v>
      </c>
      <c r="L1668" s="10" t="s">
        <v>2163</v>
      </c>
    </row>
    <row r="1669" spans="1:12" x14ac:dyDescent="0.35">
      <c r="A1669" s="9">
        <v>1668</v>
      </c>
      <c r="B1669" s="19">
        <v>46038.402870370373</v>
      </c>
      <c r="C1669" s="20">
        <v>46038</v>
      </c>
      <c r="D1669" s="8" t="s">
        <v>394</v>
      </c>
      <c r="E1669" s="3">
        <v>0</v>
      </c>
      <c r="F1669" s="13">
        <v>3100</v>
      </c>
      <c r="G1669" s="3">
        <v>3100</v>
      </c>
      <c r="H1669" s="8" t="s">
        <v>51</v>
      </c>
      <c r="I1669" s="8" t="s">
        <v>71</v>
      </c>
      <c r="J1669" s="8" t="s">
        <v>32</v>
      </c>
      <c r="K1669" s="8" t="s">
        <v>25</v>
      </c>
      <c r="L1669" s="8" t="s">
        <v>2164</v>
      </c>
    </row>
    <row r="1670" spans="1:12" x14ac:dyDescent="0.35">
      <c r="A1670" s="11">
        <v>1669</v>
      </c>
      <c r="B1670" s="17">
        <v>46038.415810185194</v>
      </c>
      <c r="C1670" s="18">
        <v>46038</v>
      </c>
      <c r="D1670" s="10" t="s">
        <v>2165</v>
      </c>
      <c r="E1670" s="14">
        <v>2000</v>
      </c>
      <c r="F1670" s="5">
        <v>0</v>
      </c>
      <c r="G1670" s="5">
        <v>0</v>
      </c>
      <c r="H1670" s="10" t="s">
        <v>51</v>
      </c>
      <c r="I1670" s="10" t="s">
        <v>52</v>
      </c>
      <c r="J1670" s="10" t="s">
        <v>30</v>
      </c>
      <c r="K1670" s="10" t="s">
        <v>25</v>
      </c>
      <c r="L1670" s="10" t="s">
        <v>2166</v>
      </c>
    </row>
    <row r="1671" spans="1:12" x14ac:dyDescent="0.35">
      <c r="A1671" s="9">
        <v>1670</v>
      </c>
      <c r="B1671" s="19">
        <v>46038.415868055563</v>
      </c>
      <c r="C1671" s="20">
        <v>46038</v>
      </c>
      <c r="D1671" s="8" t="s">
        <v>394</v>
      </c>
      <c r="E1671" s="3">
        <v>0</v>
      </c>
      <c r="F1671" s="13">
        <v>2000</v>
      </c>
      <c r="G1671" s="3">
        <v>2000</v>
      </c>
      <c r="H1671" s="8" t="s">
        <v>51</v>
      </c>
      <c r="I1671" s="8" t="s">
        <v>71</v>
      </c>
      <c r="J1671" s="8" t="s">
        <v>32</v>
      </c>
      <c r="K1671" s="8" t="s">
        <v>25</v>
      </c>
      <c r="L1671" s="8" t="s">
        <v>2167</v>
      </c>
    </row>
    <row r="1672" spans="1:12" x14ac:dyDescent="0.35">
      <c r="A1672" s="11">
        <v>1671</v>
      </c>
      <c r="B1672" s="17">
        <v>46038.43954861111</v>
      </c>
      <c r="C1672" s="18">
        <v>46038</v>
      </c>
      <c r="D1672" s="10" t="s">
        <v>2168</v>
      </c>
      <c r="E1672" s="14">
        <v>3100</v>
      </c>
      <c r="F1672" s="5">
        <v>0</v>
      </c>
      <c r="G1672" s="5">
        <v>0</v>
      </c>
      <c r="H1672" s="10" t="s">
        <v>51</v>
      </c>
      <c r="I1672" s="10" t="s">
        <v>52</v>
      </c>
      <c r="J1672" s="10" t="s">
        <v>30</v>
      </c>
      <c r="K1672" s="10" t="s">
        <v>25</v>
      </c>
      <c r="L1672" s="10" t="s">
        <v>2169</v>
      </c>
    </row>
    <row r="1673" spans="1:12" x14ac:dyDescent="0.35">
      <c r="A1673" s="9">
        <v>1672</v>
      </c>
      <c r="B1673" s="19">
        <v>46038.439675925933</v>
      </c>
      <c r="C1673" s="20">
        <v>46038</v>
      </c>
      <c r="D1673" s="8" t="s">
        <v>394</v>
      </c>
      <c r="E1673" s="3">
        <v>0</v>
      </c>
      <c r="F1673" s="13">
        <v>3100</v>
      </c>
      <c r="G1673" s="3">
        <v>3100</v>
      </c>
      <c r="H1673" s="8" t="s">
        <v>51</v>
      </c>
      <c r="I1673" s="8" t="s">
        <v>71</v>
      </c>
      <c r="J1673" s="8" t="s">
        <v>32</v>
      </c>
      <c r="K1673" s="8" t="s">
        <v>25</v>
      </c>
      <c r="L1673" s="8" t="s">
        <v>2170</v>
      </c>
    </row>
    <row r="1674" spans="1:12" x14ac:dyDescent="0.35">
      <c r="A1674" s="11">
        <v>1673</v>
      </c>
      <c r="B1674" s="17">
        <v>46038.744212962964</v>
      </c>
      <c r="C1674" s="18">
        <v>46038</v>
      </c>
      <c r="D1674" s="10" t="s">
        <v>2171</v>
      </c>
      <c r="E1674" s="14">
        <v>4300</v>
      </c>
      <c r="F1674" s="5">
        <v>0</v>
      </c>
      <c r="G1674" s="5">
        <v>0</v>
      </c>
      <c r="H1674" s="10" t="s">
        <v>33</v>
      </c>
      <c r="I1674" s="10" t="s">
        <v>52</v>
      </c>
      <c r="J1674" s="10" t="s">
        <v>34</v>
      </c>
      <c r="K1674" s="10" t="s">
        <v>25</v>
      </c>
      <c r="L1674" s="10" t="s">
        <v>2172</v>
      </c>
    </row>
    <row r="1675" spans="1:12" x14ac:dyDescent="0.35">
      <c r="A1675" s="9">
        <v>1674</v>
      </c>
      <c r="B1675" s="19">
        <v>46038.744212962964</v>
      </c>
      <c r="C1675" s="20">
        <v>46038</v>
      </c>
      <c r="D1675" s="8" t="s">
        <v>394</v>
      </c>
      <c r="E1675" s="3">
        <v>0</v>
      </c>
      <c r="F1675" s="13">
        <v>4300</v>
      </c>
      <c r="G1675" s="3">
        <v>4300</v>
      </c>
      <c r="H1675" s="8" t="s">
        <v>51</v>
      </c>
      <c r="I1675" s="8" t="s">
        <v>71</v>
      </c>
      <c r="J1675" s="8" t="s">
        <v>32</v>
      </c>
      <c r="K1675" s="8" t="s">
        <v>25</v>
      </c>
      <c r="L1675" s="8" t="s">
        <v>2173</v>
      </c>
    </row>
    <row r="1676" spans="1:12" x14ac:dyDescent="0.35">
      <c r="A1676" s="11">
        <v>1675</v>
      </c>
      <c r="B1676" s="17">
        <v>46038.773912037039</v>
      </c>
      <c r="C1676" s="18">
        <v>46038</v>
      </c>
      <c r="D1676" s="10" t="s">
        <v>1121</v>
      </c>
      <c r="E1676" s="14">
        <v>1000</v>
      </c>
      <c r="F1676" s="5">
        <v>0</v>
      </c>
      <c r="G1676" s="5">
        <v>0</v>
      </c>
      <c r="H1676" s="10" t="s">
        <v>51</v>
      </c>
      <c r="I1676" s="10" t="s">
        <v>52</v>
      </c>
      <c r="J1676" s="10" t="s">
        <v>30</v>
      </c>
      <c r="K1676" s="10" t="s">
        <v>25</v>
      </c>
      <c r="L1676" s="10" t="s">
        <v>2174</v>
      </c>
    </row>
    <row r="1677" spans="1:12" x14ac:dyDescent="0.35">
      <c r="A1677" s="9">
        <v>1676</v>
      </c>
      <c r="B1677" s="19">
        <v>46038.774039351847</v>
      </c>
      <c r="C1677" s="20">
        <v>46038</v>
      </c>
      <c r="D1677" s="8" t="s">
        <v>394</v>
      </c>
      <c r="E1677" s="3">
        <v>0</v>
      </c>
      <c r="F1677" s="13">
        <v>1000</v>
      </c>
      <c r="G1677" s="3">
        <v>1000</v>
      </c>
      <c r="H1677" s="8" t="s">
        <v>51</v>
      </c>
      <c r="I1677" s="8" t="s">
        <v>71</v>
      </c>
      <c r="J1677" s="8" t="s">
        <v>32</v>
      </c>
      <c r="K1677" s="8" t="s">
        <v>25</v>
      </c>
      <c r="L1677" s="8" t="s">
        <v>2175</v>
      </c>
    </row>
    <row r="1678" spans="1:12" x14ac:dyDescent="0.35">
      <c r="A1678" s="11">
        <v>1677</v>
      </c>
      <c r="B1678" s="17">
        <v>46040.259629629632</v>
      </c>
      <c r="C1678" s="18">
        <v>46040</v>
      </c>
      <c r="D1678" s="10" t="s">
        <v>276</v>
      </c>
      <c r="E1678" s="14">
        <v>891</v>
      </c>
      <c r="F1678" s="5">
        <v>0</v>
      </c>
      <c r="G1678" s="5">
        <v>0</v>
      </c>
      <c r="H1678" s="10" t="s">
        <v>51</v>
      </c>
      <c r="I1678" s="10" t="s">
        <v>52</v>
      </c>
      <c r="J1678" s="10" t="s">
        <v>36</v>
      </c>
      <c r="K1678" s="10" t="s">
        <v>25</v>
      </c>
      <c r="L1678" s="10" t="s">
        <v>2176</v>
      </c>
    </row>
    <row r="1679" spans="1:12" x14ac:dyDescent="0.35">
      <c r="A1679" s="9">
        <v>1678</v>
      </c>
      <c r="B1679" s="19">
        <v>46040.259699074071</v>
      </c>
      <c r="C1679" s="20">
        <v>46040</v>
      </c>
      <c r="D1679" s="8" t="s">
        <v>394</v>
      </c>
      <c r="E1679" s="3">
        <v>0</v>
      </c>
      <c r="F1679" s="13">
        <v>891</v>
      </c>
      <c r="G1679" s="3">
        <v>891</v>
      </c>
      <c r="H1679" s="8" t="s">
        <v>51</v>
      </c>
      <c r="I1679" s="8" t="s">
        <v>71</v>
      </c>
      <c r="J1679" s="8" t="s">
        <v>32</v>
      </c>
      <c r="K1679" s="8" t="s">
        <v>25</v>
      </c>
      <c r="L1679" s="8" t="s">
        <v>2177</v>
      </c>
    </row>
    <row r="1680" spans="1:12" x14ac:dyDescent="0.35">
      <c r="A1680" s="11">
        <v>1679</v>
      </c>
      <c r="B1680" s="17">
        <v>46041.506180555552</v>
      </c>
      <c r="C1680" s="18">
        <v>46041</v>
      </c>
      <c r="D1680" s="10" t="s">
        <v>2178</v>
      </c>
      <c r="E1680" s="14">
        <v>1000</v>
      </c>
      <c r="F1680" s="5">
        <v>0</v>
      </c>
      <c r="G1680" s="5">
        <v>0</v>
      </c>
      <c r="H1680" s="10" t="s">
        <v>51</v>
      </c>
      <c r="I1680" s="10" t="s">
        <v>52</v>
      </c>
      <c r="J1680" s="10" t="s">
        <v>30</v>
      </c>
      <c r="K1680" s="10" t="s">
        <v>25</v>
      </c>
      <c r="L1680" s="10" t="s">
        <v>2179</v>
      </c>
    </row>
    <row r="1681" spans="1:12" x14ac:dyDescent="0.35">
      <c r="A1681" s="9">
        <v>1680</v>
      </c>
      <c r="B1681" s="19">
        <v>46041.506226851852</v>
      </c>
      <c r="C1681" s="20">
        <v>46041</v>
      </c>
      <c r="D1681" s="8" t="s">
        <v>394</v>
      </c>
      <c r="E1681" s="3">
        <v>0</v>
      </c>
      <c r="F1681" s="13">
        <v>1000</v>
      </c>
      <c r="G1681" s="3">
        <v>1000</v>
      </c>
      <c r="H1681" s="8" t="s">
        <v>51</v>
      </c>
      <c r="I1681" s="8" t="s">
        <v>71</v>
      </c>
      <c r="J1681" s="8" t="s">
        <v>32</v>
      </c>
      <c r="K1681" s="8" t="s">
        <v>25</v>
      </c>
      <c r="L1681" s="8" t="s">
        <v>2180</v>
      </c>
    </row>
    <row r="1682" spans="1:12" x14ac:dyDescent="0.35">
      <c r="A1682" s="11">
        <v>1681</v>
      </c>
      <c r="B1682" s="17">
        <v>46041.60465277778</v>
      </c>
      <c r="C1682" s="18">
        <v>46041</v>
      </c>
      <c r="D1682" s="10" t="s">
        <v>2181</v>
      </c>
      <c r="E1682" s="14">
        <v>7300</v>
      </c>
      <c r="F1682" s="5">
        <v>0</v>
      </c>
      <c r="G1682" s="5">
        <v>0</v>
      </c>
      <c r="H1682" s="10" t="s">
        <v>51</v>
      </c>
      <c r="I1682" s="10" t="s">
        <v>52</v>
      </c>
      <c r="J1682" s="10" t="s">
        <v>30</v>
      </c>
      <c r="K1682" s="10" t="s">
        <v>25</v>
      </c>
      <c r="L1682" s="10" t="s">
        <v>2182</v>
      </c>
    </row>
    <row r="1683" spans="1:12" x14ac:dyDescent="0.35">
      <c r="A1683" s="9">
        <v>1682</v>
      </c>
      <c r="B1683" s="19">
        <v>46041.604699074072</v>
      </c>
      <c r="C1683" s="20">
        <v>46041</v>
      </c>
      <c r="D1683" s="8" t="s">
        <v>394</v>
      </c>
      <c r="E1683" s="3">
        <v>0</v>
      </c>
      <c r="F1683" s="13">
        <v>7300</v>
      </c>
      <c r="G1683" s="3">
        <v>7300</v>
      </c>
      <c r="H1683" s="8" t="s">
        <v>51</v>
      </c>
      <c r="I1683" s="8" t="s">
        <v>71</v>
      </c>
      <c r="J1683" s="8" t="s">
        <v>32</v>
      </c>
      <c r="K1683" s="8" t="s">
        <v>25</v>
      </c>
      <c r="L1683" s="8" t="s">
        <v>2183</v>
      </c>
    </row>
    <row r="1684" spans="1:12" x14ac:dyDescent="0.35">
      <c r="A1684" s="11">
        <v>1683</v>
      </c>
      <c r="B1684" s="17">
        <v>46041.635509259257</v>
      </c>
      <c r="C1684" s="18">
        <v>46041</v>
      </c>
      <c r="D1684" s="10" t="s">
        <v>461</v>
      </c>
      <c r="E1684" s="14">
        <v>500</v>
      </c>
      <c r="F1684" s="5">
        <v>0</v>
      </c>
      <c r="G1684" s="5">
        <v>0</v>
      </c>
      <c r="H1684" s="10" t="s">
        <v>51</v>
      </c>
      <c r="I1684" s="10" t="s">
        <v>52</v>
      </c>
      <c r="J1684" s="10" t="s">
        <v>30</v>
      </c>
      <c r="K1684" s="10" t="s">
        <v>25</v>
      </c>
      <c r="L1684" s="10" t="s">
        <v>2184</v>
      </c>
    </row>
    <row r="1685" spans="1:12" x14ac:dyDescent="0.35">
      <c r="A1685" s="9">
        <v>1684</v>
      </c>
      <c r="B1685" s="19">
        <v>46041.635555555556</v>
      </c>
      <c r="C1685" s="20">
        <v>46041</v>
      </c>
      <c r="D1685" s="8" t="s">
        <v>394</v>
      </c>
      <c r="E1685" s="3">
        <v>0</v>
      </c>
      <c r="F1685" s="13">
        <v>500</v>
      </c>
      <c r="G1685" s="3">
        <v>500</v>
      </c>
      <c r="H1685" s="8" t="s">
        <v>51</v>
      </c>
      <c r="I1685" s="8" t="s">
        <v>71</v>
      </c>
      <c r="J1685" s="8" t="s">
        <v>32</v>
      </c>
      <c r="K1685" s="8" t="s">
        <v>25</v>
      </c>
      <c r="L1685" s="8" t="s">
        <v>2185</v>
      </c>
    </row>
    <row r="1686" spans="1:12" x14ac:dyDescent="0.35">
      <c r="A1686" s="11">
        <v>1685</v>
      </c>
      <c r="B1686" s="17">
        <v>46041.70521990741</v>
      </c>
      <c r="C1686" s="18">
        <v>46041</v>
      </c>
      <c r="D1686" s="10" t="s">
        <v>2186</v>
      </c>
      <c r="E1686" s="14">
        <v>9520</v>
      </c>
      <c r="F1686" s="5">
        <v>0</v>
      </c>
      <c r="G1686" s="5">
        <v>0</v>
      </c>
      <c r="H1686" s="10" t="s">
        <v>33</v>
      </c>
      <c r="I1686" s="10" t="s">
        <v>52</v>
      </c>
      <c r="J1686" s="10" t="s">
        <v>34</v>
      </c>
      <c r="K1686" s="10" t="s">
        <v>25</v>
      </c>
      <c r="L1686" s="10" t="s">
        <v>2187</v>
      </c>
    </row>
    <row r="1687" spans="1:12" x14ac:dyDescent="0.35">
      <c r="A1687" s="9">
        <v>1686</v>
      </c>
      <c r="B1687" s="19">
        <v>46041.70521990741</v>
      </c>
      <c r="C1687" s="20">
        <v>46041</v>
      </c>
      <c r="D1687" s="8" t="s">
        <v>394</v>
      </c>
      <c r="E1687" s="3">
        <v>0</v>
      </c>
      <c r="F1687" s="13">
        <v>9520</v>
      </c>
      <c r="G1687" s="3">
        <v>9520</v>
      </c>
      <c r="H1687" s="8" t="s">
        <v>51</v>
      </c>
      <c r="I1687" s="8" t="s">
        <v>71</v>
      </c>
      <c r="J1687" s="8" t="s">
        <v>32</v>
      </c>
      <c r="K1687" s="8" t="s">
        <v>25</v>
      </c>
      <c r="L1687" s="8" t="s">
        <v>2188</v>
      </c>
    </row>
    <row r="1688" spans="1:12" x14ac:dyDescent="0.35">
      <c r="A1688" s="11">
        <v>1687</v>
      </c>
      <c r="B1688" s="17">
        <v>46041.706377314818</v>
      </c>
      <c r="C1688" s="18">
        <v>46041</v>
      </c>
      <c r="D1688" s="10" t="s">
        <v>2189</v>
      </c>
      <c r="E1688" s="14">
        <v>7270</v>
      </c>
      <c r="F1688" s="5">
        <v>0</v>
      </c>
      <c r="G1688" s="5">
        <v>0</v>
      </c>
      <c r="H1688" s="10" t="s">
        <v>33</v>
      </c>
      <c r="I1688" s="10" t="s">
        <v>52</v>
      </c>
      <c r="J1688" s="10" t="s">
        <v>34</v>
      </c>
      <c r="K1688" s="10" t="s">
        <v>25</v>
      </c>
      <c r="L1688" s="10" t="s">
        <v>2190</v>
      </c>
    </row>
    <row r="1689" spans="1:12" x14ac:dyDescent="0.35">
      <c r="A1689" s="9">
        <v>1688</v>
      </c>
      <c r="B1689" s="19">
        <v>46041.706377314818</v>
      </c>
      <c r="C1689" s="20">
        <v>46041</v>
      </c>
      <c r="D1689" s="8" t="s">
        <v>394</v>
      </c>
      <c r="E1689" s="3">
        <v>0</v>
      </c>
      <c r="F1689" s="13">
        <v>7270</v>
      </c>
      <c r="G1689" s="3">
        <v>7270</v>
      </c>
      <c r="H1689" s="8" t="s">
        <v>51</v>
      </c>
      <c r="I1689" s="8" t="s">
        <v>71</v>
      </c>
      <c r="J1689" s="8" t="s">
        <v>32</v>
      </c>
      <c r="K1689" s="8" t="s">
        <v>25</v>
      </c>
      <c r="L1689" s="8" t="s">
        <v>2191</v>
      </c>
    </row>
    <row r="1690" spans="1:12" x14ac:dyDescent="0.35">
      <c r="A1690" s="11">
        <v>1689</v>
      </c>
      <c r="B1690" s="17">
        <v>46041.710011574083</v>
      </c>
      <c r="C1690" s="18">
        <v>46041</v>
      </c>
      <c r="D1690" s="10" t="s">
        <v>2192</v>
      </c>
      <c r="E1690" s="14">
        <v>4000</v>
      </c>
      <c r="F1690" s="5">
        <v>0</v>
      </c>
      <c r="G1690" s="5">
        <v>0</v>
      </c>
      <c r="H1690" s="10" t="s">
        <v>33</v>
      </c>
      <c r="I1690" s="10" t="s">
        <v>52</v>
      </c>
      <c r="J1690" s="10" t="s">
        <v>34</v>
      </c>
      <c r="K1690" s="10" t="s">
        <v>25</v>
      </c>
      <c r="L1690" s="10" t="s">
        <v>2193</v>
      </c>
    </row>
    <row r="1691" spans="1:12" x14ac:dyDescent="0.35">
      <c r="A1691" s="9">
        <v>1690</v>
      </c>
      <c r="B1691" s="19">
        <v>46041.710011574083</v>
      </c>
      <c r="C1691" s="20">
        <v>46041</v>
      </c>
      <c r="D1691" s="8" t="s">
        <v>394</v>
      </c>
      <c r="E1691" s="3">
        <v>0</v>
      </c>
      <c r="F1691" s="13">
        <v>4000</v>
      </c>
      <c r="G1691" s="3">
        <v>4000</v>
      </c>
      <c r="H1691" s="8" t="s">
        <v>51</v>
      </c>
      <c r="I1691" s="8" t="s">
        <v>71</v>
      </c>
      <c r="J1691" s="8" t="s">
        <v>32</v>
      </c>
      <c r="K1691" s="8" t="s">
        <v>25</v>
      </c>
      <c r="L1691" s="8" t="s">
        <v>2194</v>
      </c>
    </row>
    <row r="1692" spans="1:12" x14ac:dyDescent="0.35">
      <c r="A1692" s="11">
        <v>1691</v>
      </c>
      <c r="B1692" s="17">
        <v>46042.559270833342</v>
      </c>
      <c r="C1692" s="18">
        <v>46042</v>
      </c>
      <c r="D1692" s="10" t="s">
        <v>2195</v>
      </c>
      <c r="E1692" s="14">
        <v>5000</v>
      </c>
      <c r="F1692" s="5">
        <v>0</v>
      </c>
      <c r="G1692" s="5">
        <v>0</v>
      </c>
      <c r="H1692" s="10" t="s">
        <v>51</v>
      </c>
      <c r="I1692" s="10" t="s">
        <v>52</v>
      </c>
      <c r="J1692" s="10" t="s">
        <v>30</v>
      </c>
      <c r="K1692" s="10" t="s">
        <v>25</v>
      </c>
      <c r="L1692" s="10" t="s">
        <v>2196</v>
      </c>
    </row>
    <row r="1693" spans="1:12" x14ac:dyDescent="0.35">
      <c r="A1693" s="9">
        <v>1692</v>
      </c>
      <c r="B1693" s="19">
        <v>46042.559317129628</v>
      </c>
      <c r="C1693" s="20">
        <v>46042</v>
      </c>
      <c r="D1693" s="8" t="s">
        <v>394</v>
      </c>
      <c r="E1693" s="3">
        <v>0</v>
      </c>
      <c r="F1693" s="13">
        <v>5000</v>
      </c>
      <c r="G1693" s="3">
        <v>5000</v>
      </c>
      <c r="H1693" s="8" t="s">
        <v>51</v>
      </c>
      <c r="I1693" s="8" t="s">
        <v>71</v>
      </c>
      <c r="J1693" s="8" t="s">
        <v>32</v>
      </c>
      <c r="K1693" s="8" t="s">
        <v>25</v>
      </c>
      <c r="L1693" s="8" t="s">
        <v>2197</v>
      </c>
    </row>
    <row r="1694" spans="1:12" x14ac:dyDescent="0.35">
      <c r="A1694" s="11">
        <v>1693</v>
      </c>
      <c r="B1694" s="17">
        <v>46042.714930555558</v>
      </c>
      <c r="C1694" s="18">
        <v>46042</v>
      </c>
      <c r="D1694" s="10" t="s">
        <v>1686</v>
      </c>
      <c r="E1694" s="14">
        <v>750</v>
      </c>
      <c r="F1694" s="5">
        <v>0</v>
      </c>
      <c r="G1694" s="5">
        <v>0</v>
      </c>
      <c r="H1694" s="10" t="s">
        <v>51</v>
      </c>
      <c r="I1694" s="10" t="s">
        <v>52</v>
      </c>
      <c r="J1694" s="10" t="s">
        <v>36</v>
      </c>
      <c r="K1694" s="10" t="s">
        <v>25</v>
      </c>
      <c r="L1694" s="10" t="s">
        <v>2198</v>
      </c>
    </row>
    <row r="1695" spans="1:12" x14ac:dyDescent="0.35">
      <c r="A1695" s="9">
        <v>1694</v>
      </c>
      <c r="B1695" s="19">
        <v>46042.714988425927</v>
      </c>
      <c r="C1695" s="20">
        <v>46042</v>
      </c>
      <c r="D1695" s="8" t="s">
        <v>394</v>
      </c>
      <c r="E1695" s="3">
        <v>0</v>
      </c>
      <c r="F1695" s="13">
        <v>750</v>
      </c>
      <c r="G1695" s="3">
        <v>750</v>
      </c>
      <c r="H1695" s="8" t="s">
        <v>51</v>
      </c>
      <c r="I1695" s="8" t="s">
        <v>71</v>
      </c>
      <c r="J1695" s="8" t="s">
        <v>32</v>
      </c>
      <c r="K1695" s="8" t="s">
        <v>25</v>
      </c>
      <c r="L1695" s="8" t="s">
        <v>2199</v>
      </c>
    </row>
    <row r="1696" spans="1:12" x14ac:dyDescent="0.35">
      <c r="A1696" s="11">
        <v>1695</v>
      </c>
      <c r="B1696" s="17">
        <v>46042.729849537027</v>
      </c>
      <c r="C1696" s="18">
        <v>46042</v>
      </c>
      <c r="D1696" s="10" t="s">
        <v>2200</v>
      </c>
      <c r="E1696" s="14">
        <v>1890</v>
      </c>
      <c r="F1696" s="5">
        <v>0</v>
      </c>
      <c r="G1696" s="5">
        <v>0</v>
      </c>
      <c r="H1696" s="10" t="s">
        <v>33</v>
      </c>
      <c r="I1696" s="10" t="s">
        <v>52</v>
      </c>
      <c r="J1696" s="10" t="s">
        <v>34</v>
      </c>
      <c r="K1696" s="10" t="s">
        <v>25</v>
      </c>
      <c r="L1696" s="10" t="s">
        <v>2201</v>
      </c>
    </row>
    <row r="1697" spans="1:12" x14ac:dyDescent="0.35">
      <c r="A1697" s="9">
        <v>1696</v>
      </c>
      <c r="B1697" s="19">
        <v>46042.729849537027</v>
      </c>
      <c r="C1697" s="20">
        <v>46042</v>
      </c>
      <c r="D1697" s="8" t="s">
        <v>394</v>
      </c>
      <c r="E1697" s="3">
        <v>0</v>
      </c>
      <c r="F1697" s="13">
        <v>1890</v>
      </c>
      <c r="G1697" s="3">
        <v>1890</v>
      </c>
      <c r="H1697" s="8" t="s">
        <v>51</v>
      </c>
      <c r="I1697" s="8" t="s">
        <v>71</v>
      </c>
      <c r="J1697" s="8" t="s">
        <v>32</v>
      </c>
      <c r="K1697" s="8" t="s">
        <v>25</v>
      </c>
      <c r="L1697" s="8" t="s">
        <v>2202</v>
      </c>
    </row>
    <row r="1698" spans="1:12" x14ac:dyDescent="0.35">
      <c r="A1698" s="11">
        <v>1697</v>
      </c>
      <c r="B1698" s="17">
        <v>46042.756863425922</v>
      </c>
      <c r="C1698" s="18">
        <v>46042</v>
      </c>
      <c r="D1698" s="10" t="s">
        <v>2203</v>
      </c>
      <c r="E1698" s="14">
        <v>4000</v>
      </c>
      <c r="F1698" s="5">
        <v>0</v>
      </c>
      <c r="G1698" s="5">
        <v>0</v>
      </c>
      <c r="H1698" s="10" t="s">
        <v>51</v>
      </c>
      <c r="I1698" s="10" t="s">
        <v>52</v>
      </c>
      <c r="J1698" s="10" t="s">
        <v>30</v>
      </c>
      <c r="K1698" s="10" t="s">
        <v>25</v>
      </c>
      <c r="L1698" s="10" t="s">
        <v>2204</v>
      </c>
    </row>
    <row r="1699" spans="1:12" x14ac:dyDescent="0.35">
      <c r="A1699" s="9">
        <v>1698</v>
      </c>
      <c r="B1699" s="19">
        <v>46042.756909722222</v>
      </c>
      <c r="C1699" s="20">
        <v>46042</v>
      </c>
      <c r="D1699" s="8" t="s">
        <v>394</v>
      </c>
      <c r="E1699" s="3">
        <v>0</v>
      </c>
      <c r="F1699" s="13">
        <v>4000</v>
      </c>
      <c r="G1699" s="3">
        <v>4000</v>
      </c>
      <c r="H1699" s="8" t="s">
        <v>51</v>
      </c>
      <c r="I1699" s="8" t="s">
        <v>71</v>
      </c>
      <c r="J1699" s="8" t="s">
        <v>32</v>
      </c>
      <c r="K1699" s="8" t="s">
        <v>25</v>
      </c>
      <c r="L1699" s="8" t="s">
        <v>2205</v>
      </c>
    </row>
    <row r="1700" spans="1:12" x14ac:dyDescent="0.35">
      <c r="A1700" s="11">
        <v>1699</v>
      </c>
      <c r="B1700" s="17">
        <v>46043.411574074067</v>
      </c>
      <c r="C1700" s="18">
        <v>46043</v>
      </c>
      <c r="D1700" s="10" t="s">
        <v>188</v>
      </c>
      <c r="E1700" s="14">
        <v>983.5</v>
      </c>
      <c r="F1700" s="5">
        <v>0</v>
      </c>
      <c r="G1700" s="5">
        <v>0</v>
      </c>
      <c r="H1700" s="10" t="s">
        <v>51</v>
      </c>
      <c r="I1700" s="10" t="s">
        <v>52</v>
      </c>
      <c r="J1700" s="10" t="s">
        <v>37</v>
      </c>
      <c r="K1700" s="10" t="s">
        <v>25</v>
      </c>
      <c r="L1700" s="10" t="s">
        <v>2206</v>
      </c>
    </row>
    <row r="1701" spans="1:12" x14ac:dyDescent="0.35">
      <c r="A1701" s="9">
        <v>1700</v>
      </c>
      <c r="B1701" s="19">
        <v>46043.411817129629</v>
      </c>
      <c r="C1701" s="20">
        <v>46043</v>
      </c>
      <c r="D1701" s="8" t="s">
        <v>394</v>
      </c>
      <c r="E1701" s="3">
        <v>0</v>
      </c>
      <c r="F1701" s="13">
        <v>983.5</v>
      </c>
      <c r="G1701" s="3">
        <v>983.5</v>
      </c>
      <c r="H1701" s="8" t="s">
        <v>51</v>
      </c>
      <c r="I1701" s="8" t="s">
        <v>71</v>
      </c>
      <c r="J1701" s="8" t="s">
        <v>32</v>
      </c>
      <c r="K1701" s="8" t="s">
        <v>25</v>
      </c>
      <c r="L1701" s="8" t="s">
        <v>2207</v>
      </c>
    </row>
    <row r="1702" spans="1:12" x14ac:dyDescent="0.35">
      <c r="A1702" s="11">
        <v>1701</v>
      </c>
      <c r="B1702" s="17">
        <v>46043.443645833337</v>
      </c>
      <c r="C1702" s="18">
        <v>46043</v>
      </c>
      <c r="D1702" s="10" t="s">
        <v>2208</v>
      </c>
      <c r="E1702" s="14">
        <v>5000</v>
      </c>
      <c r="F1702" s="5">
        <v>0</v>
      </c>
      <c r="G1702" s="5">
        <v>0</v>
      </c>
      <c r="H1702" s="10" t="s">
        <v>51</v>
      </c>
      <c r="I1702" s="10" t="s">
        <v>52</v>
      </c>
      <c r="J1702" s="10" t="s">
        <v>30</v>
      </c>
      <c r="K1702" s="10" t="s">
        <v>25</v>
      </c>
      <c r="L1702" s="10" t="s">
        <v>2209</v>
      </c>
    </row>
    <row r="1703" spans="1:12" x14ac:dyDescent="0.35">
      <c r="A1703" s="9">
        <v>1702</v>
      </c>
      <c r="B1703" s="19">
        <v>46043.443692129629</v>
      </c>
      <c r="C1703" s="20">
        <v>46043</v>
      </c>
      <c r="D1703" s="8" t="s">
        <v>394</v>
      </c>
      <c r="E1703" s="3">
        <v>0</v>
      </c>
      <c r="F1703" s="13">
        <v>5000</v>
      </c>
      <c r="G1703" s="3">
        <v>5000</v>
      </c>
      <c r="H1703" s="8" t="s">
        <v>51</v>
      </c>
      <c r="I1703" s="8" t="s">
        <v>71</v>
      </c>
      <c r="J1703" s="8" t="s">
        <v>32</v>
      </c>
      <c r="K1703" s="8" t="s">
        <v>25</v>
      </c>
      <c r="L1703" s="8" t="s">
        <v>2210</v>
      </c>
    </row>
    <row r="1704" spans="1:12" x14ac:dyDescent="0.35">
      <c r="A1704" s="11">
        <v>1703</v>
      </c>
      <c r="B1704" s="17">
        <v>46045.551585648151</v>
      </c>
      <c r="C1704" s="18">
        <v>46045</v>
      </c>
      <c r="D1704" s="10" t="s">
        <v>2211</v>
      </c>
      <c r="E1704" s="14">
        <v>4500</v>
      </c>
      <c r="F1704" s="5">
        <v>0</v>
      </c>
      <c r="G1704" s="5">
        <v>0</v>
      </c>
      <c r="H1704" s="10" t="s">
        <v>33</v>
      </c>
      <c r="I1704" s="10" t="s">
        <v>52</v>
      </c>
      <c r="J1704" s="10" t="s">
        <v>34</v>
      </c>
      <c r="K1704" s="10" t="s">
        <v>25</v>
      </c>
      <c r="L1704" s="10" t="s">
        <v>2212</v>
      </c>
    </row>
    <row r="1705" spans="1:12" x14ac:dyDescent="0.35">
      <c r="A1705" s="9">
        <v>1704</v>
      </c>
      <c r="B1705" s="19">
        <v>46045.55159722222</v>
      </c>
      <c r="C1705" s="20">
        <v>46045</v>
      </c>
      <c r="D1705" s="8" t="s">
        <v>394</v>
      </c>
      <c r="E1705" s="3">
        <v>0</v>
      </c>
      <c r="F1705" s="13">
        <v>4500</v>
      </c>
      <c r="G1705" s="3">
        <v>4500</v>
      </c>
      <c r="H1705" s="8" t="s">
        <v>51</v>
      </c>
      <c r="I1705" s="8" t="s">
        <v>71</v>
      </c>
      <c r="J1705" s="8" t="s">
        <v>32</v>
      </c>
      <c r="K1705" s="8" t="s">
        <v>25</v>
      </c>
      <c r="L1705" s="8" t="s">
        <v>2213</v>
      </c>
    </row>
    <row r="1706" spans="1:12" x14ac:dyDescent="0.35">
      <c r="A1706" s="11">
        <v>1705</v>
      </c>
      <c r="B1706" s="17">
        <v>46047.285127314812</v>
      </c>
      <c r="C1706" s="18">
        <v>46047</v>
      </c>
      <c r="D1706" s="10" t="s">
        <v>276</v>
      </c>
      <c r="E1706" s="14">
        <v>890</v>
      </c>
      <c r="F1706" s="5">
        <v>0</v>
      </c>
      <c r="G1706" s="5">
        <v>0</v>
      </c>
      <c r="H1706" s="10" t="s">
        <v>51</v>
      </c>
      <c r="I1706" s="10" t="s">
        <v>52</v>
      </c>
      <c r="J1706" s="10" t="s">
        <v>36</v>
      </c>
      <c r="K1706" s="10" t="s">
        <v>25</v>
      </c>
      <c r="L1706" s="10" t="s">
        <v>2214</v>
      </c>
    </row>
    <row r="1707" spans="1:12" x14ac:dyDescent="0.35">
      <c r="A1707" s="9">
        <v>1706</v>
      </c>
      <c r="B1707" s="19">
        <v>46047.285185185188</v>
      </c>
      <c r="C1707" s="20">
        <v>46047</v>
      </c>
      <c r="D1707" s="8" t="s">
        <v>394</v>
      </c>
      <c r="E1707" s="3">
        <v>0</v>
      </c>
      <c r="F1707" s="13">
        <v>890</v>
      </c>
      <c r="G1707" s="3">
        <v>890</v>
      </c>
      <c r="H1707" s="8" t="s">
        <v>51</v>
      </c>
      <c r="I1707" s="8" t="s">
        <v>71</v>
      </c>
      <c r="J1707" s="8" t="s">
        <v>32</v>
      </c>
      <c r="K1707" s="8" t="s">
        <v>25</v>
      </c>
      <c r="L1707" s="8" t="s">
        <v>2215</v>
      </c>
    </row>
    <row r="1708" spans="1:12" x14ac:dyDescent="0.35">
      <c r="A1708" s="11">
        <v>1707</v>
      </c>
      <c r="B1708" s="17">
        <v>46047.437731481477</v>
      </c>
      <c r="C1708" s="18">
        <v>46047</v>
      </c>
      <c r="D1708" s="10" t="s">
        <v>2216</v>
      </c>
      <c r="E1708" s="14">
        <v>600</v>
      </c>
      <c r="F1708" s="5">
        <v>0</v>
      </c>
      <c r="G1708" s="5">
        <v>0</v>
      </c>
      <c r="H1708" s="10" t="s">
        <v>33</v>
      </c>
      <c r="I1708" s="10" t="s">
        <v>52</v>
      </c>
      <c r="J1708" s="10" t="s">
        <v>34</v>
      </c>
      <c r="K1708" s="10" t="s">
        <v>25</v>
      </c>
      <c r="L1708" s="10" t="s">
        <v>2217</v>
      </c>
    </row>
    <row r="1709" spans="1:12" x14ac:dyDescent="0.35">
      <c r="A1709" s="9">
        <v>1708</v>
      </c>
      <c r="B1709" s="19">
        <v>46047.437731481477</v>
      </c>
      <c r="C1709" s="20">
        <v>46047</v>
      </c>
      <c r="D1709" s="8" t="s">
        <v>394</v>
      </c>
      <c r="E1709" s="3">
        <v>0</v>
      </c>
      <c r="F1709" s="13">
        <v>600</v>
      </c>
      <c r="G1709" s="3">
        <v>600</v>
      </c>
      <c r="H1709" s="8" t="s">
        <v>51</v>
      </c>
      <c r="I1709" s="8" t="s">
        <v>71</v>
      </c>
      <c r="J1709" s="8" t="s">
        <v>32</v>
      </c>
      <c r="K1709" s="8" t="s">
        <v>25</v>
      </c>
      <c r="L1709" s="8" t="s">
        <v>2218</v>
      </c>
    </row>
    <row r="1710" spans="1:12" x14ac:dyDescent="0.35">
      <c r="A1710" s="11">
        <v>1709</v>
      </c>
      <c r="B1710" s="17">
        <v>46047.562615740739</v>
      </c>
      <c r="C1710" s="18">
        <v>46047</v>
      </c>
      <c r="D1710" s="10" t="s">
        <v>2219</v>
      </c>
      <c r="E1710" s="14">
        <v>2100</v>
      </c>
      <c r="F1710" s="5">
        <v>0</v>
      </c>
      <c r="G1710" s="5">
        <v>0</v>
      </c>
      <c r="H1710" s="10" t="s">
        <v>33</v>
      </c>
      <c r="I1710" s="10" t="s">
        <v>52</v>
      </c>
      <c r="J1710" s="10" t="s">
        <v>34</v>
      </c>
      <c r="K1710" s="10" t="s">
        <v>25</v>
      </c>
      <c r="L1710" s="10" t="s">
        <v>2220</v>
      </c>
    </row>
    <row r="1711" spans="1:12" x14ac:dyDescent="0.35">
      <c r="A1711" s="9">
        <v>1710</v>
      </c>
      <c r="B1711" s="19">
        <v>46047.562615740739</v>
      </c>
      <c r="C1711" s="20">
        <v>46047</v>
      </c>
      <c r="D1711" s="8" t="s">
        <v>394</v>
      </c>
      <c r="E1711" s="3">
        <v>0</v>
      </c>
      <c r="F1711" s="13">
        <v>2100</v>
      </c>
      <c r="G1711" s="3">
        <v>2100</v>
      </c>
      <c r="H1711" s="8" t="s">
        <v>51</v>
      </c>
      <c r="I1711" s="8" t="s">
        <v>71</v>
      </c>
      <c r="J1711" s="8" t="s">
        <v>32</v>
      </c>
      <c r="K1711" s="8" t="s">
        <v>25</v>
      </c>
      <c r="L1711" s="8" t="s">
        <v>2221</v>
      </c>
    </row>
    <row r="1712" spans="1:12" x14ac:dyDescent="0.35">
      <c r="A1712" s="11">
        <v>1711</v>
      </c>
      <c r="B1712" s="17">
        <v>46048.333379629628</v>
      </c>
      <c r="C1712" s="18">
        <v>46048</v>
      </c>
      <c r="D1712" s="10" t="s">
        <v>276</v>
      </c>
      <c r="E1712" s="14">
        <v>891</v>
      </c>
      <c r="F1712" s="5">
        <v>0</v>
      </c>
      <c r="G1712" s="5">
        <v>0</v>
      </c>
      <c r="H1712" s="10" t="s">
        <v>51</v>
      </c>
      <c r="I1712" s="10" t="s">
        <v>52</v>
      </c>
      <c r="J1712" s="10" t="s">
        <v>36</v>
      </c>
      <c r="K1712" s="10" t="s">
        <v>25</v>
      </c>
      <c r="L1712" s="10" t="s">
        <v>2222</v>
      </c>
    </row>
    <row r="1713" spans="1:12" x14ac:dyDescent="0.35">
      <c r="A1713" s="9">
        <v>1712</v>
      </c>
      <c r="B1713" s="19">
        <v>46048.333460648151</v>
      </c>
      <c r="C1713" s="20">
        <v>46048</v>
      </c>
      <c r="D1713" s="8" t="s">
        <v>394</v>
      </c>
      <c r="E1713" s="3">
        <v>0</v>
      </c>
      <c r="F1713" s="13">
        <v>891</v>
      </c>
      <c r="G1713" s="3">
        <v>891</v>
      </c>
      <c r="H1713" s="8" t="s">
        <v>51</v>
      </c>
      <c r="I1713" s="8" t="s">
        <v>71</v>
      </c>
      <c r="J1713" s="8" t="s">
        <v>32</v>
      </c>
      <c r="K1713" s="8" t="s">
        <v>25</v>
      </c>
      <c r="L1713" s="8" t="s">
        <v>2223</v>
      </c>
    </row>
    <row r="1714" spans="1:12" x14ac:dyDescent="0.35">
      <c r="A1714" s="11">
        <v>1713</v>
      </c>
      <c r="B1714" s="17">
        <v>46048.598553240743</v>
      </c>
      <c r="C1714" s="18">
        <v>46048</v>
      </c>
      <c r="D1714" s="10" t="s">
        <v>2224</v>
      </c>
      <c r="E1714" s="14">
        <v>9500</v>
      </c>
      <c r="F1714" s="5">
        <v>0</v>
      </c>
      <c r="G1714" s="5">
        <v>0</v>
      </c>
      <c r="H1714" s="10" t="s">
        <v>33</v>
      </c>
      <c r="I1714" s="10" t="s">
        <v>52</v>
      </c>
      <c r="J1714" s="10" t="s">
        <v>34</v>
      </c>
      <c r="K1714" s="10" t="s">
        <v>25</v>
      </c>
      <c r="L1714" s="10" t="s">
        <v>2225</v>
      </c>
    </row>
    <row r="1715" spans="1:12" x14ac:dyDescent="0.35">
      <c r="A1715" s="9">
        <v>1714</v>
      </c>
      <c r="B1715" s="19">
        <v>46048.598553240743</v>
      </c>
      <c r="C1715" s="20">
        <v>46048</v>
      </c>
      <c r="D1715" s="8" t="s">
        <v>394</v>
      </c>
      <c r="E1715" s="3">
        <v>0</v>
      </c>
      <c r="F1715" s="13">
        <v>9500</v>
      </c>
      <c r="G1715" s="3">
        <v>9500</v>
      </c>
      <c r="H1715" s="8" t="s">
        <v>51</v>
      </c>
      <c r="I1715" s="8" t="s">
        <v>71</v>
      </c>
      <c r="J1715" s="8" t="s">
        <v>32</v>
      </c>
      <c r="K1715" s="8" t="s">
        <v>25</v>
      </c>
      <c r="L1715" s="8" t="s">
        <v>2226</v>
      </c>
    </row>
    <row r="1716" spans="1:12" x14ac:dyDescent="0.35">
      <c r="A1716" s="11">
        <v>1715</v>
      </c>
      <c r="B1716" s="17">
        <v>46048.606550925928</v>
      </c>
      <c r="C1716" s="18">
        <v>46048</v>
      </c>
      <c r="D1716" s="10" t="s">
        <v>2227</v>
      </c>
      <c r="E1716" s="14">
        <v>1000</v>
      </c>
      <c r="F1716" s="5">
        <v>0</v>
      </c>
      <c r="G1716" s="5">
        <v>0</v>
      </c>
      <c r="H1716" s="10" t="s">
        <v>33</v>
      </c>
      <c r="I1716" s="10" t="s">
        <v>52</v>
      </c>
      <c r="J1716" s="10" t="s">
        <v>34</v>
      </c>
      <c r="K1716" s="10" t="s">
        <v>25</v>
      </c>
      <c r="L1716" s="10" t="s">
        <v>2228</v>
      </c>
    </row>
    <row r="1717" spans="1:12" x14ac:dyDescent="0.35">
      <c r="A1717" s="9">
        <v>1716</v>
      </c>
      <c r="B1717" s="19">
        <v>46048.606562499997</v>
      </c>
      <c r="C1717" s="20">
        <v>46048</v>
      </c>
      <c r="D1717" s="8" t="s">
        <v>394</v>
      </c>
      <c r="E1717" s="3">
        <v>0</v>
      </c>
      <c r="F1717" s="13">
        <v>1000</v>
      </c>
      <c r="G1717" s="3">
        <v>1000</v>
      </c>
      <c r="H1717" s="8" t="s">
        <v>51</v>
      </c>
      <c r="I1717" s="8" t="s">
        <v>71</v>
      </c>
      <c r="J1717" s="8" t="s">
        <v>32</v>
      </c>
      <c r="K1717" s="8" t="s">
        <v>25</v>
      </c>
      <c r="L1717" s="8" t="s">
        <v>2229</v>
      </c>
    </row>
    <row r="1718" spans="1:12" x14ac:dyDescent="0.35">
      <c r="A1718" s="11">
        <v>1717</v>
      </c>
      <c r="B1718" s="17">
        <v>46048.626284722217</v>
      </c>
      <c r="C1718" s="18">
        <v>46048</v>
      </c>
      <c r="D1718" s="10" t="s">
        <v>2230</v>
      </c>
      <c r="E1718" s="14">
        <v>2500</v>
      </c>
      <c r="F1718" s="5">
        <v>0</v>
      </c>
      <c r="G1718" s="5">
        <v>0</v>
      </c>
      <c r="H1718" s="10" t="s">
        <v>33</v>
      </c>
      <c r="I1718" s="10" t="s">
        <v>52</v>
      </c>
      <c r="J1718" s="10" t="s">
        <v>34</v>
      </c>
      <c r="K1718" s="10" t="s">
        <v>25</v>
      </c>
      <c r="L1718" s="10" t="s">
        <v>2231</v>
      </c>
    </row>
    <row r="1719" spans="1:12" x14ac:dyDescent="0.35">
      <c r="A1719" s="9">
        <v>1718</v>
      </c>
      <c r="B1719" s="19">
        <v>46048.626296296286</v>
      </c>
      <c r="C1719" s="20">
        <v>46048</v>
      </c>
      <c r="D1719" s="8" t="s">
        <v>394</v>
      </c>
      <c r="E1719" s="3">
        <v>0</v>
      </c>
      <c r="F1719" s="13">
        <v>2500</v>
      </c>
      <c r="G1719" s="3">
        <v>2500</v>
      </c>
      <c r="H1719" s="8" t="s">
        <v>51</v>
      </c>
      <c r="I1719" s="8" t="s">
        <v>71</v>
      </c>
      <c r="J1719" s="8" t="s">
        <v>32</v>
      </c>
      <c r="K1719" s="8" t="s">
        <v>25</v>
      </c>
      <c r="L1719" s="8" t="s">
        <v>2232</v>
      </c>
    </row>
    <row r="1720" spans="1:12" x14ac:dyDescent="0.35">
      <c r="A1720" s="11">
        <v>1719</v>
      </c>
      <c r="B1720" s="17">
        <v>46051.321770833332</v>
      </c>
      <c r="C1720" s="18">
        <v>46051</v>
      </c>
      <c r="D1720" s="10" t="s">
        <v>276</v>
      </c>
      <c r="E1720" s="14">
        <v>891</v>
      </c>
      <c r="F1720" s="5">
        <v>0</v>
      </c>
      <c r="G1720" s="5">
        <v>0</v>
      </c>
      <c r="H1720" s="10" t="s">
        <v>51</v>
      </c>
      <c r="I1720" s="10" t="s">
        <v>52</v>
      </c>
      <c r="J1720" s="10" t="s">
        <v>36</v>
      </c>
      <c r="K1720" s="10" t="s">
        <v>25</v>
      </c>
      <c r="L1720" s="10" t="s">
        <v>2233</v>
      </c>
    </row>
    <row r="1721" spans="1:12" x14ac:dyDescent="0.35">
      <c r="A1721" s="9">
        <v>1720</v>
      </c>
      <c r="B1721" s="19">
        <v>46051.321840277778</v>
      </c>
      <c r="C1721" s="20">
        <v>46051</v>
      </c>
      <c r="D1721" s="8" t="s">
        <v>394</v>
      </c>
      <c r="E1721" s="3">
        <v>0</v>
      </c>
      <c r="F1721" s="13">
        <v>891</v>
      </c>
      <c r="G1721" s="3">
        <v>891</v>
      </c>
      <c r="H1721" s="8" t="s">
        <v>51</v>
      </c>
      <c r="I1721" s="8" t="s">
        <v>71</v>
      </c>
      <c r="J1721" s="8" t="s">
        <v>32</v>
      </c>
      <c r="K1721" s="8" t="s">
        <v>25</v>
      </c>
      <c r="L1721" s="8" t="s">
        <v>2234</v>
      </c>
    </row>
    <row r="1722" spans="1:12" x14ac:dyDescent="0.35">
      <c r="A1722" s="11">
        <v>1721</v>
      </c>
      <c r="B1722" s="17">
        <v>46051.386354166672</v>
      </c>
      <c r="C1722" s="18">
        <v>46051</v>
      </c>
      <c r="D1722" s="10" t="s">
        <v>1317</v>
      </c>
      <c r="E1722" s="14">
        <v>3000</v>
      </c>
      <c r="F1722" s="5">
        <v>0</v>
      </c>
      <c r="G1722" s="5">
        <v>0</v>
      </c>
      <c r="H1722" s="10" t="s">
        <v>51</v>
      </c>
      <c r="I1722" s="10" t="s">
        <v>52</v>
      </c>
      <c r="J1722" s="10" t="s">
        <v>30</v>
      </c>
      <c r="K1722" s="10" t="s">
        <v>25</v>
      </c>
      <c r="L1722" s="10" t="s">
        <v>2235</v>
      </c>
    </row>
    <row r="1723" spans="1:12" x14ac:dyDescent="0.35">
      <c r="A1723" s="9">
        <v>1722</v>
      </c>
      <c r="B1723" s="19">
        <v>46051.386400462958</v>
      </c>
      <c r="C1723" s="20">
        <v>46051</v>
      </c>
      <c r="D1723" s="8" t="s">
        <v>394</v>
      </c>
      <c r="E1723" s="3">
        <v>0</v>
      </c>
      <c r="F1723" s="13">
        <v>3000</v>
      </c>
      <c r="G1723" s="3">
        <v>3000</v>
      </c>
      <c r="H1723" s="8" t="s">
        <v>51</v>
      </c>
      <c r="I1723" s="8" t="s">
        <v>71</v>
      </c>
      <c r="J1723" s="8" t="s">
        <v>32</v>
      </c>
      <c r="K1723" s="8" t="s">
        <v>25</v>
      </c>
      <c r="L1723" s="8" t="s">
        <v>2236</v>
      </c>
    </row>
    <row r="1724" spans="1:12" x14ac:dyDescent="0.35">
      <c r="A1724" s="11">
        <v>1723</v>
      </c>
      <c r="B1724" s="17">
        <v>46051.409861111111</v>
      </c>
      <c r="C1724" s="18">
        <v>46051</v>
      </c>
      <c r="D1724" s="10" t="s">
        <v>1147</v>
      </c>
      <c r="E1724" s="14">
        <v>2000</v>
      </c>
      <c r="F1724" s="5">
        <v>0</v>
      </c>
      <c r="G1724" s="5">
        <v>0</v>
      </c>
      <c r="H1724" s="10" t="s">
        <v>51</v>
      </c>
      <c r="I1724" s="10" t="s">
        <v>52</v>
      </c>
      <c r="J1724" s="10" t="s">
        <v>30</v>
      </c>
      <c r="K1724" s="10" t="s">
        <v>25</v>
      </c>
      <c r="L1724" s="10" t="s">
        <v>2237</v>
      </c>
    </row>
    <row r="1725" spans="1:12" x14ac:dyDescent="0.35">
      <c r="A1725" s="9">
        <v>1724</v>
      </c>
      <c r="B1725" s="19">
        <v>46051.409918981481</v>
      </c>
      <c r="C1725" s="20">
        <v>46051</v>
      </c>
      <c r="D1725" s="8" t="s">
        <v>394</v>
      </c>
      <c r="E1725" s="3">
        <v>0</v>
      </c>
      <c r="F1725" s="13">
        <v>2000</v>
      </c>
      <c r="G1725" s="3">
        <v>2000</v>
      </c>
      <c r="H1725" s="8" t="s">
        <v>51</v>
      </c>
      <c r="I1725" s="8" t="s">
        <v>71</v>
      </c>
      <c r="J1725" s="8" t="s">
        <v>32</v>
      </c>
      <c r="K1725" s="8" t="s">
        <v>25</v>
      </c>
      <c r="L1725" s="8" t="s">
        <v>2238</v>
      </c>
    </row>
    <row r="1726" spans="1:12" x14ac:dyDescent="0.35">
      <c r="A1726" s="11">
        <v>1725</v>
      </c>
      <c r="B1726" s="17">
        <v>46051.687418981477</v>
      </c>
      <c r="C1726" s="18">
        <v>46051</v>
      </c>
      <c r="D1726" s="10" t="s">
        <v>2239</v>
      </c>
      <c r="E1726" s="5">
        <v>0</v>
      </c>
      <c r="F1726" s="15">
        <v>13000</v>
      </c>
      <c r="G1726" s="5">
        <v>13000</v>
      </c>
      <c r="H1726" s="10" t="s">
        <v>51</v>
      </c>
      <c r="I1726" s="10" t="s">
        <v>71</v>
      </c>
      <c r="J1726" s="10" t="s">
        <v>30</v>
      </c>
      <c r="K1726" s="10" t="s">
        <v>25</v>
      </c>
      <c r="L1726" s="10" t="s">
        <v>2240</v>
      </c>
    </row>
    <row r="1727" spans="1:12" x14ac:dyDescent="0.35">
      <c r="A1727" s="9">
        <v>1726</v>
      </c>
      <c r="B1727" s="19">
        <v>46051.688136574077</v>
      </c>
      <c r="C1727" s="20">
        <v>46051</v>
      </c>
      <c r="D1727" s="8" t="s">
        <v>426</v>
      </c>
      <c r="E1727" s="12">
        <v>13000</v>
      </c>
      <c r="F1727" s="3">
        <v>0</v>
      </c>
      <c r="G1727" s="3">
        <v>0</v>
      </c>
      <c r="H1727" s="8" t="s">
        <v>51</v>
      </c>
      <c r="I1727" s="8" t="s">
        <v>52</v>
      </c>
      <c r="J1727" s="8" t="s">
        <v>32</v>
      </c>
      <c r="K1727" s="8" t="s">
        <v>25</v>
      </c>
      <c r="L1727" s="8" t="s">
        <v>2241</v>
      </c>
    </row>
    <row r="1728" spans="1:12" x14ac:dyDescent="0.35">
      <c r="A1728" s="11">
        <v>1727</v>
      </c>
      <c r="B1728" s="17">
        <v>46052.539097222223</v>
      </c>
      <c r="C1728" s="18">
        <v>46052</v>
      </c>
      <c r="D1728" s="10" t="s">
        <v>2242</v>
      </c>
      <c r="E1728" s="14">
        <v>1000</v>
      </c>
      <c r="F1728" s="5">
        <v>0</v>
      </c>
      <c r="G1728" s="5">
        <v>0</v>
      </c>
      <c r="H1728" s="10" t="s">
        <v>51</v>
      </c>
      <c r="I1728" s="10" t="s">
        <v>52</v>
      </c>
      <c r="J1728" s="10" t="s">
        <v>30</v>
      </c>
      <c r="K1728" s="10" t="s">
        <v>25</v>
      </c>
      <c r="L1728" s="10" t="s">
        <v>2243</v>
      </c>
    </row>
    <row r="1729" spans="1:12" x14ac:dyDescent="0.35">
      <c r="A1729" s="9">
        <v>1728</v>
      </c>
      <c r="B1729" s="19">
        <v>46052.539143518523</v>
      </c>
      <c r="C1729" s="20">
        <v>46052</v>
      </c>
      <c r="D1729" s="8" t="s">
        <v>394</v>
      </c>
      <c r="E1729" s="3">
        <v>0</v>
      </c>
      <c r="F1729" s="13">
        <v>1000</v>
      </c>
      <c r="G1729" s="3">
        <v>1000</v>
      </c>
      <c r="H1729" s="8" t="s">
        <v>51</v>
      </c>
      <c r="I1729" s="8" t="s">
        <v>71</v>
      </c>
      <c r="J1729" s="8" t="s">
        <v>32</v>
      </c>
      <c r="K1729" s="8" t="s">
        <v>25</v>
      </c>
      <c r="L1729" s="8" t="s">
        <v>2244</v>
      </c>
    </row>
    <row r="1730" spans="1:12" x14ac:dyDescent="0.35">
      <c r="A1730" s="11">
        <v>1729</v>
      </c>
      <c r="B1730" s="17">
        <v>46052.651018518518</v>
      </c>
      <c r="C1730" s="18">
        <v>46052</v>
      </c>
      <c r="D1730" s="10" t="s">
        <v>2245</v>
      </c>
      <c r="E1730" s="14">
        <v>2000</v>
      </c>
      <c r="F1730" s="5">
        <v>0</v>
      </c>
      <c r="G1730" s="5">
        <v>0</v>
      </c>
      <c r="H1730" s="10" t="s">
        <v>51</v>
      </c>
      <c r="I1730" s="10" t="s">
        <v>52</v>
      </c>
      <c r="J1730" s="10" t="s">
        <v>30</v>
      </c>
      <c r="K1730" s="10" t="s">
        <v>25</v>
      </c>
      <c r="L1730" s="10" t="s">
        <v>2246</v>
      </c>
    </row>
    <row r="1731" spans="1:12" x14ac:dyDescent="0.35">
      <c r="A1731" s="9">
        <v>1730</v>
      </c>
      <c r="B1731" s="19">
        <v>46052.651064814818</v>
      </c>
      <c r="C1731" s="20">
        <v>46052</v>
      </c>
      <c r="D1731" s="8" t="s">
        <v>394</v>
      </c>
      <c r="E1731" s="3">
        <v>0</v>
      </c>
      <c r="F1731" s="13">
        <v>2000</v>
      </c>
      <c r="G1731" s="3">
        <v>2000</v>
      </c>
      <c r="H1731" s="8" t="s">
        <v>51</v>
      </c>
      <c r="I1731" s="8" t="s">
        <v>71</v>
      </c>
      <c r="J1731" s="8" t="s">
        <v>32</v>
      </c>
      <c r="K1731" s="8" t="s">
        <v>25</v>
      </c>
      <c r="L1731" s="8" t="s">
        <v>2247</v>
      </c>
    </row>
    <row r="1732" spans="1:12" x14ac:dyDescent="0.35">
      <c r="A1732" s="11">
        <v>1731</v>
      </c>
      <c r="B1732" s="17">
        <v>46052.655081018522</v>
      </c>
      <c r="C1732" s="18">
        <v>46052</v>
      </c>
      <c r="D1732" s="10" t="s">
        <v>2248</v>
      </c>
      <c r="E1732" s="14">
        <v>2500</v>
      </c>
      <c r="F1732" s="5">
        <v>0</v>
      </c>
      <c r="G1732" s="5">
        <v>0</v>
      </c>
      <c r="H1732" s="10" t="s">
        <v>51</v>
      </c>
      <c r="I1732" s="10" t="s">
        <v>52</v>
      </c>
      <c r="J1732" s="10" t="s">
        <v>30</v>
      </c>
      <c r="K1732" s="10" t="s">
        <v>25</v>
      </c>
      <c r="L1732" s="10" t="s">
        <v>2249</v>
      </c>
    </row>
    <row r="1733" spans="1:12" x14ac:dyDescent="0.35">
      <c r="A1733" s="9">
        <v>1732</v>
      </c>
      <c r="B1733" s="19">
        <v>46052.655115740738</v>
      </c>
      <c r="C1733" s="20">
        <v>46052</v>
      </c>
      <c r="D1733" s="8" t="s">
        <v>394</v>
      </c>
      <c r="E1733" s="3">
        <v>0</v>
      </c>
      <c r="F1733" s="13">
        <v>2500</v>
      </c>
      <c r="G1733" s="3">
        <v>2500</v>
      </c>
      <c r="H1733" s="8" t="s">
        <v>51</v>
      </c>
      <c r="I1733" s="8" t="s">
        <v>71</v>
      </c>
      <c r="J1733" s="8" t="s">
        <v>32</v>
      </c>
      <c r="K1733" s="8" t="s">
        <v>25</v>
      </c>
      <c r="L1733" s="8" t="s">
        <v>2250</v>
      </c>
    </row>
    <row r="1734" spans="1:12" x14ac:dyDescent="0.35">
      <c r="A1734" s="11">
        <v>1733</v>
      </c>
      <c r="B1734" s="17">
        <v>46052.655706018522</v>
      </c>
      <c r="C1734" s="18">
        <v>46052</v>
      </c>
      <c r="D1734" s="10" t="s">
        <v>2251</v>
      </c>
      <c r="E1734" s="14">
        <v>1500</v>
      </c>
      <c r="F1734" s="5">
        <v>0</v>
      </c>
      <c r="G1734" s="5">
        <v>0</v>
      </c>
      <c r="H1734" s="10" t="s">
        <v>51</v>
      </c>
      <c r="I1734" s="10" t="s">
        <v>52</v>
      </c>
      <c r="J1734" s="10" t="s">
        <v>30</v>
      </c>
      <c r="K1734" s="10" t="s">
        <v>25</v>
      </c>
      <c r="L1734" s="10" t="s">
        <v>2252</v>
      </c>
    </row>
    <row r="1735" spans="1:12" x14ac:dyDescent="0.35">
      <c r="A1735" s="9">
        <v>1734</v>
      </c>
      <c r="B1735" s="19">
        <v>46052.655740740738</v>
      </c>
      <c r="C1735" s="20">
        <v>46052</v>
      </c>
      <c r="D1735" s="8" t="s">
        <v>394</v>
      </c>
      <c r="E1735" s="3">
        <v>0</v>
      </c>
      <c r="F1735" s="13">
        <v>1500</v>
      </c>
      <c r="G1735" s="3">
        <v>1500</v>
      </c>
      <c r="H1735" s="8" t="s">
        <v>51</v>
      </c>
      <c r="I1735" s="8" t="s">
        <v>71</v>
      </c>
      <c r="J1735" s="8" t="s">
        <v>32</v>
      </c>
      <c r="K1735" s="8" t="s">
        <v>25</v>
      </c>
      <c r="L1735" s="8" t="s">
        <v>2253</v>
      </c>
    </row>
    <row r="1736" spans="1:12" x14ac:dyDescent="0.35">
      <c r="A1736" s="11">
        <v>1735</v>
      </c>
      <c r="B1736" s="17">
        <v>46052.796516203707</v>
      </c>
      <c r="C1736" s="18">
        <v>46052</v>
      </c>
      <c r="D1736" s="10" t="s">
        <v>2254</v>
      </c>
      <c r="E1736" s="5">
        <v>0</v>
      </c>
      <c r="F1736" s="15">
        <v>100000</v>
      </c>
      <c r="G1736" s="5">
        <v>100000</v>
      </c>
      <c r="H1736" s="10" t="s">
        <v>51</v>
      </c>
      <c r="I1736" s="10" t="s">
        <v>71</v>
      </c>
      <c r="J1736" s="10" t="s">
        <v>31</v>
      </c>
      <c r="K1736" s="10" t="s">
        <v>25</v>
      </c>
      <c r="L1736" s="10" t="s">
        <v>2255</v>
      </c>
    </row>
    <row r="1737" spans="1:12" x14ac:dyDescent="0.35">
      <c r="A1737" s="9">
        <v>1736</v>
      </c>
      <c r="B1737" s="19">
        <v>46052.796770833331</v>
      </c>
      <c r="C1737" s="20">
        <v>46052</v>
      </c>
      <c r="D1737" s="8" t="s">
        <v>488</v>
      </c>
      <c r="E1737" s="12">
        <v>100000</v>
      </c>
      <c r="F1737" s="3">
        <v>0</v>
      </c>
      <c r="G1737" s="3">
        <v>0</v>
      </c>
      <c r="H1737" s="8" t="s">
        <v>51</v>
      </c>
      <c r="I1737" s="8" t="s">
        <v>52</v>
      </c>
      <c r="J1737" s="8" t="s">
        <v>30</v>
      </c>
      <c r="K1737" s="8" t="s">
        <v>25</v>
      </c>
      <c r="L1737" s="8" t="s">
        <v>2256</v>
      </c>
    </row>
    <row r="1738" spans="1:12" x14ac:dyDescent="0.35">
      <c r="A1738" s="11">
        <v>1737</v>
      </c>
      <c r="B1738" s="17">
        <v>46052.796875</v>
      </c>
      <c r="C1738" s="18">
        <v>46052</v>
      </c>
      <c r="D1738" s="10" t="s">
        <v>2095</v>
      </c>
      <c r="E1738" s="14">
        <v>50</v>
      </c>
      <c r="F1738" s="5">
        <v>0</v>
      </c>
      <c r="G1738" s="5">
        <v>0</v>
      </c>
      <c r="H1738" s="10" t="s">
        <v>51</v>
      </c>
      <c r="I1738" s="10" t="s">
        <v>52</v>
      </c>
      <c r="J1738" s="10" t="s">
        <v>36</v>
      </c>
      <c r="K1738" s="10" t="s">
        <v>25</v>
      </c>
      <c r="L1738" s="10" t="s">
        <v>2257</v>
      </c>
    </row>
    <row r="1739" spans="1:12" x14ac:dyDescent="0.35">
      <c r="A1739" s="9">
        <v>1738</v>
      </c>
      <c r="B1739" s="19">
        <v>46052.796886574077</v>
      </c>
      <c r="C1739" s="20">
        <v>46052</v>
      </c>
      <c r="D1739" s="8" t="s">
        <v>394</v>
      </c>
      <c r="E1739" s="3">
        <v>0</v>
      </c>
      <c r="F1739" s="13">
        <v>50</v>
      </c>
      <c r="G1739" s="3">
        <v>50</v>
      </c>
      <c r="H1739" s="8" t="s">
        <v>51</v>
      </c>
      <c r="I1739" s="8" t="s">
        <v>71</v>
      </c>
      <c r="J1739" s="8" t="s">
        <v>32</v>
      </c>
      <c r="K1739" s="8" t="s">
        <v>25</v>
      </c>
      <c r="L1739" s="8" t="s">
        <v>2258</v>
      </c>
    </row>
    <row r="1740" spans="1:12" x14ac:dyDescent="0.35">
      <c r="A1740" s="11">
        <v>1739</v>
      </c>
      <c r="B1740" s="17">
        <v>46053.565636574072</v>
      </c>
      <c r="C1740" s="18">
        <v>46053</v>
      </c>
      <c r="D1740" s="10" t="s">
        <v>2259</v>
      </c>
      <c r="E1740" s="14">
        <v>3100</v>
      </c>
      <c r="F1740" s="5">
        <v>0</v>
      </c>
      <c r="G1740" s="5">
        <v>0</v>
      </c>
      <c r="H1740" s="10" t="s">
        <v>33</v>
      </c>
      <c r="I1740" s="10" t="s">
        <v>52</v>
      </c>
      <c r="J1740" s="10" t="s">
        <v>34</v>
      </c>
      <c r="K1740" s="10" t="s">
        <v>25</v>
      </c>
      <c r="L1740" s="10" t="s">
        <v>2260</v>
      </c>
    </row>
    <row r="1741" spans="1:12" x14ac:dyDescent="0.35">
      <c r="A1741" s="9">
        <v>1740</v>
      </c>
      <c r="B1741" s="19">
        <v>46053.565636574072</v>
      </c>
      <c r="C1741" s="20">
        <v>46053</v>
      </c>
      <c r="D1741" s="8" t="s">
        <v>394</v>
      </c>
      <c r="E1741" s="3">
        <v>0</v>
      </c>
      <c r="F1741" s="13">
        <v>3100</v>
      </c>
      <c r="G1741" s="3">
        <v>3100</v>
      </c>
      <c r="H1741" s="8" t="s">
        <v>51</v>
      </c>
      <c r="I1741" s="8" t="s">
        <v>71</v>
      </c>
      <c r="J1741" s="8" t="s">
        <v>32</v>
      </c>
      <c r="K1741" s="8" t="s">
        <v>25</v>
      </c>
      <c r="L1741" s="8" t="s">
        <v>2261</v>
      </c>
    </row>
    <row r="1742" spans="1:12" x14ac:dyDescent="0.35">
      <c r="A1742" s="11">
        <v>1741</v>
      </c>
      <c r="B1742" s="17">
        <v>46053.586122685178</v>
      </c>
      <c r="C1742" s="18">
        <v>46053</v>
      </c>
      <c r="D1742" s="10" t="s">
        <v>2262</v>
      </c>
      <c r="E1742" s="14">
        <v>1600</v>
      </c>
      <c r="F1742" s="5">
        <v>0</v>
      </c>
      <c r="G1742" s="5">
        <v>0</v>
      </c>
      <c r="H1742" s="10" t="s">
        <v>33</v>
      </c>
      <c r="I1742" s="10" t="s">
        <v>52</v>
      </c>
      <c r="J1742" s="10" t="s">
        <v>34</v>
      </c>
      <c r="K1742" s="10" t="s">
        <v>25</v>
      </c>
      <c r="L1742" s="10" t="s">
        <v>2263</v>
      </c>
    </row>
    <row r="1743" spans="1:12" x14ac:dyDescent="0.35">
      <c r="A1743" s="9">
        <v>1742</v>
      </c>
      <c r="B1743" s="19">
        <v>46053.586122685178</v>
      </c>
      <c r="C1743" s="20">
        <v>46053</v>
      </c>
      <c r="D1743" s="8" t="s">
        <v>394</v>
      </c>
      <c r="E1743" s="3">
        <v>0</v>
      </c>
      <c r="F1743" s="13">
        <v>1600</v>
      </c>
      <c r="G1743" s="3">
        <v>1600</v>
      </c>
      <c r="H1743" s="8" t="s">
        <v>51</v>
      </c>
      <c r="I1743" s="8" t="s">
        <v>71</v>
      </c>
      <c r="J1743" s="8" t="s">
        <v>32</v>
      </c>
      <c r="K1743" s="8" t="s">
        <v>25</v>
      </c>
      <c r="L1743" s="8" t="s">
        <v>2264</v>
      </c>
    </row>
    <row r="1744" spans="1:12" x14ac:dyDescent="0.35">
      <c r="A1744" s="11">
        <v>1743</v>
      </c>
      <c r="B1744" s="17">
        <v>46054.406006944453</v>
      </c>
      <c r="C1744" s="18">
        <v>46054</v>
      </c>
      <c r="D1744" s="10" t="s">
        <v>2265</v>
      </c>
      <c r="E1744" s="14">
        <v>300</v>
      </c>
      <c r="F1744" s="5">
        <v>0</v>
      </c>
      <c r="G1744" s="5">
        <v>0</v>
      </c>
      <c r="H1744" s="10" t="s">
        <v>33</v>
      </c>
      <c r="I1744" s="10" t="s">
        <v>52</v>
      </c>
      <c r="J1744" s="10" t="s">
        <v>34</v>
      </c>
      <c r="K1744" s="10" t="s">
        <v>26</v>
      </c>
      <c r="L1744" s="10" t="s">
        <v>2266</v>
      </c>
    </row>
    <row r="1745" spans="1:12" x14ac:dyDescent="0.35">
      <c r="A1745" s="9">
        <v>1744</v>
      </c>
      <c r="B1745" s="19">
        <v>46054.406018518523</v>
      </c>
      <c r="C1745" s="20">
        <v>46054</v>
      </c>
      <c r="D1745" s="8" t="s">
        <v>394</v>
      </c>
      <c r="E1745" s="3">
        <v>0</v>
      </c>
      <c r="F1745" s="13">
        <v>300</v>
      </c>
      <c r="G1745" s="3">
        <v>300</v>
      </c>
      <c r="H1745" s="8" t="s">
        <v>51</v>
      </c>
      <c r="I1745" s="8" t="s">
        <v>71</v>
      </c>
      <c r="J1745" s="8" t="s">
        <v>32</v>
      </c>
      <c r="K1745" s="8" t="s">
        <v>26</v>
      </c>
      <c r="L1745" s="8" t="s">
        <v>2267</v>
      </c>
    </row>
    <row r="1746" spans="1:12" x14ac:dyDescent="0.35">
      <c r="A1746" s="11">
        <v>1745</v>
      </c>
      <c r="B1746" s="17">
        <v>46054.493761574071</v>
      </c>
      <c r="C1746" s="18">
        <v>46054</v>
      </c>
      <c r="D1746" s="10" t="s">
        <v>276</v>
      </c>
      <c r="E1746" s="14">
        <v>891</v>
      </c>
      <c r="F1746" s="5">
        <v>0</v>
      </c>
      <c r="G1746" s="5">
        <v>0</v>
      </c>
      <c r="H1746" s="10" t="s">
        <v>51</v>
      </c>
      <c r="I1746" s="10" t="s">
        <v>52</v>
      </c>
      <c r="J1746" s="10" t="s">
        <v>36</v>
      </c>
      <c r="K1746" s="10" t="s">
        <v>26</v>
      </c>
      <c r="L1746" s="10" t="s">
        <v>2268</v>
      </c>
    </row>
    <row r="1747" spans="1:12" x14ac:dyDescent="0.35">
      <c r="A1747" s="9">
        <v>1746</v>
      </c>
      <c r="B1747" s="19">
        <v>46054.493807870371</v>
      </c>
      <c r="C1747" s="20">
        <v>46054</v>
      </c>
      <c r="D1747" s="8" t="s">
        <v>394</v>
      </c>
      <c r="E1747" s="3">
        <v>0</v>
      </c>
      <c r="F1747" s="13">
        <v>891</v>
      </c>
      <c r="G1747" s="3">
        <v>891</v>
      </c>
      <c r="H1747" s="8" t="s">
        <v>51</v>
      </c>
      <c r="I1747" s="8" t="s">
        <v>71</v>
      </c>
      <c r="J1747" s="8" t="s">
        <v>32</v>
      </c>
      <c r="K1747" s="8" t="s">
        <v>26</v>
      </c>
      <c r="L1747" s="8" t="s">
        <v>2269</v>
      </c>
    </row>
    <row r="1748" spans="1:12" x14ac:dyDescent="0.35">
      <c r="A1748" s="11">
        <v>1747</v>
      </c>
      <c r="B1748" s="17">
        <v>46054.53087962963</v>
      </c>
      <c r="C1748" s="18">
        <v>46054</v>
      </c>
      <c r="D1748" s="10" t="s">
        <v>2270</v>
      </c>
      <c r="E1748" s="14">
        <v>2010</v>
      </c>
      <c r="F1748" s="5">
        <v>0</v>
      </c>
      <c r="G1748" s="5">
        <v>0</v>
      </c>
      <c r="H1748" s="10" t="s">
        <v>33</v>
      </c>
      <c r="I1748" s="10" t="s">
        <v>52</v>
      </c>
      <c r="J1748" s="10" t="s">
        <v>34</v>
      </c>
      <c r="K1748" s="10" t="s">
        <v>26</v>
      </c>
      <c r="L1748" s="10" t="s">
        <v>2271</v>
      </c>
    </row>
    <row r="1749" spans="1:12" x14ac:dyDescent="0.35">
      <c r="A1749" s="9">
        <v>1748</v>
      </c>
      <c r="B1749" s="19">
        <v>46054.53087962963</v>
      </c>
      <c r="C1749" s="20">
        <v>46054</v>
      </c>
      <c r="D1749" s="8" t="s">
        <v>394</v>
      </c>
      <c r="E1749" s="3">
        <v>0</v>
      </c>
      <c r="F1749" s="13">
        <v>2010</v>
      </c>
      <c r="G1749" s="3">
        <v>2010</v>
      </c>
      <c r="H1749" s="8" t="s">
        <v>51</v>
      </c>
      <c r="I1749" s="8" t="s">
        <v>71</v>
      </c>
      <c r="J1749" s="8" t="s">
        <v>32</v>
      </c>
      <c r="K1749" s="8" t="s">
        <v>26</v>
      </c>
      <c r="L1749" s="8" t="s">
        <v>2272</v>
      </c>
    </row>
    <row r="1750" spans="1:12" x14ac:dyDescent="0.35">
      <c r="A1750" s="11">
        <v>1749</v>
      </c>
      <c r="B1750" s="17">
        <v>46055.394467592603</v>
      </c>
      <c r="C1750" s="18">
        <v>46055</v>
      </c>
      <c r="D1750" s="10" t="s">
        <v>2273</v>
      </c>
      <c r="E1750" s="14">
        <v>1500</v>
      </c>
      <c r="F1750" s="5">
        <v>0</v>
      </c>
      <c r="G1750" s="5">
        <v>0</v>
      </c>
      <c r="H1750" s="10" t="s">
        <v>51</v>
      </c>
      <c r="I1750" s="10" t="s">
        <v>52</v>
      </c>
      <c r="J1750" s="10" t="s">
        <v>30</v>
      </c>
      <c r="K1750" s="10" t="s">
        <v>26</v>
      </c>
      <c r="L1750" s="10" t="s">
        <v>2274</v>
      </c>
    </row>
    <row r="1751" spans="1:12" x14ac:dyDescent="0.35">
      <c r="A1751" s="9">
        <v>1750</v>
      </c>
      <c r="B1751" s="19">
        <v>46055.394513888888</v>
      </c>
      <c r="C1751" s="20">
        <v>46055</v>
      </c>
      <c r="D1751" s="8" t="s">
        <v>394</v>
      </c>
      <c r="E1751" s="3">
        <v>0</v>
      </c>
      <c r="F1751" s="13">
        <v>1500</v>
      </c>
      <c r="G1751" s="3">
        <v>1500</v>
      </c>
      <c r="H1751" s="8" t="s">
        <v>51</v>
      </c>
      <c r="I1751" s="8" t="s">
        <v>71</v>
      </c>
      <c r="J1751" s="8" t="s">
        <v>32</v>
      </c>
      <c r="K1751" s="8" t="s">
        <v>26</v>
      </c>
      <c r="L1751" s="8" t="s">
        <v>2275</v>
      </c>
    </row>
    <row r="1752" spans="1:12" x14ac:dyDescent="0.35">
      <c r="A1752" s="11">
        <v>1751</v>
      </c>
      <c r="B1752" s="17">
        <v>46055.471180555563</v>
      </c>
      <c r="C1752" s="18">
        <v>46055</v>
      </c>
      <c r="D1752" s="10" t="s">
        <v>488</v>
      </c>
      <c r="E1752" s="14">
        <v>30000</v>
      </c>
      <c r="F1752" s="5">
        <v>0</v>
      </c>
      <c r="G1752" s="5">
        <v>0</v>
      </c>
      <c r="H1752" s="10" t="s">
        <v>51</v>
      </c>
      <c r="I1752" s="10" t="s">
        <v>52</v>
      </c>
      <c r="J1752" s="10" t="s">
        <v>30</v>
      </c>
      <c r="K1752" s="10" t="s">
        <v>26</v>
      </c>
      <c r="L1752" s="10" t="s">
        <v>2276</v>
      </c>
    </row>
    <row r="1753" spans="1:12" x14ac:dyDescent="0.35">
      <c r="A1753" s="9">
        <v>1752</v>
      </c>
      <c r="B1753" s="19">
        <v>46055.471226851849</v>
      </c>
      <c r="C1753" s="20">
        <v>46055</v>
      </c>
      <c r="D1753" s="8" t="s">
        <v>394</v>
      </c>
      <c r="E1753" s="3">
        <v>0</v>
      </c>
      <c r="F1753" s="13">
        <v>30000</v>
      </c>
      <c r="G1753" s="3">
        <v>30000</v>
      </c>
      <c r="H1753" s="8" t="s">
        <v>51</v>
      </c>
      <c r="I1753" s="8" t="s">
        <v>71</v>
      </c>
      <c r="J1753" s="8" t="s">
        <v>32</v>
      </c>
      <c r="K1753" s="8" t="s">
        <v>26</v>
      </c>
      <c r="L1753" s="8" t="s">
        <v>2277</v>
      </c>
    </row>
    <row r="1754" spans="1:12" x14ac:dyDescent="0.35">
      <c r="A1754" s="11">
        <v>1753</v>
      </c>
      <c r="B1754" s="17">
        <v>46055.471238425933</v>
      </c>
      <c r="C1754" s="18">
        <v>46055</v>
      </c>
      <c r="D1754" s="10" t="s">
        <v>2095</v>
      </c>
      <c r="E1754" s="14">
        <v>50</v>
      </c>
      <c r="F1754" s="5">
        <v>0</v>
      </c>
      <c r="G1754" s="5">
        <v>0</v>
      </c>
      <c r="H1754" s="10" t="s">
        <v>51</v>
      </c>
      <c r="I1754" s="10" t="s">
        <v>52</v>
      </c>
      <c r="J1754" s="10" t="s">
        <v>36</v>
      </c>
      <c r="K1754" s="10" t="s">
        <v>26</v>
      </c>
      <c r="L1754" s="10" t="s">
        <v>2278</v>
      </c>
    </row>
    <row r="1755" spans="1:12" x14ac:dyDescent="0.35">
      <c r="A1755" s="9">
        <v>1754</v>
      </c>
      <c r="B1755" s="19">
        <v>46055.471238425933</v>
      </c>
      <c r="C1755" s="20">
        <v>46055</v>
      </c>
      <c r="D1755" s="8" t="s">
        <v>394</v>
      </c>
      <c r="E1755" s="3">
        <v>0</v>
      </c>
      <c r="F1755" s="13">
        <v>50</v>
      </c>
      <c r="G1755" s="3">
        <v>50</v>
      </c>
      <c r="H1755" s="8" t="s">
        <v>51</v>
      </c>
      <c r="I1755" s="8" t="s">
        <v>71</v>
      </c>
      <c r="J1755" s="8" t="s">
        <v>32</v>
      </c>
      <c r="K1755" s="8" t="s">
        <v>26</v>
      </c>
      <c r="L1755" s="8" t="s">
        <v>2279</v>
      </c>
    </row>
    <row r="1756" spans="1:12" x14ac:dyDescent="0.35">
      <c r="A1756" s="11">
        <v>1755</v>
      </c>
      <c r="B1756" s="17">
        <v>46055.695115740738</v>
      </c>
      <c r="C1756" s="18">
        <v>46055</v>
      </c>
      <c r="D1756" s="10" t="s">
        <v>2239</v>
      </c>
      <c r="E1756" s="5">
        <v>0</v>
      </c>
      <c r="F1756" s="15">
        <v>55000</v>
      </c>
      <c r="G1756" s="5">
        <v>55000</v>
      </c>
      <c r="H1756" s="10" t="s">
        <v>51</v>
      </c>
      <c r="I1756" s="10" t="s">
        <v>71</v>
      </c>
      <c r="J1756" s="10" t="s">
        <v>30</v>
      </c>
      <c r="K1756" s="10" t="s">
        <v>26</v>
      </c>
      <c r="L1756" s="10" t="s">
        <v>2280</v>
      </c>
    </row>
    <row r="1757" spans="1:12" x14ac:dyDescent="0.35">
      <c r="A1757" s="9">
        <v>1756</v>
      </c>
      <c r="B1757" s="19">
        <v>46055.695821759262</v>
      </c>
      <c r="C1757" s="20">
        <v>46055</v>
      </c>
      <c r="D1757" s="8" t="s">
        <v>426</v>
      </c>
      <c r="E1757" s="12">
        <v>55000</v>
      </c>
      <c r="F1757" s="3">
        <v>0</v>
      </c>
      <c r="G1757" s="3">
        <v>0</v>
      </c>
      <c r="H1757" s="8" t="s">
        <v>51</v>
      </c>
      <c r="I1757" s="8" t="s">
        <v>52</v>
      </c>
      <c r="J1757" s="8" t="s">
        <v>32</v>
      </c>
      <c r="K1757" s="8" t="s">
        <v>26</v>
      </c>
      <c r="L1757" s="8" t="s">
        <v>2281</v>
      </c>
    </row>
    <row r="1758" spans="1:12" x14ac:dyDescent="0.35">
      <c r="A1758" s="11">
        <v>1757</v>
      </c>
      <c r="B1758" s="17">
        <v>46056.589988425927</v>
      </c>
      <c r="C1758" s="18">
        <v>46056</v>
      </c>
      <c r="D1758" s="10" t="s">
        <v>2282</v>
      </c>
      <c r="E1758" s="14">
        <v>5000</v>
      </c>
      <c r="F1758" s="5">
        <v>0</v>
      </c>
      <c r="G1758" s="5">
        <v>0</v>
      </c>
      <c r="H1758" s="10" t="s">
        <v>51</v>
      </c>
      <c r="I1758" s="10" t="s">
        <v>52</v>
      </c>
      <c r="J1758" s="10" t="s">
        <v>30</v>
      </c>
      <c r="K1758" s="10" t="s">
        <v>26</v>
      </c>
      <c r="L1758" s="10" t="s">
        <v>2283</v>
      </c>
    </row>
    <row r="1759" spans="1:12" x14ac:dyDescent="0.35">
      <c r="A1759" s="9">
        <v>1758</v>
      </c>
      <c r="B1759" s="19">
        <v>46056.590046296304</v>
      </c>
      <c r="C1759" s="20">
        <v>46056</v>
      </c>
      <c r="D1759" s="8" t="s">
        <v>394</v>
      </c>
      <c r="E1759" s="3">
        <v>0</v>
      </c>
      <c r="F1759" s="13">
        <v>5000</v>
      </c>
      <c r="G1759" s="3">
        <v>5000</v>
      </c>
      <c r="H1759" s="8" t="s">
        <v>51</v>
      </c>
      <c r="I1759" s="8" t="s">
        <v>71</v>
      </c>
      <c r="J1759" s="8" t="s">
        <v>32</v>
      </c>
      <c r="K1759" s="8" t="s">
        <v>26</v>
      </c>
      <c r="L1759" s="8" t="s">
        <v>2284</v>
      </c>
    </row>
    <row r="1760" spans="1:12" x14ac:dyDescent="0.35">
      <c r="A1760" s="11">
        <v>1759</v>
      </c>
      <c r="B1760" s="17">
        <v>46056.751250000001</v>
      </c>
      <c r="C1760" s="18">
        <v>46056</v>
      </c>
      <c r="D1760" s="10" t="s">
        <v>276</v>
      </c>
      <c r="E1760" s="14">
        <v>900</v>
      </c>
      <c r="F1760" s="5">
        <v>0</v>
      </c>
      <c r="G1760" s="5">
        <v>0</v>
      </c>
      <c r="H1760" s="10" t="s">
        <v>51</v>
      </c>
      <c r="I1760" s="10" t="s">
        <v>52</v>
      </c>
      <c r="J1760" s="10" t="s">
        <v>36</v>
      </c>
      <c r="K1760" s="10" t="s">
        <v>26</v>
      </c>
      <c r="L1760" s="10" t="s">
        <v>2285</v>
      </c>
    </row>
    <row r="1761" spans="1:12" x14ac:dyDescent="0.35">
      <c r="A1761" s="9">
        <v>1760</v>
      </c>
      <c r="B1761" s="19">
        <v>46056.751307870371</v>
      </c>
      <c r="C1761" s="20">
        <v>46056</v>
      </c>
      <c r="D1761" s="8" t="s">
        <v>394</v>
      </c>
      <c r="E1761" s="3">
        <v>0</v>
      </c>
      <c r="F1761" s="13">
        <v>900</v>
      </c>
      <c r="G1761" s="3">
        <v>900</v>
      </c>
      <c r="H1761" s="8" t="s">
        <v>51</v>
      </c>
      <c r="I1761" s="8" t="s">
        <v>71</v>
      </c>
      <c r="J1761" s="8" t="s">
        <v>32</v>
      </c>
      <c r="K1761" s="8" t="s">
        <v>26</v>
      </c>
      <c r="L1761" s="8" t="s">
        <v>2286</v>
      </c>
    </row>
    <row r="1762" spans="1:12" x14ac:dyDescent="0.35">
      <c r="A1762" s="11">
        <v>1761</v>
      </c>
      <c r="B1762" s="17">
        <v>46057.427407407413</v>
      </c>
      <c r="C1762" s="18">
        <v>46057</v>
      </c>
      <c r="D1762" s="10" t="s">
        <v>2287</v>
      </c>
      <c r="E1762" s="14">
        <v>2000</v>
      </c>
      <c r="F1762" s="5">
        <v>0</v>
      </c>
      <c r="G1762" s="5">
        <v>0</v>
      </c>
      <c r="H1762" s="10" t="s">
        <v>51</v>
      </c>
      <c r="I1762" s="10" t="s">
        <v>52</v>
      </c>
      <c r="J1762" s="10" t="s">
        <v>30</v>
      </c>
      <c r="K1762" s="10" t="s">
        <v>26</v>
      </c>
      <c r="L1762" s="10" t="s">
        <v>2288</v>
      </c>
    </row>
    <row r="1763" spans="1:12" x14ac:dyDescent="0.35">
      <c r="A1763" s="9">
        <v>1762</v>
      </c>
      <c r="B1763" s="19">
        <v>46057.427476851852</v>
      </c>
      <c r="C1763" s="20">
        <v>46057</v>
      </c>
      <c r="D1763" s="8" t="s">
        <v>394</v>
      </c>
      <c r="E1763" s="3">
        <v>0</v>
      </c>
      <c r="F1763" s="13">
        <v>2000</v>
      </c>
      <c r="G1763" s="3">
        <v>2000</v>
      </c>
      <c r="H1763" s="8" t="s">
        <v>51</v>
      </c>
      <c r="I1763" s="8" t="s">
        <v>71</v>
      </c>
      <c r="J1763" s="8" t="s">
        <v>32</v>
      </c>
      <c r="K1763" s="8" t="s">
        <v>26</v>
      </c>
      <c r="L1763" s="8" t="s">
        <v>2289</v>
      </c>
    </row>
    <row r="1764" spans="1:12" x14ac:dyDescent="0.35">
      <c r="A1764" s="11">
        <v>1763</v>
      </c>
      <c r="B1764" s="17">
        <v>46058.37709490741</v>
      </c>
      <c r="C1764" s="18">
        <v>46058</v>
      </c>
      <c r="D1764" s="10" t="s">
        <v>2287</v>
      </c>
      <c r="E1764" s="14">
        <v>2500</v>
      </c>
      <c r="F1764" s="5">
        <v>0</v>
      </c>
      <c r="G1764" s="5">
        <v>0</v>
      </c>
      <c r="H1764" s="10" t="s">
        <v>51</v>
      </c>
      <c r="I1764" s="10" t="s">
        <v>52</v>
      </c>
      <c r="J1764" s="10" t="s">
        <v>30</v>
      </c>
      <c r="K1764" s="10" t="s">
        <v>26</v>
      </c>
      <c r="L1764" s="10" t="s">
        <v>2290</v>
      </c>
    </row>
    <row r="1765" spans="1:12" x14ac:dyDescent="0.35">
      <c r="A1765" s="9">
        <v>1764</v>
      </c>
      <c r="B1765" s="19">
        <v>46058.377141203702</v>
      </c>
      <c r="C1765" s="20">
        <v>46058</v>
      </c>
      <c r="D1765" s="8" t="s">
        <v>394</v>
      </c>
      <c r="E1765" s="3">
        <v>0</v>
      </c>
      <c r="F1765" s="13">
        <v>2500</v>
      </c>
      <c r="G1765" s="3">
        <v>2500</v>
      </c>
      <c r="H1765" s="8" t="s">
        <v>51</v>
      </c>
      <c r="I1765" s="8" t="s">
        <v>71</v>
      </c>
      <c r="J1765" s="8" t="s">
        <v>32</v>
      </c>
      <c r="K1765" s="8" t="s">
        <v>26</v>
      </c>
      <c r="L1765" s="8" t="s">
        <v>2291</v>
      </c>
    </row>
    <row r="1766" spans="1:12" x14ac:dyDescent="0.35">
      <c r="A1766" s="11">
        <v>1765</v>
      </c>
      <c r="B1766" s="17">
        <v>46058.614976851852</v>
      </c>
      <c r="C1766" s="18">
        <v>46058</v>
      </c>
      <c r="D1766" s="10" t="s">
        <v>2292</v>
      </c>
      <c r="E1766" s="14">
        <v>2000</v>
      </c>
      <c r="F1766" s="5">
        <v>0</v>
      </c>
      <c r="G1766" s="5">
        <v>0</v>
      </c>
      <c r="H1766" s="10" t="s">
        <v>33</v>
      </c>
      <c r="I1766" s="10" t="s">
        <v>52</v>
      </c>
      <c r="J1766" s="10" t="s">
        <v>34</v>
      </c>
      <c r="K1766" s="10" t="s">
        <v>26</v>
      </c>
      <c r="L1766" s="10" t="s">
        <v>2293</v>
      </c>
    </row>
    <row r="1767" spans="1:12" x14ac:dyDescent="0.35">
      <c r="A1767" s="9">
        <v>1766</v>
      </c>
      <c r="B1767" s="19">
        <v>46058.614976851852</v>
      </c>
      <c r="C1767" s="20">
        <v>46058</v>
      </c>
      <c r="D1767" s="8" t="s">
        <v>394</v>
      </c>
      <c r="E1767" s="3">
        <v>0</v>
      </c>
      <c r="F1767" s="13">
        <v>2000</v>
      </c>
      <c r="G1767" s="3">
        <v>2000</v>
      </c>
      <c r="H1767" s="8" t="s">
        <v>51</v>
      </c>
      <c r="I1767" s="8" t="s">
        <v>71</v>
      </c>
      <c r="J1767" s="8" t="s">
        <v>32</v>
      </c>
      <c r="K1767" s="8" t="s">
        <v>26</v>
      </c>
      <c r="L1767" s="8" t="s">
        <v>2294</v>
      </c>
    </row>
    <row r="1768" spans="1:12" x14ac:dyDescent="0.35">
      <c r="A1768" s="11">
        <v>1767</v>
      </c>
      <c r="B1768" s="17">
        <v>46058.622175925928</v>
      </c>
      <c r="C1768" s="18">
        <v>46058</v>
      </c>
      <c r="D1768" s="10" t="s">
        <v>2295</v>
      </c>
      <c r="E1768" s="5">
        <v>0</v>
      </c>
      <c r="F1768" s="15">
        <v>2000</v>
      </c>
      <c r="G1768" s="5">
        <v>2000</v>
      </c>
      <c r="H1768" s="10" t="s">
        <v>51</v>
      </c>
      <c r="I1768" s="10" t="s">
        <v>71</v>
      </c>
      <c r="J1768" s="10" t="s">
        <v>31</v>
      </c>
      <c r="K1768" s="10" t="s">
        <v>26</v>
      </c>
      <c r="L1768" s="10" t="s">
        <v>2296</v>
      </c>
    </row>
    <row r="1769" spans="1:12" x14ac:dyDescent="0.35">
      <c r="A1769" s="9">
        <v>1768</v>
      </c>
      <c r="B1769" s="19">
        <v>46058.622893518521</v>
      </c>
      <c r="C1769" s="20">
        <v>46058</v>
      </c>
      <c r="D1769" s="8" t="s">
        <v>426</v>
      </c>
      <c r="E1769" s="12">
        <v>2000</v>
      </c>
      <c r="F1769" s="3">
        <v>0</v>
      </c>
      <c r="G1769" s="3">
        <v>0</v>
      </c>
      <c r="H1769" s="8" t="s">
        <v>51</v>
      </c>
      <c r="I1769" s="8" t="s">
        <v>52</v>
      </c>
      <c r="J1769" s="8" t="s">
        <v>32</v>
      </c>
      <c r="K1769" s="8" t="s">
        <v>26</v>
      </c>
      <c r="L1769" s="8" t="s">
        <v>2297</v>
      </c>
    </row>
    <row r="1770" spans="1:12" x14ac:dyDescent="0.35">
      <c r="A1770" s="11">
        <v>1769</v>
      </c>
      <c r="B1770" s="17">
        <v>46058.67732638889</v>
      </c>
      <c r="C1770" s="18">
        <v>46058</v>
      </c>
      <c r="D1770" s="10" t="s">
        <v>2298</v>
      </c>
      <c r="E1770" s="14">
        <v>18970</v>
      </c>
      <c r="F1770" s="5">
        <v>0</v>
      </c>
      <c r="G1770" s="5">
        <v>0</v>
      </c>
      <c r="H1770" s="10" t="s">
        <v>51</v>
      </c>
      <c r="I1770" s="10" t="s">
        <v>52</v>
      </c>
      <c r="J1770" s="10" t="s">
        <v>30</v>
      </c>
      <c r="K1770" s="10" t="s">
        <v>26</v>
      </c>
      <c r="L1770" s="10" t="s">
        <v>2299</v>
      </c>
    </row>
    <row r="1771" spans="1:12" x14ac:dyDescent="0.35">
      <c r="A1771" s="9">
        <v>1770</v>
      </c>
      <c r="B1771" s="19">
        <v>46058.677442129629</v>
      </c>
      <c r="C1771" s="20">
        <v>46058</v>
      </c>
      <c r="D1771" s="8" t="s">
        <v>2095</v>
      </c>
      <c r="E1771" s="12">
        <v>50</v>
      </c>
      <c r="F1771" s="3">
        <v>0</v>
      </c>
      <c r="G1771" s="3">
        <v>0</v>
      </c>
      <c r="H1771" s="8" t="s">
        <v>51</v>
      </c>
      <c r="I1771" s="8" t="s">
        <v>52</v>
      </c>
      <c r="J1771" s="8" t="s">
        <v>36</v>
      </c>
      <c r="K1771" s="8" t="s">
        <v>26</v>
      </c>
      <c r="L1771" s="8" t="s">
        <v>2300</v>
      </c>
    </row>
    <row r="1772" spans="1:12" x14ac:dyDescent="0.35">
      <c r="A1772" s="11">
        <v>1771</v>
      </c>
      <c r="B1772" s="17">
        <v>46058.677442129629</v>
      </c>
      <c r="C1772" s="18">
        <v>46058</v>
      </c>
      <c r="D1772" s="10" t="s">
        <v>394</v>
      </c>
      <c r="E1772" s="5">
        <v>0</v>
      </c>
      <c r="F1772" s="15">
        <v>18970</v>
      </c>
      <c r="G1772" s="5">
        <v>18970</v>
      </c>
      <c r="H1772" s="10" t="s">
        <v>51</v>
      </c>
      <c r="I1772" s="10" t="s">
        <v>71</v>
      </c>
      <c r="J1772" s="10" t="s">
        <v>32</v>
      </c>
      <c r="K1772" s="10" t="s">
        <v>26</v>
      </c>
      <c r="L1772" s="10" t="s">
        <v>2301</v>
      </c>
    </row>
    <row r="1773" spans="1:12" x14ac:dyDescent="0.35">
      <c r="A1773" s="9">
        <v>1772</v>
      </c>
      <c r="B1773" s="19">
        <v>46058.677453703713</v>
      </c>
      <c r="C1773" s="20">
        <v>46058</v>
      </c>
      <c r="D1773" s="8" t="s">
        <v>394</v>
      </c>
      <c r="E1773" s="3">
        <v>0</v>
      </c>
      <c r="F1773" s="13">
        <v>50</v>
      </c>
      <c r="G1773" s="3">
        <v>50</v>
      </c>
      <c r="H1773" s="8" t="s">
        <v>51</v>
      </c>
      <c r="I1773" s="8" t="s">
        <v>71</v>
      </c>
      <c r="J1773" s="8" t="s">
        <v>32</v>
      </c>
      <c r="K1773" s="8" t="s">
        <v>26</v>
      </c>
      <c r="L1773" s="8" t="s">
        <v>2302</v>
      </c>
    </row>
    <row r="1774" spans="1:12" x14ac:dyDescent="0.35">
      <c r="A1774" s="11">
        <v>1773</v>
      </c>
      <c r="B1774" s="17">
        <v>46058.762303240743</v>
      </c>
      <c r="C1774" s="18">
        <v>46058</v>
      </c>
      <c r="D1774" s="10" t="s">
        <v>2303</v>
      </c>
      <c r="E1774" s="14">
        <v>3000</v>
      </c>
      <c r="F1774" s="5">
        <v>0</v>
      </c>
      <c r="G1774" s="5">
        <v>0</v>
      </c>
      <c r="H1774" s="10" t="s">
        <v>33</v>
      </c>
      <c r="I1774" s="10" t="s">
        <v>52</v>
      </c>
      <c r="J1774" s="10" t="s">
        <v>34</v>
      </c>
      <c r="K1774" s="10" t="s">
        <v>26</v>
      </c>
      <c r="L1774" s="10" t="s">
        <v>2304</v>
      </c>
    </row>
    <row r="1775" spans="1:12" x14ac:dyDescent="0.35">
      <c r="A1775" s="9">
        <v>1774</v>
      </c>
      <c r="B1775" s="19">
        <v>46058.762303240743</v>
      </c>
      <c r="C1775" s="20">
        <v>46058</v>
      </c>
      <c r="D1775" s="8" t="s">
        <v>394</v>
      </c>
      <c r="E1775" s="3">
        <v>0</v>
      </c>
      <c r="F1775" s="13">
        <v>3000</v>
      </c>
      <c r="G1775" s="3">
        <v>3000</v>
      </c>
      <c r="H1775" s="8" t="s">
        <v>51</v>
      </c>
      <c r="I1775" s="8" t="s">
        <v>71</v>
      </c>
      <c r="J1775" s="8" t="s">
        <v>32</v>
      </c>
      <c r="K1775" s="8" t="s">
        <v>26</v>
      </c>
      <c r="L1775" s="8" t="s">
        <v>2305</v>
      </c>
    </row>
    <row r="1776" spans="1:12" x14ac:dyDescent="0.35">
      <c r="A1776" s="11">
        <v>1775</v>
      </c>
      <c r="B1776" s="17">
        <v>46058.771412037036</v>
      </c>
      <c r="C1776" s="18">
        <v>46058</v>
      </c>
      <c r="D1776" s="10" t="s">
        <v>2306</v>
      </c>
      <c r="E1776" s="14">
        <v>600</v>
      </c>
      <c r="F1776" s="5">
        <v>0</v>
      </c>
      <c r="G1776" s="5">
        <v>0</v>
      </c>
      <c r="H1776" s="10" t="s">
        <v>33</v>
      </c>
      <c r="I1776" s="10" t="s">
        <v>52</v>
      </c>
      <c r="J1776" s="10" t="s">
        <v>34</v>
      </c>
      <c r="K1776" s="10" t="s">
        <v>26</v>
      </c>
      <c r="L1776" s="10" t="s">
        <v>2307</v>
      </c>
    </row>
    <row r="1777" spans="1:12" x14ac:dyDescent="0.35">
      <c r="A1777" s="9">
        <v>1776</v>
      </c>
      <c r="B1777" s="19">
        <v>46058.771412037036</v>
      </c>
      <c r="C1777" s="20">
        <v>46058</v>
      </c>
      <c r="D1777" s="8" t="s">
        <v>394</v>
      </c>
      <c r="E1777" s="3">
        <v>0</v>
      </c>
      <c r="F1777" s="13">
        <v>600</v>
      </c>
      <c r="G1777" s="3">
        <v>600</v>
      </c>
      <c r="H1777" s="8" t="s">
        <v>51</v>
      </c>
      <c r="I1777" s="8" t="s">
        <v>71</v>
      </c>
      <c r="J1777" s="8" t="s">
        <v>32</v>
      </c>
      <c r="K1777" s="8" t="s">
        <v>26</v>
      </c>
      <c r="L1777" s="8" t="s">
        <v>2308</v>
      </c>
    </row>
    <row r="1778" spans="1:12" x14ac:dyDescent="0.35">
      <c r="A1778" s="11">
        <v>1777</v>
      </c>
      <c r="B1778" s="17">
        <v>46058.78701388889</v>
      </c>
      <c r="C1778" s="18">
        <v>46058</v>
      </c>
      <c r="D1778" s="10" t="s">
        <v>2309</v>
      </c>
      <c r="E1778" s="14">
        <v>1060</v>
      </c>
      <c r="F1778" s="5">
        <v>0</v>
      </c>
      <c r="G1778" s="5">
        <v>0</v>
      </c>
      <c r="H1778" s="10" t="s">
        <v>33</v>
      </c>
      <c r="I1778" s="10" t="s">
        <v>52</v>
      </c>
      <c r="J1778" s="10" t="s">
        <v>34</v>
      </c>
      <c r="K1778" s="10" t="s">
        <v>26</v>
      </c>
      <c r="L1778" s="10" t="s">
        <v>2310</v>
      </c>
    </row>
    <row r="1779" spans="1:12" x14ac:dyDescent="0.35">
      <c r="A1779" s="9">
        <v>1778</v>
      </c>
      <c r="B1779" s="19">
        <v>46058.78701388889</v>
      </c>
      <c r="C1779" s="20">
        <v>46058</v>
      </c>
      <c r="D1779" s="8" t="s">
        <v>394</v>
      </c>
      <c r="E1779" s="3">
        <v>0</v>
      </c>
      <c r="F1779" s="13">
        <v>1060</v>
      </c>
      <c r="G1779" s="3">
        <v>1060</v>
      </c>
      <c r="H1779" s="8" t="s">
        <v>51</v>
      </c>
      <c r="I1779" s="8" t="s">
        <v>71</v>
      </c>
      <c r="J1779" s="8" t="s">
        <v>32</v>
      </c>
      <c r="K1779" s="8" t="s">
        <v>26</v>
      </c>
      <c r="L1779" s="8" t="s">
        <v>2311</v>
      </c>
    </row>
    <row r="1780" spans="1:12" x14ac:dyDescent="0.35">
      <c r="A1780" s="11">
        <v>1779</v>
      </c>
      <c r="B1780" s="17">
        <v>46059.366354166668</v>
      </c>
      <c r="C1780" s="18">
        <v>46059</v>
      </c>
      <c r="D1780" s="10" t="s">
        <v>2287</v>
      </c>
      <c r="E1780" s="14">
        <v>1500</v>
      </c>
      <c r="F1780" s="5">
        <v>0</v>
      </c>
      <c r="G1780" s="5">
        <v>0</v>
      </c>
      <c r="H1780" s="10" t="s">
        <v>51</v>
      </c>
      <c r="I1780" s="10" t="s">
        <v>52</v>
      </c>
      <c r="J1780" s="10" t="s">
        <v>30</v>
      </c>
      <c r="K1780" s="10" t="s">
        <v>26</v>
      </c>
      <c r="L1780" s="10" t="s">
        <v>2312</v>
      </c>
    </row>
    <row r="1781" spans="1:12" x14ac:dyDescent="0.35">
      <c r="A1781" s="9">
        <v>1780</v>
      </c>
      <c r="B1781" s="19">
        <v>46059.366400462961</v>
      </c>
      <c r="C1781" s="20">
        <v>46059</v>
      </c>
      <c r="D1781" s="8" t="s">
        <v>394</v>
      </c>
      <c r="E1781" s="3">
        <v>0</v>
      </c>
      <c r="F1781" s="13">
        <v>1500</v>
      </c>
      <c r="G1781" s="3">
        <v>1500</v>
      </c>
      <c r="H1781" s="8" t="s">
        <v>51</v>
      </c>
      <c r="I1781" s="8" t="s">
        <v>71</v>
      </c>
      <c r="J1781" s="8" t="s">
        <v>32</v>
      </c>
      <c r="K1781" s="8" t="s">
        <v>26</v>
      </c>
      <c r="L1781" s="8" t="s">
        <v>2313</v>
      </c>
    </row>
    <row r="1782" spans="1:12" x14ac:dyDescent="0.35">
      <c r="A1782" s="11">
        <v>1781</v>
      </c>
      <c r="B1782" s="17">
        <v>46059.762361111112</v>
      </c>
      <c r="C1782" s="18">
        <v>46059</v>
      </c>
      <c r="D1782" s="10" t="s">
        <v>2314</v>
      </c>
      <c r="E1782" s="14">
        <v>2000</v>
      </c>
      <c r="F1782" s="5">
        <v>0</v>
      </c>
      <c r="G1782" s="5">
        <v>0</v>
      </c>
      <c r="H1782" s="10" t="s">
        <v>33</v>
      </c>
      <c r="I1782" s="10" t="s">
        <v>52</v>
      </c>
      <c r="J1782" s="10" t="s">
        <v>34</v>
      </c>
      <c r="K1782" s="10" t="s">
        <v>26</v>
      </c>
      <c r="L1782" s="10" t="s">
        <v>2315</v>
      </c>
    </row>
    <row r="1783" spans="1:12" x14ac:dyDescent="0.35">
      <c r="A1783" s="9">
        <v>1782</v>
      </c>
      <c r="B1783" s="19">
        <v>46059.762361111112</v>
      </c>
      <c r="C1783" s="20">
        <v>46059</v>
      </c>
      <c r="D1783" s="8" t="s">
        <v>394</v>
      </c>
      <c r="E1783" s="3">
        <v>0</v>
      </c>
      <c r="F1783" s="13">
        <v>2000</v>
      </c>
      <c r="G1783" s="3">
        <v>2000</v>
      </c>
      <c r="H1783" s="8" t="s">
        <v>51</v>
      </c>
      <c r="I1783" s="8" t="s">
        <v>71</v>
      </c>
      <c r="J1783" s="8" t="s">
        <v>32</v>
      </c>
      <c r="K1783" s="8" t="s">
        <v>26</v>
      </c>
      <c r="L1783" s="8" t="s">
        <v>2316</v>
      </c>
    </row>
    <row r="1784" spans="1:12" x14ac:dyDescent="0.35">
      <c r="A1784" s="11">
        <v>1783</v>
      </c>
      <c r="B1784" s="17">
        <v>46059.864259259259</v>
      </c>
      <c r="C1784" s="18">
        <v>46059</v>
      </c>
      <c r="D1784" s="10" t="s">
        <v>2317</v>
      </c>
      <c r="E1784" s="14">
        <v>1964</v>
      </c>
      <c r="F1784" s="5">
        <v>0</v>
      </c>
      <c r="G1784" s="5">
        <v>0</v>
      </c>
      <c r="H1784" s="10" t="s">
        <v>51</v>
      </c>
      <c r="I1784" s="10" t="s">
        <v>52</v>
      </c>
      <c r="J1784" s="10" t="s">
        <v>37</v>
      </c>
      <c r="K1784" s="10" t="s">
        <v>26</v>
      </c>
      <c r="L1784" s="10" t="s">
        <v>2318</v>
      </c>
    </row>
    <row r="1785" spans="1:12" x14ac:dyDescent="0.35">
      <c r="A1785" s="9">
        <v>1784</v>
      </c>
      <c r="B1785" s="19">
        <v>46059.864317129628</v>
      </c>
      <c r="C1785" s="20">
        <v>46059</v>
      </c>
      <c r="D1785" s="8" t="s">
        <v>394</v>
      </c>
      <c r="E1785" s="3">
        <v>0</v>
      </c>
      <c r="F1785" s="13">
        <v>1964</v>
      </c>
      <c r="G1785" s="3">
        <v>1964</v>
      </c>
      <c r="H1785" s="8" t="s">
        <v>51</v>
      </c>
      <c r="I1785" s="8" t="s">
        <v>71</v>
      </c>
      <c r="J1785" s="8" t="s">
        <v>32</v>
      </c>
      <c r="K1785" s="8" t="s">
        <v>26</v>
      </c>
      <c r="L1785" s="8" t="s">
        <v>2319</v>
      </c>
    </row>
    <row r="1786" spans="1:12" x14ac:dyDescent="0.35">
      <c r="A1786" s="11">
        <v>1785</v>
      </c>
      <c r="B1786" s="17">
        <v>46060.643518518518</v>
      </c>
      <c r="C1786" s="18">
        <v>46060</v>
      </c>
      <c r="D1786" s="10" t="s">
        <v>2320</v>
      </c>
      <c r="E1786" s="14">
        <v>1500</v>
      </c>
      <c r="F1786" s="5">
        <v>0</v>
      </c>
      <c r="G1786" s="5">
        <v>0</v>
      </c>
      <c r="H1786" s="10" t="s">
        <v>33</v>
      </c>
      <c r="I1786" s="10" t="s">
        <v>52</v>
      </c>
      <c r="J1786" s="10" t="s">
        <v>34</v>
      </c>
      <c r="K1786" s="10" t="s">
        <v>26</v>
      </c>
      <c r="L1786" s="10" t="s">
        <v>2321</v>
      </c>
    </row>
    <row r="1787" spans="1:12" x14ac:dyDescent="0.35">
      <c r="A1787" s="9">
        <v>1786</v>
      </c>
      <c r="B1787" s="19">
        <v>46060.643530092602</v>
      </c>
      <c r="C1787" s="20">
        <v>46060</v>
      </c>
      <c r="D1787" s="8" t="s">
        <v>394</v>
      </c>
      <c r="E1787" s="3">
        <v>0</v>
      </c>
      <c r="F1787" s="13">
        <v>1500</v>
      </c>
      <c r="G1787" s="3">
        <v>1500</v>
      </c>
      <c r="H1787" s="8" t="s">
        <v>51</v>
      </c>
      <c r="I1787" s="8" t="s">
        <v>71</v>
      </c>
      <c r="J1787" s="8" t="s">
        <v>32</v>
      </c>
      <c r="K1787" s="8" t="s">
        <v>26</v>
      </c>
      <c r="L1787" s="8" t="s">
        <v>2322</v>
      </c>
    </row>
    <row r="1788" spans="1:12" x14ac:dyDescent="0.35">
      <c r="A1788" s="11">
        <v>1787</v>
      </c>
      <c r="B1788" s="17">
        <v>46060.650138888886</v>
      </c>
      <c r="C1788" s="18">
        <v>46060</v>
      </c>
      <c r="D1788" s="10" t="s">
        <v>2323</v>
      </c>
      <c r="E1788" s="14">
        <v>1350</v>
      </c>
      <c r="F1788" s="5">
        <v>0</v>
      </c>
      <c r="G1788" s="5">
        <v>0</v>
      </c>
      <c r="H1788" s="10" t="s">
        <v>33</v>
      </c>
      <c r="I1788" s="10" t="s">
        <v>52</v>
      </c>
      <c r="J1788" s="10" t="s">
        <v>34</v>
      </c>
      <c r="K1788" s="10" t="s">
        <v>26</v>
      </c>
      <c r="L1788" s="10" t="s">
        <v>2324</v>
      </c>
    </row>
    <row r="1789" spans="1:12" x14ac:dyDescent="0.35">
      <c r="A1789" s="9">
        <v>1788</v>
      </c>
      <c r="B1789" s="19">
        <v>46060.650138888886</v>
      </c>
      <c r="C1789" s="20">
        <v>46060</v>
      </c>
      <c r="D1789" s="8" t="s">
        <v>394</v>
      </c>
      <c r="E1789" s="3">
        <v>0</v>
      </c>
      <c r="F1789" s="13">
        <v>1350</v>
      </c>
      <c r="G1789" s="3">
        <v>1350</v>
      </c>
      <c r="H1789" s="8" t="s">
        <v>51</v>
      </c>
      <c r="I1789" s="8" t="s">
        <v>71</v>
      </c>
      <c r="J1789" s="8" t="s">
        <v>32</v>
      </c>
      <c r="K1789" s="8" t="s">
        <v>26</v>
      </c>
      <c r="L1789" s="8" t="s">
        <v>2325</v>
      </c>
    </row>
    <row r="1790" spans="1:12" x14ac:dyDescent="0.35">
      <c r="A1790" s="11">
        <v>1789</v>
      </c>
      <c r="B1790" s="17">
        <v>46060.703182870369</v>
      </c>
      <c r="C1790" s="18">
        <v>46060</v>
      </c>
      <c r="D1790" s="10" t="s">
        <v>2326</v>
      </c>
      <c r="E1790" s="14">
        <v>2000</v>
      </c>
      <c r="F1790" s="5">
        <v>0</v>
      </c>
      <c r="G1790" s="5">
        <v>0</v>
      </c>
      <c r="H1790" s="10" t="s">
        <v>33</v>
      </c>
      <c r="I1790" s="10" t="s">
        <v>52</v>
      </c>
      <c r="J1790" s="10" t="s">
        <v>34</v>
      </c>
      <c r="K1790" s="10" t="s">
        <v>26</v>
      </c>
      <c r="L1790" s="10" t="s">
        <v>2327</v>
      </c>
    </row>
    <row r="1791" spans="1:12" x14ac:dyDescent="0.35">
      <c r="A1791" s="9">
        <v>1790</v>
      </c>
      <c r="B1791" s="19">
        <v>46060.703194444453</v>
      </c>
      <c r="C1791" s="20">
        <v>46060</v>
      </c>
      <c r="D1791" s="8" t="s">
        <v>394</v>
      </c>
      <c r="E1791" s="3">
        <v>0</v>
      </c>
      <c r="F1791" s="13">
        <v>2000</v>
      </c>
      <c r="G1791" s="3">
        <v>2000</v>
      </c>
      <c r="H1791" s="8" t="s">
        <v>51</v>
      </c>
      <c r="I1791" s="8" t="s">
        <v>71</v>
      </c>
      <c r="J1791" s="8" t="s">
        <v>32</v>
      </c>
      <c r="K1791" s="8" t="s">
        <v>26</v>
      </c>
      <c r="L1791" s="8" t="s">
        <v>2328</v>
      </c>
    </row>
    <row r="1792" spans="1:12" x14ac:dyDescent="0.35">
      <c r="A1792" s="11">
        <v>1791</v>
      </c>
      <c r="B1792" s="17">
        <v>46061.496527777781</v>
      </c>
      <c r="C1792" s="18">
        <v>46061</v>
      </c>
      <c r="D1792" s="10" t="s">
        <v>1195</v>
      </c>
      <c r="E1792" s="14">
        <v>1500</v>
      </c>
      <c r="F1792" s="5">
        <v>0</v>
      </c>
      <c r="G1792" s="5">
        <v>0</v>
      </c>
      <c r="H1792" s="10" t="s">
        <v>51</v>
      </c>
      <c r="I1792" s="10" t="s">
        <v>52</v>
      </c>
      <c r="J1792" s="10" t="s">
        <v>30</v>
      </c>
      <c r="K1792" s="10" t="s">
        <v>26</v>
      </c>
      <c r="L1792" s="10" t="s">
        <v>2329</v>
      </c>
    </row>
    <row r="1793" spans="1:12" x14ac:dyDescent="0.35">
      <c r="A1793" s="9">
        <v>1792</v>
      </c>
      <c r="B1793" s="19">
        <v>46061.49658564815</v>
      </c>
      <c r="C1793" s="20">
        <v>46061</v>
      </c>
      <c r="D1793" s="8" t="s">
        <v>394</v>
      </c>
      <c r="E1793" s="3">
        <v>0</v>
      </c>
      <c r="F1793" s="13">
        <v>1500</v>
      </c>
      <c r="G1793" s="3">
        <v>1500</v>
      </c>
      <c r="H1793" s="8" t="s">
        <v>51</v>
      </c>
      <c r="I1793" s="8" t="s">
        <v>71</v>
      </c>
      <c r="J1793" s="8" t="s">
        <v>32</v>
      </c>
      <c r="K1793" s="8" t="s">
        <v>26</v>
      </c>
      <c r="L1793" s="8" t="s">
        <v>2330</v>
      </c>
    </row>
    <row r="1794" spans="1:12" x14ac:dyDescent="0.35">
      <c r="A1794" s="11">
        <v>1793</v>
      </c>
      <c r="B1794" s="17">
        <v>46061.5315625</v>
      </c>
      <c r="C1794" s="18">
        <v>46061</v>
      </c>
      <c r="D1794" s="10" t="s">
        <v>276</v>
      </c>
      <c r="E1794" s="14">
        <v>860</v>
      </c>
      <c r="F1794" s="5">
        <v>0</v>
      </c>
      <c r="G1794" s="5">
        <v>0</v>
      </c>
      <c r="H1794" s="10" t="s">
        <v>51</v>
      </c>
      <c r="I1794" s="10" t="s">
        <v>52</v>
      </c>
      <c r="J1794" s="10" t="s">
        <v>36</v>
      </c>
      <c r="K1794" s="10" t="s">
        <v>26</v>
      </c>
      <c r="L1794" s="10" t="s">
        <v>2331</v>
      </c>
    </row>
    <row r="1795" spans="1:12" x14ac:dyDescent="0.35">
      <c r="A1795" s="9">
        <v>1794</v>
      </c>
      <c r="B1795" s="19">
        <v>46061.53162037037</v>
      </c>
      <c r="C1795" s="20">
        <v>46061</v>
      </c>
      <c r="D1795" s="8" t="s">
        <v>394</v>
      </c>
      <c r="E1795" s="3">
        <v>0</v>
      </c>
      <c r="F1795" s="13">
        <v>860</v>
      </c>
      <c r="G1795" s="3">
        <v>860</v>
      </c>
      <c r="H1795" s="8" t="s">
        <v>51</v>
      </c>
      <c r="I1795" s="8" t="s">
        <v>71</v>
      </c>
      <c r="J1795" s="8" t="s">
        <v>32</v>
      </c>
      <c r="K1795" s="8" t="s">
        <v>26</v>
      </c>
      <c r="L1795" s="8" t="s">
        <v>2332</v>
      </c>
    </row>
    <row r="1796" spans="1:12" x14ac:dyDescent="0.35">
      <c r="A1796" s="11">
        <v>1795</v>
      </c>
      <c r="B1796" s="17">
        <v>46061.70484953704</v>
      </c>
      <c r="C1796" s="18">
        <v>46061</v>
      </c>
      <c r="D1796" s="10" t="s">
        <v>491</v>
      </c>
      <c r="E1796" s="14">
        <v>1700</v>
      </c>
      <c r="F1796" s="5">
        <v>0</v>
      </c>
      <c r="G1796" s="5">
        <v>0</v>
      </c>
      <c r="H1796" s="10" t="s">
        <v>51</v>
      </c>
      <c r="I1796" s="10" t="s">
        <v>52</v>
      </c>
      <c r="J1796" s="10" t="s">
        <v>30</v>
      </c>
      <c r="K1796" s="10" t="s">
        <v>26</v>
      </c>
      <c r="L1796" s="10" t="s">
        <v>2333</v>
      </c>
    </row>
    <row r="1797" spans="1:12" x14ac:dyDescent="0.35">
      <c r="A1797" s="9">
        <v>1796</v>
      </c>
      <c r="B1797" s="19">
        <v>46061.704895833333</v>
      </c>
      <c r="C1797" s="20">
        <v>46061</v>
      </c>
      <c r="D1797" s="8" t="s">
        <v>394</v>
      </c>
      <c r="E1797" s="3">
        <v>0</v>
      </c>
      <c r="F1797" s="13">
        <v>1700</v>
      </c>
      <c r="G1797" s="3">
        <v>1700</v>
      </c>
      <c r="H1797" s="8" t="s">
        <v>51</v>
      </c>
      <c r="I1797" s="8" t="s">
        <v>71</v>
      </c>
      <c r="J1797" s="8" t="s">
        <v>32</v>
      </c>
      <c r="K1797" s="8" t="s">
        <v>26</v>
      </c>
      <c r="L1797" s="8" t="s">
        <v>2334</v>
      </c>
    </row>
    <row r="1798" spans="1:12" x14ac:dyDescent="0.35">
      <c r="A1798" s="11">
        <v>1797</v>
      </c>
      <c r="B1798" s="17">
        <v>46062.807916666658</v>
      </c>
      <c r="C1798" s="18">
        <v>46062</v>
      </c>
      <c r="D1798" s="10" t="s">
        <v>2335</v>
      </c>
      <c r="E1798" s="14">
        <v>2100</v>
      </c>
      <c r="F1798" s="5">
        <v>0</v>
      </c>
      <c r="G1798" s="5">
        <v>0</v>
      </c>
      <c r="H1798" s="10" t="s">
        <v>51</v>
      </c>
      <c r="I1798" s="10" t="s">
        <v>52</v>
      </c>
      <c r="J1798" s="10" t="s">
        <v>30</v>
      </c>
      <c r="K1798" s="10" t="s">
        <v>26</v>
      </c>
      <c r="L1798" s="10" t="s">
        <v>2336</v>
      </c>
    </row>
    <row r="1799" spans="1:12" x14ac:dyDescent="0.35">
      <c r="A1799" s="9">
        <v>1798</v>
      </c>
      <c r="B1799" s="19">
        <v>46062.807962962957</v>
      </c>
      <c r="C1799" s="20">
        <v>46062</v>
      </c>
      <c r="D1799" s="8" t="s">
        <v>394</v>
      </c>
      <c r="E1799" s="3">
        <v>0</v>
      </c>
      <c r="F1799" s="13">
        <v>2100</v>
      </c>
      <c r="G1799" s="3">
        <v>2100</v>
      </c>
      <c r="H1799" s="8" t="s">
        <v>51</v>
      </c>
      <c r="I1799" s="8" t="s">
        <v>71</v>
      </c>
      <c r="J1799" s="8" t="s">
        <v>32</v>
      </c>
      <c r="K1799" s="8" t="s">
        <v>26</v>
      </c>
      <c r="L1799" s="8" t="s">
        <v>2337</v>
      </c>
    </row>
    <row r="1800" spans="1:12" x14ac:dyDescent="0.35">
      <c r="A1800" s="11">
        <v>1799</v>
      </c>
      <c r="B1800" s="17">
        <v>46063.378310185188</v>
      </c>
      <c r="C1800" s="18">
        <v>46063</v>
      </c>
      <c r="D1800" s="10" t="s">
        <v>2287</v>
      </c>
      <c r="E1800" s="14">
        <v>2000</v>
      </c>
      <c r="F1800" s="5">
        <v>0</v>
      </c>
      <c r="G1800" s="5">
        <v>0</v>
      </c>
      <c r="H1800" s="10" t="s">
        <v>51</v>
      </c>
      <c r="I1800" s="10" t="s">
        <v>52</v>
      </c>
      <c r="J1800" s="10" t="s">
        <v>30</v>
      </c>
      <c r="K1800" s="10" t="s">
        <v>26</v>
      </c>
      <c r="L1800" s="10" t="s">
        <v>2338</v>
      </c>
    </row>
    <row r="1801" spans="1:12" x14ac:dyDescent="0.35">
      <c r="A1801" s="9">
        <v>1800</v>
      </c>
      <c r="B1801" s="19">
        <v>46063.378368055557</v>
      </c>
      <c r="C1801" s="20">
        <v>46063</v>
      </c>
      <c r="D1801" s="8" t="s">
        <v>394</v>
      </c>
      <c r="E1801" s="3">
        <v>0</v>
      </c>
      <c r="F1801" s="13">
        <v>2000</v>
      </c>
      <c r="G1801" s="3">
        <v>2000</v>
      </c>
      <c r="H1801" s="8" t="s">
        <v>51</v>
      </c>
      <c r="I1801" s="8" t="s">
        <v>71</v>
      </c>
      <c r="J1801" s="8" t="s">
        <v>32</v>
      </c>
      <c r="K1801" s="8" t="s">
        <v>26</v>
      </c>
      <c r="L1801" s="8" t="s">
        <v>2339</v>
      </c>
    </row>
    <row r="1802" spans="1:12" x14ac:dyDescent="0.35">
      <c r="A1802" s="11">
        <v>1801</v>
      </c>
      <c r="B1802" s="17">
        <v>46063.706493055557</v>
      </c>
      <c r="C1802" s="18">
        <v>46063</v>
      </c>
      <c r="D1802" s="10" t="s">
        <v>2287</v>
      </c>
      <c r="E1802" s="14">
        <v>3000</v>
      </c>
      <c r="F1802" s="5">
        <v>0</v>
      </c>
      <c r="G1802" s="5">
        <v>0</v>
      </c>
      <c r="H1802" s="10" t="s">
        <v>51</v>
      </c>
      <c r="I1802" s="10" t="s">
        <v>52</v>
      </c>
      <c r="J1802" s="10" t="s">
        <v>30</v>
      </c>
      <c r="K1802" s="10" t="s">
        <v>26</v>
      </c>
      <c r="L1802" s="10" t="s">
        <v>2340</v>
      </c>
    </row>
    <row r="1803" spans="1:12" x14ac:dyDescent="0.35">
      <c r="A1803" s="9">
        <v>1802</v>
      </c>
      <c r="B1803" s="19">
        <v>46063.706643518519</v>
      </c>
      <c r="C1803" s="20">
        <v>46063</v>
      </c>
      <c r="D1803" s="8" t="s">
        <v>394</v>
      </c>
      <c r="E1803" s="3">
        <v>0</v>
      </c>
      <c r="F1803" s="13">
        <v>3000</v>
      </c>
      <c r="G1803" s="3">
        <v>3000</v>
      </c>
      <c r="H1803" s="8" t="s">
        <v>51</v>
      </c>
      <c r="I1803" s="8" t="s">
        <v>71</v>
      </c>
      <c r="J1803" s="8" t="s">
        <v>32</v>
      </c>
      <c r="K1803" s="8" t="s">
        <v>26</v>
      </c>
      <c r="L1803" s="8" t="s">
        <v>2341</v>
      </c>
    </row>
    <row r="1804" spans="1:12" x14ac:dyDescent="0.35">
      <c r="A1804" s="11">
        <v>1803</v>
      </c>
      <c r="B1804" s="17">
        <v>46063.707662037043</v>
      </c>
      <c r="C1804" s="18">
        <v>46063</v>
      </c>
      <c r="D1804" s="10" t="s">
        <v>2342</v>
      </c>
      <c r="E1804" s="5">
        <v>0</v>
      </c>
      <c r="F1804" s="15">
        <v>6500</v>
      </c>
      <c r="G1804" s="5">
        <v>6500</v>
      </c>
      <c r="H1804" s="10" t="s">
        <v>51</v>
      </c>
      <c r="I1804" s="10" t="s">
        <v>71</v>
      </c>
      <c r="J1804" s="10" t="s">
        <v>31</v>
      </c>
      <c r="K1804" s="10" t="s">
        <v>26</v>
      </c>
      <c r="L1804" s="10" t="s">
        <v>2343</v>
      </c>
    </row>
    <row r="1805" spans="1:12" x14ac:dyDescent="0.35">
      <c r="A1805" s="9">
        <v>1804</v>
      </c>
      <c r="B1805" s="19">
        <v>46063.708379629628</v>
      </c>
      <c r="C1805" s="20">
        <v>46063</v>
      </c>
      <c r="D1805" s="8" t="s">
        <v>426</v>
      </c>
      <c r="E1805" s="12">
        <v>6500</v>
      </c>
      <c r="F1805" s="3">
        <v>0</v>
      </c>
      <c r="G1805" s="3">
        <v>0</v>
      </c>
      <c r="H1805" s="8" t="s">
        <v>51</v>
      </c>
      <c r="I1805" s="8" t="s">
        <v>52</v>
      </c>
      <c r="J1805" s="8" t="s">
        <v>32</v>
      </c>
      <c r="K1805" s="8" t="s">
        <v>26</v>
      </c>
      <c r="L1805" s="8" t="s">
        <v>2344</v>
      </c>
    </row>
    <row r="1806" spans="1:12" x14ac:dyDescent="0.35">
      <c r="A1806" s="11">
        <v>1805</v>
      </c>
      <c r="B1806" s="17">
        <v>46063.802268518521</v>
      </c>
      <c r="C1806" s="18">
        <v>46063</v>
      </c>
      <c r="D1806" s="10" t="s">
        <v>2345</v>
      </c>
      <c r="E1806" s="14">
        <v>820</v>
      </c>
      <c r="F1806" s="5">
        <v>0</v>
      </c>
      <c r="G1806" s="5">
        <v>0</v>
      </c>
      <c r="H1806" s="10" t="s">
        <v>33</v>
      </c>
      <c r="I1806" s="10" t="s">
        <v>52</v>
      </c>
      <c r="J1806" s="10" t="s">
        <v>34</v>
      </c>
      <c r="K1806" s="10" t="s">
        <v>26</v>
      </c>
      <c r="L1806" s="10" t="s">
        <v>2346</v>
      </c>
    </row>
    <row r="1807" spans="1:12" x14ac:dyDescent="0.35">
      <c r="A1807" s="9">
        <v>1806</v>
      </c>
      <c r="B1807" s="19">
        <v>46063.80228009259</v>
      </c>
      <c r="C1807" s="20">
        <v>46063</v>
      </c>
      <c r="D1807" s="8" t="s">
        <v>394</v>
      </c>
      <c r="E1807" s="3">
        <v>0</v>
      </c>
      <c r="F1807" s="13">
        <v>820</v>
      </c>
      <c r="G1807" s="3">
        <v>820</v>
      </c>
      <c r="H1807" s="8" t="s">
        <v>51</v>
      </c>
      <c r="I1807" s="8" t="s">
        <v>71</v>
      </c>
      <c r="J1807" s="8" t="s">
        <v>32</v>
      </c>
      <c r="K1807" s="8" t="s">
        <v>26</v>
      </c>
      <c r="L1807" s="8" t="s">
        <v>2347</v>
      </c>
    </row>
    <row r="1808" spans="1:12" x14ac:dyDescent="0.35">
      <c r="A1808" s="11">
        <v>1807</v>
      </c>
      <c r="B1808" s="17">
        <v>46064.534259259257</v>
      </c>
      <c r="C1808" s="18">
        <v>46064</v>
      </c>
      <c r="D1808" s="10" t="s">
        <v>2287</v>
      </c>
      <c r="E1808" s="14">
        <v>3000</v>
      </c>
      <c r="F1808" s="5">
        <v>0</v>
      </c>
      <c r="G1808" s="5">
        <v>0</v>
      </c>
      <c r="H1808" s="10" t="s">
        <v>51</v>
      </c>
      <c r="I1808" s="10" t="s">
        <v>52</v>
      </c>
      <c r="J1808" s="10" t="s">
        <v>30</v>
      </c>
      <c r="K1808" s="10" t="s">
        <v>26</v>
      </c>
      <c r="L1808" s="10" t="s">
        <v>2348</v>
      </c>
    </row>
    <row r="1809" spans="1:12" x14ac:dyDescent="0.35">
      <c r="A1809" s="9">
        <v>1808</v>
      </c>
      <c r="B1809" s="19">
        <v>46064.534305555557</v>
      </c>
      <c r="C1809" s="20">
        <v>46064</v>
      </c>
      <c r="D1809" s="8" t="s">
        <v>394</v>
      </c>
      <c r="E1809" s="3">
        <v>0</v>
      </c>
      <c r="F1809" s="13">
        <v>3000</v>
      </c>
      <c r="G1809" s="3">
        <v>3000</v>
      </c>
      <c r="H1809" s="8" t="s">
        <v>51</v>
      </c>
      <c r="I1809" s="8" t="s">
        <v>71</v>
      </c>
      <c r="J1809" s="8" t="s">
        <v>32</v>
      </c>
      <c r="K1809" s="8" t="s">
        <v>26</v>
      </c>
      <c r="L1809" s="8" t="s">
        <v>2349</v>
      </c>
    </row>
    <row r="1810" spans="1:12" x14ac:dyDescent="0.35">
      <c r="A1810" s="11">
        <v>1809</v>
      </c>
      <c r="B1810" s="17">
        <v>46064.636782407397</v>
      </c>
      <c r="C1810" s="18">
        <v>46064</v>
      </c>
      <c r="D1810" s="10" t="s">
        <v>2350</v>
      </c>
      <c r="E1810" s="14">
        <v>1100</v>
      </c>
      <c r="F1810" s="5">
        <v>0</v>
      </c>
      <c r="G1810" s="5">
        <v>0</v>
      </c>
      <c r="H1810" s="10" t="s">
        <v>51</v>
      </c>
      <c r="I1810" s="10" t="s">
        <v>52</v>
      </c>
      <c r="J1810" s="10" t="s">
        <v>30</v>
      </c>
      <c r="K1810" s="10" t="s">
        <v>26</v>
      </c>
      <c r="L1810" s="10" t="s">
        <v>2351</v>
      </c>
    </row>
    <row r="1811" spans="1:12" x14ac:dyDescent="0.35">
      <c r="A1811" s="9">
        <v>1810</v>
      </c>
      <c r="B1811" s="19">
        <v>46064.636828703697</v>
      </c>
      <c r="C1811" s="20">
        <v>46064</v>
      </c>
      <c r="D1811" s="8" t="s">
        <v>394</v>
      </c>
      <c r="E1811" s="3">
        <v>0</v>
      </c>
      <c r="F1811" s="13">
        <v>1100</v>
      </c>
      <c r="G1811" s="3">
        <v>1100</v>
      </c>
      <c r="H1811" s="8" t="s">
        <v>51</v>
      </c>
      <c r="I1811" s="8" t="s">
        <v>71</v>
      </c>
      <c r="J1811" s="8" t="s">
        <v>32</v>
      </c>
      <c r="K1811" s="8" t="s">
        <v>26</v>
      </c>
      <c r="L1811" s="8" t="s">
        <v>2352</v>
      </c>
    </row>
    <row r="1812" spans="1:12" x14ac:dyDescent="0.35">
      <c r="A1812" s="11">
        <v>1811</v>
      </c>
      <c r="B1812" s="17">
        <v>46064.830821759257</v>
      </c>
      <c r="C1812" s="18">
        <v>46064</v>
      </c>
      <c r="D1812" s="10" t="s">
        <v>2353</v>
      </c>
      <c r="E1812" s="14">
        <v>3100</v>
      </c>
      <c r="F1812" s="5">
        <v>0</v>
      </c>
      <c r="G1812" s="5">
        <v>0</v>
      </c>
      <c r="H1812" s="10" t="s">
        <v>51</v>
      </c>
      <c r="I1812" s="10" t="s">
        <v>52</v>
      </c>
      <c r="J1812" s="10" t="s">
        <v>30</v>
      </c>
      <c r="K1812" s="10" t="s">
        <v>26</v>
      </c>
      <c r="L1812" s="10" t="s">
        <v>2354</v>
      </c>
    </row>
    <row r="1813" spans="1:12" x14ac:dyDescent="0.35">
      <c r="A1813" s="9">
        <v>1812</v>
      </c>
      <c r="B1813" s="19">
        <v>46064.830879629633</v>
      </c>
      <c r="C1813" s="20">
        <v>46064</v>
      </c>
      <c r="D1813" s="8" t="s">
        <v>394</v>
      </c>
      <c r="E1813" s="3">
        <v>0</v>
      </c>
      <c r="F1813" s="13">
        <v>3100</v>
      </c>
      <c r="G1813" s="3">
        <v>3100</v>
      </c>
      <c r="H1813" s="8" t="s">
        <v>51</v>
      </c>
      <c r="I1813" s="8" t="s">
        <v>71</v>
      </c>
      <c r="J1813" s="8" t="s">
        <v>32</v>
      </c>
      <c r="K1813" s="8" t="s">
        <v>26</v>
      </c>
      <c r="L1813" s="8" t="s">
        <v>2355</v>
      </c>
    </row>
    <row r="1814" spans="1:12" x14ac:dyDescent="0.35">
      <c r="A1814" s="11">
        <v>1813</v>
      </c>
      <c r="B1814" s="17">
        <v>46065.554386574076</v>
      </c>
      <c r="C1814" s="18">
        <v>46065</v>
      </c>
      <c r="D1814" s="10" t="s">
        <v>2287</v>
      </c>
      <c r="E1814" s="14">
        <v>2000</v>
      </c>
      <c r="F1814" s="5">
        <v>0</v>
      </c>
      <c r="G1814" s="5">
        <v>0</v>
      </c>
      <c r="H1814" s="10" t="s">
        <v>51</v>
      </c>
      <c r="I1814" s="10" t="s">
        <v>52</v>
      </c>
      <c r="J1814" s="10" t="s">
        <v>30</v>
      </c>
      <c r="K1814" s="10" t="s">
        <v>26</v>
      </c>
      <c r="L1814" s="10" t="s">
        <v>2356</v>
      </c>
    </row>
    <row r="1815" spans="1:12" x14ac:dyDescent="0.35">
      <c r="A1815" s="9">
        <v>1814</v>
      </c>
      <c r="B1815" s="19">
        <v>46065.554537037038</v>
      </c>
      <c r="C1815" s="20">
        <v>46065</v>
      </c>
      <c r="D1815" s="8" t="s">
        <v>394</v>
      </c>
      <c r="E1815" s="3">
        <v>0</v>
      </c>
      <c r="F1815" s="13">
        <v>2000</v>
      </c>
      <c r="G1815" s="3">
        <v>2000</v>
      </c>
      <c r="H1815" s="8" t="s">
        <v>51</v>
      </c>
      <c r="I1815" s="8" t="s">
        <v>71</v>
      </c>
      <c r="J1815" s="8" t="s">
        <v>32</v>
      </c>
      <c r="K1815" s="8" t="s">
        <v>26</v>
      </c>
      <c r="L1815" s="8" t="s">
        <v>2357</v>
      </c>
    </row>
    <row r="1816" spans="1:12" x14ac:dyDescent="0.35">
      <c r="A1816" s="11">
        <v>1815</v>
      </c>
      <c r="B1816" s="17">
        <v>46072.727719907409</v>
      </c>
      <c r="C1816" s="18">
        <v>46072</v>
      </c>
      <c r="D1816" s="10" t="s">
        <v>2358</v>
      </c>
      <c r="E1816" s="5">
        <v>0</v>
      </c>
      <c r="F1816" s="15">
        <v>213000</v>
      </c>
      <c r="G1816" s="5">
        <v>213000</v>
      </c>
      <c r="H1816" s="10" t="s">
        <v>33</v>
      </c>
      <c r="I1816" s="10" t="s">
        <v>71</v>
      </c>
      <c r="J1816" s="10" t="s">
        <v>31</v>
      </c>
      <c r="K1816" s="10" t="s">
        <v>26</v>
      </c>
      <c r="L1816" s="10" t="s">
        <v>2359</v>
      </c>
    </row>
    <row r="1817" spans="1:12" x14ac:dyDescent="0.35">
      <c r="A1817" s="9">
        <v>1816</v>
      </c>
      <c r="B1817" s="19">
        <v>46072.728530092587</v>
      </c>
      <c r="C1817" s="20">
        <v>46072</v>
      </c>
      <c r="D1817" s="8" t="s">
        <v>426</v>
      </c>
      <c r="E1817" s="12">
        <v>213000</v>
      </c>
      <c r="F1817" s="3">
        <v>0</v>
      </c>
      <c r="G1817" s="3">
        <v>0</v>
      </c>
      <c r="H1817" s="8" t="s">
        <v>51</v>
      </c>
      <c r="I1817" s="8" t="s">
        <v>52</v>
      </c>
      <c r="J1817" s="8" t="s">
        <v>32</v>
      </c>
      <c r="K1817" s="8" t="s">
        <v>26</v>
      </c>
      <c r="L1817" s="8" t="s">
        <v>2360</v>
      </c>
    </row>
    <row r="1818" spans="1:12" x14ac:dyDescent="0.35">
      <c r="A1818" s="11">
        <v>1817</v>
      </c>
      <c r="B1818" s="17">
        <v>46072.743668981479</v>
      </c>
      <c r="C1818" s="18">
        <v>46072</v>
      </c>
      <c r="D1818" s="10" t="s">
        <v>2361</v>
      </c>
      <c r="E1818" s="14">
        <v>12000</v>
      </c>
      <c r="F1818" s="5">
        <v>0</v>
      </c>
      <c r="G1818" s="5">
        <v>0</v>
      </c>
      <c r="H1818" s="10" t="s">
        <v>51</v>
      </c>
      <c r="I1818" s="10" t="s">
        <v>52</v>
      </c>
      <c r="J1818" s="10" t="s">
        <v>30</v>
      </c>
      <c r="K1818" s="10" t="s">
        <v>26</v>
      </c>
      <c r="L1818" s="10" t="s">
        <v>2362</v>
      </c>
    </row>
    <row r="1819" spans="1:12" x14ac:dyDescent="0.35">
      <c r="A1819" s="9">
        <v>1818</v>
      </c>
      <c r="B1819" s="19">
        <v>46072.743946759263</v>
      </c>
      <c r="C1819" s="20">
        <v>46072</v>
      </c>
      <c r="D1819" s="8" t="s">
        <v>394</v>
      </c>
      <c r="E1819" s="3">
        <v>0</v>
      </c>
      <c r="F1819" s="13">
        <v>12000</v>
      </c>
      <c r="G1819" s="3">
        <v>12000</v>
      </c>
      <c r="H1819" s="8" t="s">
        <v>51</v>
      </c>
      <c r="I1819" s="8" t="s">
        <v>71</v>
      </c>
      <c r="J1819" s="8" t="s">
        <v>32</v>
      </c>
      <c r="K1819" s="8" t="s">
        <v>26</v>
      </c>
      <c r="L1819" s="8" t="s">
        <v>2363</v>
      </c>
    </row>
    <row r="1820" spans="1:12" x14ac:dyDescent="0.35">
      <c r="A1820" s="11">
        <v>1819</v>
      </c>
      <c r="B1820" s="17">
        <v>46072.743958333333</v>
      </c>
      <c r="C1820" s="18">
        <v>46072</v>
      </c>
      <c r="D1820" s="10" t="s">
        <v>2095</v>
      </c>
      <c r="E1820" s="14">
        <v>50</v>
      </c>
      <c r="F1820" s="5">
        <v>0</v>
      </c>
      <c r="G1820" s="5">
        <v>0</v>
      </c>
      <c r="H1820" s="10" t="s">
        <v>51</v>
      </c>
      <c r="I1820" s="10" t="s">
        <v>52</v>
      </c>
      <c r="J1820" s="10" t="s">
        <v>36</v>
      </c>
      <c r="K1820" s="10" t="s">
        <v>26</v>
      </c>
      <c r="L1820" s="10" t="s">
        <v>2364</v>
      </c>
    </row>
    <row r="1821" spans="1:12" x14ac:dyDescent="0.35">
      <c r="A1821" s="9">
        <v>1820</v>
      </c>
      <c r="B1821" s="19">
        <v>46072.743969907409</v>
      </c>
      <c r="C1821" s="20">
        <v>46072</v>
      </c>
      <c r="D1821" s="8" t="s">
        <v>394</v>
      </c>
      <c r="E1821" s="3">
        <v>0</v>
      </c>
      <c r="F1821" s="13">
        <v>50</v>
      </c>
      <c r="G1821" s="3">
        <v>50</v>
      </c>
      <c r="H1821" s="8" t="s">
        <v>51</v>
      </c>
      <c r="I1821" s="8" t="s">
        <v>71</v>
      </c>
      <c r="J1821" s="8" t="s">
        <v>32</v>
      </c>
      <c r="K1821" s="8" t="s">
        <v>26</v>
      </c>
      <c r="L1821" s="8" t="s">
        <v>2365</v>
      </c>
    </row>
    <row r="1822" spans="1:12" x14ac:dyDescent="0.35">
      <c r="A1822" s="11">
        <v>1821</v>
      </c>
      <c r="B1822" s="17">
        <v>46072.744849537034</v>
      </c>
      <c r="C1822" s="18">
        <v>46072</v>
      </c>
      <c r="D1822" s="10" t="s">
        <v>2366</v>
      </c>
      <c r="E1822" s="14">
        <v>7000</v>
      </c>
      <c r="F1822" s="5">
        <v>0</v>
      </c>
      <c r="G1822" s="5">
        <v>0</v>
      </c>
      <c r="H1822" s="10" t="s">
        <v>51</v>
      </c>
      <c r="I1822" s="10" t="s">
        <v>52</v>
      </c>
      <c r="J1822" s="10" t="s">
        <v>30</v>
      </c>
      <c r="K1822" s="10" t="s">
        <v>26</v>
      </c>
      <c r="L1822" s="10" t="s">
        <v>2367</v>
      </c>
    </row>
    <row r="1823" spans="1:12" x14ac:dyDescent="0.35">
      <c r="A1823" s="9">
        <v>1822</v>
      </c>
      <c r="B1823" s="19">
        <v>46072.744895833333</v>
      </c>
      <c r="C1823" s="20">
        <v>46072</v>
      </c>
      <c r="D1823" s="8" t="s">
        <v>394</v>
      </c>
      <c r="E1823" s="3">
        <v>0</v>
      </c>
      <c r="F1823" s="13">
        <v>7000</v>
      </c>
      <c r="G1823" s="3">
        <v>7000</v>
      </c>
      <c r="H1823" s="8" t="s">
        <v>51</v>
      </c>
      <c r="I1823" s="8" t="s">
        <v>71</v>
      </c>
      <c r="J1823" s="8" t="s">
        <v>32</v>
      </c>
      <c r="K1823" s="8" t="s">
        <v>26</v>
      </c>
      <c r="L1823" s="8" t="s">
        <v>2368</v>
      </c>
    </row>
    <row r="1824" spans="1:12" x14ac:dyDescent="0.35">
      <c r="A1824" s="11">
        <v>1823</v>
      </c>
      <c r="B1824" s="17">
        <v>46072.745717592603</v>
      </c>
      <c r="C1824" s="18">
        <v>46072</v>
      </c>
      <c r="D1824" s="10" t="s">
        <v>2369</v>
      </c>
      <c r="E1824" s="14">
        <v>7000</v>
      </c>
      <c r="F1824" s="5">
        <v>0</v>
      </c>
      <c r="G1824" s="5">
        <v>0</v>
      </c>
      <c r="H1824" s="10" t="s">
        <v>51</v>
      </c>
      <c r="I1824" s="10" t="s">
        <v>52</v>
      </c>
      <c r="J1824" s="10" t="s">
        <v>30</v>
      </c>
      <c r="K1824" s="10" t="s">
        <v>26</v>
      </c>
      <c r="L1824" s="10" t="s">
        <v>2370</v>
      </c>
    </row>
    <row r="1825" spans="1:12" x14ac:dyDescent="0.35">
      <c r="A1825" s="9">
        <v>1824</v>
      </c>
      <c r="B1825" s="19">
        <v>46072.745787037027</v>
      </c>
      <c r="C1825" s="20">
        <v>46072</v>
      </c>
      <c r="D1825" s="8" t="s">
        <v>394</v>
      </c>
      <c r="E1825" s="3">
        <v>0</v>
      </c>
      <c r="F1825" s="13">
        <v>7000</v>
      </c>
      <c r="G1825" s="3">
        <v>7000</v>
      </c>
      <c r="H1825" s="8" t="s">
        <v>51</v>
      </c>
      <c r="I1825" s="8" t="s">
        <v>71</v>
      </c>
      <c r="J1825" s="8" t="s">
        <v>32</v>
      </c>
      <c r="K1825" s="8" t="s">
        <v>26</v>
      </c>
      <c r="L1825" s="8" t="s">
        <v>2371</v>
      </c>
    </row>
    <row r="1826" spans="1:12" x14ac:dyDescent="0.35">
      <c r="A1826" s="11">
        <v>1825</v>
      </c>
      <c r="B1826" s="17">
        <v>46072.746898148151</v>
      </c>
      <c r="C1826" s="18">
        <v>46072</v>
      </c>
      <c r="D1826" s="10" t="s">
        <v>2372</v>
      </c>
      <c r="E1826" s="14">
        <v>7000</v>
      </c>
      <c r="F1826" s="5">
        <v>0</v>
      </c>
      <c r="G1826" s="5">
        <v>0</v>
      </c>
      <c r="H1826" s="10" t="s">
        <v>51</v>
      </c>
      <c r="I1826" s="10" t="s">
        <v>52</v>
      </c>
      <c r="J1826" s="10" t="s">
        <v>30</v>
      </c>
      <c r="K1826" s="10" t="s">
        <v>26</v>
      </c>
      <c r="L1826" s="10" t="s">
        <v>2373</v>
      </c>
    </row>
    <row r="1827" spans="1:12" x14ac:dyDescent="0.35">
      <c r="A1827" s="9">
        <v>1826</v>
      </c>
      <c r="B1827" s="19">
        <v>46072.746967592589</v>
      </c>
      <c r="C1827" s="20">
        <v>46072</v>
      </c>
      <c r="D1827" s="8" t="s">
        <v>394</v>
      </c>
      <c r="E1827" s="3">
        <v>0</v>
      </c>
      <c r="F1827" s="13">
        <v>7000</v>
      </c>
      <c r="G1827" s="3">
        <v>7000</v>
      </c>
      <c r="H1827" s="8" t="s">
        <v>51</v>
      </c>
      <c r="I1827" s="8" t="s">
        <v>71</v>
      </c>
      <c r="J1827" s="8" t="s">
        <v>32</v>
      </c>
      <c r="K1827" s="8" t="s">
        <v>26</v>
      </c>
      <c r="L1827" s="8" t="s">
        <v>2374</v>
      </c>
    </row>
    <row r="1828" spans="1:12" x14ac:dyDescent="0.35">
      <c r="A1828" s="11">
        <v>1827</v>
      </c>
      <c r="B1828" s="17">
        <v>46072.747916666667</v>
      </c>
      <c r="C1828" s="18">
        <v>46072</v>
      </c>
      <c r="D1828" s="10" t="s">
        <v>2375</v>
      </c>
      <c r="E1828" s="14">
        <v>7010</v>
      </c>
      <c r="F1828" s="5">
        <v>0</v>
      </c>
      <c r="G1828" s="5">
        <v>0</v>
      </c>
      <c r="H1828" s="10" t="s">
        <v>51</v>
      </c>
      <c r="I1828" s="10" t="s">
        <v>52</v>
      </c>
      <c r="J1828" s="10" t="s">
        <v>30</v>
      </c>
      <c r="K1828" s="10" t="s">
        <v>26</v>
      </c>
      <c r="L1828" s="10" t="s">
        <v>2376</v>
      </c>
    </row>
    <row r="1829" spans="1:12" x14ac:dyDescent="0.35">
      <c r="A1829" s="9">
        <v>1828</v>
      </c>
      <c r="B1829" s="19">
        <v>46072.747997685183</v>
      </c>
      <c r="C1829" s="20">
        <v>46072</v>
      </c>
      <c r="D1829" s="8" t="s">
        <v>394</v>
      </c>
      <c r="E1829" s="3">
        <v>0</v>
      </c>
      <c r="F1829" s="13">
        <v>7010</v>
      </c>
      <c r="G1829" s="3">
        <v>7010</v>
      </c>
      <c r="H1829" s="8" t="s">
        <v>51</v>
      </c>
      <c r="I1829" s="8" t="s">
        <v>71</v>
      </c>
      <c r="J1829" s="8" t="s">
        <v>32</v>
      </c>
      <c r="K1829" s="8" t="s">
        <v>26</v>
      </c>
      <c r="L1829" s="8" t="s">
        <v>2377</v>
      </c>
    </row>
    <row r="1830" spans="1:12" x14ac:dyDescent="0.35">
      <c r="A1830" s="11">
        <v>1829</v>
      </c>
      <c r="B1830" s="17">
        <v>46072.748877314807</v>
      </c>
      <c r="C1830" s="18">
        <v>46072</v>
      </c>
      <c r="D1830" s="10" t="s">
        <v>2378</v>
      </c>
      <c r="E1830" s="14">
        <v>7002</v>
      </c>
      <c r="F1830" s="5">
        <v>0</v>
      </c>
      <c r="G1830" s="5">
        <v>0</v>
      </c>
      <c r="H1830" s="10" t="s">
        <v>51</v>
      </c>
      <c r="I1830" s="10" t="s">
        <v>52</v>
      </c>
      <c r="J1830" s="10" t="s">
        <v>30</v>
      </c>
      <c r="K1830" s="10" t="s">
        <v>26</v>
      </c>
      <c r="L1830" s="10" t="s">
        <v>2379</v>
      </c>
    </row>
    <row r="1831" spans="1:12" x14ac:dyDescent="0.35">
      <c r="A1831" s="9">
        <v>1830</v>
      </c>
      <c r="B1831" s="19">
        <v>46072.748993055553</v>
      </c>
      <c r="C1831" s="20">
        <v>46072</v>
      </c>
      <c r="D1831" s="8" t="s">
        <v>394</v>
      </c>
      <c r="E1831" s="3">
        <v>0</v>
      </c>
      <c r="F1831" s="13">
        <v>7002</v>
      </c>
      <c r="G1831" s="3">
        <v>7002</v>
      </c>
      <c r="H1831" s="8" t="s">
        <v>51</v>
      </c>
      <c r="I1831" s="8" t="s">
        <v>71</v>
      </c>
      <c r="J1831" s="8" t="s">
        <v>32</v>
      </c>
      <c r="K1831" s="8" t="s">
        <v>26</v>
      </c>
      <c r="L1831" s="8" t="s">
        <v>2380</v>
      </c>
    </row>
    <row r="1832" spans="1:12" x14ac:dyDescent="0.35">
      <c r="A1832" s="11">
        <v>1831</v>
      </c>
      <c r="B1832" s="17">
        <v>46072.750277777777</v>
      </c>
      <c r="C1832" s="18">
        <v>46072</v>
      </c>
      <c r="D1832" s="10" t="s">
        <v>2381</v>
      </c>
      <c r="E1832" s="14">
        <v>7010</v>
      </c>
      <c r="F1832" s="5">
        <v>0</v>
      </c>
      <c r="G1832" s="5">
        <v>0</v>
      </c>
      <c r="H1832" s="10" t="s">
        <v>51</v>
      </c>
      <c r="I1832" s="10" t="s">
        <v>52</v>
      </c>
      <c r="J1832" s="10" t="s">
        <v>30</v>
      </c>
      <c r="K1832" s="10" t="s">
        <v>26</v>
      </c>
      <c r="L1832" s="10" t="s">
        <v>2382</v>
      </c>
    </row>
    <row r="1833" spans="1:12" x14ac:dyDescent="0.35">
      <c r="A1833" s="9">
        <v>1832</v>
      </c>
      <c r="B1833" s="19">
        <v>46072.750324074077</v>
      </c>
      <c r="C1833" s="20">
        <v>46072</v>
      </c>
      <c r="D1833" s="8" t="s">
        <v>394</v>
      </c>
      <c r="E1833" s="3">
        <v>0</v>
      </c>
      <c r="F1833" s="13">
        <v>7010</v>
      </c>
      <c r="G1833" s="3">
        <v>7010</v>
      </c>
      <c r="H1833" s="8" t="s">
        <v>51</v>
      </c>
      <c r="I1833" s="8" t="s">
        <v>71</v>
      </c>
      <c r="J1833" s="8" t="s">
        <v>32</v>
      </c>
      <c r="K1833" s="8" t="s">
        <v>26</v>
      </c>
      <c r="L1833" s="8" t="s">
        <v>2383</v>
      </c>
    </row>
    <row r="1834" spans="1:12" x14ac:dyDescent="0.35">
      <c r="A1834" s="11">
        <v>1833</v>
      </c>
      <c r="B1834" s="17">
        <v>46072.75099537037</v>
      </c>
      <c r="C1834" s="18">
        <v>46072</v>
      </c>
      <c r="D1834" s="10" t="s">
        <v>2384</v>
      </c>
      <c r="E1834" s="14">
        <v>7010</v>
      </c>
      <c r="F1834" s="5">
        <v>0</v>
      </c>
      <c r="G1834" s="5">
        <v>0</v>
      </c>
      <c r="H1834" s="10" t="s">
        <v>51</v>
      </c>
      <c r="I1834" s="10" t="s">
        <v>52</v>
      </c>
      <c r="J1834" s="10" t="s">
        <v>30</v>
      </c>
      <c r="K1834" s="10" t="s">
        <v>26</v>
      </c>
      <c r="L1834" s="10" t="s">
        <v>2385</v>
      </c>
    </row>
    <row r="1835" spans="1:12" x14ac:dyDescent="0.35">
      <c r="A1835" s="9">
        <v>1834</v>
      </c>
      <c r="B1835" s="19">
        <v>46072.75105324074</v>
      </c>
      <c r="C1835" s="20">
        <v>46072</v>
      </c>
      <c r="D1835" s="8" t="s">
        <v>394</v>
      </c>
      <c r="E1835" s="3">
        <v>0</v>
      </c>
      <c r="F1835" s="13">
        <v>7010</v>
      </c>
      <c r="G1835" s="3">
        <v>7010</v>
      </c>
      <c r="H1835" s="8" t="s">
        <v>51</v>
      </c>
      <c r="I1835" s="8" t="s">
        <v>71</v>
      </c>
      <c r="J1835" s="8" t="s">
        <v>32</v>
      </c>
      <c r="K1835" s="8" t="s">
        <v>26</v>
      </c>
      <c r="L1835" s="8" t="s">
        <v>2386</v>
      </c>
    </row>
    <row r="1836" spans="1:12" x14ac:dyDescent="0.35">
      <c r="A1836" s="11">
        <v>1835</v>
      </c>
      <c r="B1836" s="17">
        <v>46072.752152777779</v>
      </c>
      <c r="C1836" s="18">
        <v>46072</v>
      </c>
      <c r="D1836" s="10" t="s">
        <v>2387</v>
      </c>
      <c r="E1836" s="14">
        <v>7010</v>
      </c>
      <c r="F1836" s="5">
        <v>0</v>
      </c>
      <c r="G1836" s="5">
        <v>0</v>
      </c>
      <c r="H1836" s="10" t="s">
        <v>51</v>
      </c>
      <c r="I1836" s="10" t="s">
        <v>52</v>
      </c>
      <c r="J1836" s="10" t="s">
        <v>30</v>
      </c>
      <c r="K1836" s="10" t="s">
        <v>26</v>
      </c>
      <c r="L1836" s="10" t="s">
        <v>2388</v>
      </c>
    </row>
    <row r="1837" spans="1:12" x14ac:dyDescent="0.35">
      <c r="A1837" s="9">
        <v>1836</v>
      </c>
      <c r="B1837" s="19">
        <v>46072.752187500002</v>
      </c>
      <c r="C1837" s="20">
        <v>46072</v>
      </c>
      <c r="D1837" s="8" t="s">
        <v>394</v>
      </c>
      <c r="E1837" s="3">
        <v>0</v>
      </c>
      <c r="F1837" s="13">
        <v>7010</v>
      </c>
      <c r="G1837" s="3">
        <v>7010</v>
      </c>
      <c r="H1837" s="8" t="s">
        <v>51</v>
      </c>
      <c r="I1837" s="8" t="s">
        <v>71</v>
      </c>
      <c r="J1837" s="8" t="s">
        <v>32</v>
      </c>
      <c r="K1837" s="8" t="s">
        <v>26</v>
      </c>
      <c r="L1837" s="8" t="s">
        <v>2389</v>
      </c>
    </row>
    <row r="1838" spans="1:12" x14ac:dyDescent="0.35">
      <c r="A1838" s="11">
        <v>1837</v>
      </c>
      <c r="B1838" s="17">
        <v>46072.752638888887</v>
      </c>
      <c r="C1838" s="18">
        <v>46072</v>
      </c>
      <c r="D1838" s="10" t="s">
        <v>2390</v>
      </c>
      <c r="E1838" s="14">
        <v>7010</v>
      </c>
      <c r="F1838" s="5">
        <v>0</v>
      </c>
      <c r="G1838" s="5">
        <v>0</v>
      </c>
      <c r="H1838" s="10" t="s">
        <v>51</v>
      </c>
      <c r="I1838" s="10" t="s">
        <v>52</v>
      </c>
      <c r="J1838" s="10" t="s">
        <v>30</v>
      </c>
      <c r="K1838" s="10" t="s">
        <v>26</v>
      </c>
      <c r="L1838" s="10" t="s">
        <v>2391</v>
      </c>
    </row>
    <row r="1839" spans="1:12" x14ac:dyDescent="0.35">
      <c r="A1839" s="9">
        <v>1838</v>
      </c>
      <c r="B1839" s="19">
        <v>46072.752685185187</v>
      </c>
      <c r="C1839" s="20">
        <v>46072</v>
      </c>
      <c r="D1839" s="8" t="s">
        <v>394</v>
      </c>
      <c r="E1839" s="3">
        <v>0</v>
      </c>
      <c r="F1839" s="13">
        <v>7010</v>
      </c>
      <c r="G1839" s="3">
        <v>7010</v>
      </c>
      <c r="H1839" s="8" t="s">
        <v>51</v>
      </c>
      <c r="I1839" s="8" t="s">
        <v>71</v>
      </c>
      <c r="J1839" s="8" t="s">
        <v>32</v>
      </c>
      <c r="K1839" s="8" t="s">
        <v>26</v>
      </c>
      <c r="L1839" s="8" t="s">
        <v>2392</v>
      </c>
    </row>
    <row r="1840" spans="1:12" x14ac:dyDescent="0.35">
      <c r="A1840" s="11">
        <v>1839</v>
      </c>
      <c r="B1840" s="17">
        <v>46072.758750000001</v>
      </c>
      <c r="C1840" s="18">
        <v>46072</v>
      </c>
      <c r="D1840" s="10" t="s">
        <v>2393</v>
      </c>
      <c r="E1840" s="14">
        <v>2010</v>
      </c>
      <c r="F1840" s="5">
        <v>0</v>
      </c>
      <c r="G1840" s="5">
        <v>0</v>
      </c>
      <c r="H1840" s="10" t="s">
        <v>51</v>
      </c>
      <c r="I1840" s="10" t="s">
        <v>52</v>
      </c>
      <c r="J1840" s="10" t="s">
        <v>30</v>
      </c>
      <c r="K1840" s="10" t="s">
        <v>26</v>
      </c>
      <c r="L1840" s="10" t="s">
        <v>2394</v>
      </c>
    </row>
    <row r="1841" spans="1:12" x14ac:dyDescent="0.35">
      <c r="A1841" s="9">
        <v>1840</v>
      </c>
      <c r="B1841" s="19">
        <v>46072.758796296293</v>
      </c>
      <c r="C1841" s="20">
        <v>46072</v>
      </c>
      <c r="D1841" s="8" t="s">
        <v>394</v>
      </c>
      <c r="E1841" s="3">
        <v>0</v>
      </c>
      <c r="F1841" s="13">
        <v>2010</v>
      </c>
      <c r="G1841" s="3">
        <v>2010</v>
      </c>
      <c r="H1841" s="8" t="s">
        <v>51</v>
      </c>
      <c r="I1841" s="8" t="s">
        <v>71</v>
      </c>
      <c r="J1841" s="8" t="s">
        <v>32</v>
      </c>
      <c r="K1841" s="8" t="s">
        <v>26</v>
      </c>
      <c r="L1841" s="8" t="s">
        <v>2395</v>
      </c>
    </row>
    <row r="1842" spans="1:12" x14ac:dyDescent="0.35">
      <c r="A1842" s="11">
        <v>1841</v>
      </c>
      <c r="B1842" s="17">
        <v>46072.759375000001</v>
      </c>
      <c r="C1842" s="18">
        <v>46072</v>
      </c>
      <c r="D1842" s="10" t="s">
        <v>2396</v>
      </c>
      <c r="E1842" s="14">
        <v>2010</v>
      </c>
      <c r="F1842" s="5">
        <v>0</v>
      </c>
      <c r="G1842" s="5">
        <v>0</v>
      </c>
      <c r="H1842" s="10" t="s">
        <v>51</v>
      </c>
      <c r="I1842" s="10" t="s">
        <v>52</v>
      </c>
      <c r="J1842" s="10" t="s">
        <v>30</v>
      </c>
      <c r="K1842" s="10" t="s">
        <v>26</v>
      </c>
      <c r="L1842" s="10" t="s">
        <v>2397</v>
      </c>
    </row>
    <row r="1843" spans="1:12" x14ac:dyDescent="0.35">
      <c r="A1843" s="9">
        <v>1842</v>
      </c>
      <c r="B1843" s="19">
        <v>46072.759421296287</v>
      </c>
      <c r="C1843" s="20">
        <v>46072</v>
      </c>
      <c r="D1843" s="8" t="s">
        <v>394</v>
      </c>
      <c r="E1843" s="3">
        <v>0</v>
      </c>
      <c r="F1843" s="13">
        <v>2010</v>
      </c>
      <c r="G1843" s="3">
        <v>2010</v>
      </c>
      <c r="H1843" s="8" t="s">
        <v>51</v>
      </c>
      <c r="I1843" s="8" t="s">
        <v>71</v>
      </c>
      <c r="J1843" s="8" t="s">
        <v>32</v>
      </c>
      <c r="K1843" s="8" t="s">
        <v>26</v>
      </c>
      <c r="L1843" s="8" t="s">
        <v>2398</v>
      </c>
    </row>
    <row r="1844" spans="1:12" x14ac:dyDescent="0.35">
      <c r="A1844" s="11">
        <v>1843</v>
      </c>
      <c r="B1844" s="17">
        <v>46072.76021990741</v>
      </c>
      <c r="C1844" s="18">
        <v>46072</v>
      </c>
      <c r="D1844" s="10" t="s">
        <v>2399</v>
      </c>
      <c r="E1844" s="14">
        <v>2010</v>
      </c>
      <c r="F1844" s="5">
        <v>0</v>
      </c>
      <c r="G1844" s="5">
        <v>0</v>
      </c>
      <c r="H1844" s="10" t="s">
        <v>51</v>
      </c>
      <c r="I1844" s="10" t="s">
        <v>52</v>
      </c>
      <c r="J1844" s="10" t="s">
        <v>30</v>
      </c>
      <c r="K1844" s="10" t="s">
        <v>26</v>
      </c>
      <c r="L1844" s="10" t="s">
        <v>2400</v>
      </c>
    </row>
    <row r="1845" spans="1:12" x14ac:dyDescent="0.35">
      <c r="A1845" s="9">
        <v>1844</v>
      </c>
      <c r="B1845" s="19">
        <v>46072.760277777779</v>
      </c>
      <c r="C1845" s="20">
        <v>46072</v>
      </c>
      <c r="D1845" s="8" t="s">
        <v>394</v>
      </c>
      <c r="E1845" s="3">
        <v>0</v>
      </c>
      <c r="F1845" s="13">
        <v>2010</v>
      </c>
      <c r="G1845" s="3">
        <v>2010</v>
      </c>
      <c r="H1845" s="8" t="s">
        <v>51</v>
      </c>
      <c r="I1845" s="8" t="s">
        <v>71</v>
      </c>
      <c r="J1845" s="8" t="s">
        <v>32</v>
      </c>
      <c r="K1845" s="8" t="s">
        <v>26</v>
      </c>
      <c r="L1845" s="8" t="s">
        <v>2401</v>
      </c>
    </row>
    <row r="1846" spans="1:12" x14ac:dyDescent="0.35">
      <c r="A1846" s="11">
        <v>1845</v>
      </c>
      <c r="B1846" s="17">
        <v>46072.760682870372</v>
      </c>
      <c r="C1846" s="18">
        <v>46072</v>
      </c>
      <c r="D1846" s="10" t="s">
        <v>2402</v>
      </c>
      <c r="E1846" s="14">
        <v>2010</v>
      </c>
      <c r="F1846" s="5">
        <v>0</v>
      </c>
      <c r="G1846" s="5">
        <v>0</v>
      </c>
      <c r="H1846" s="10" t="s">
        <v>51</v>
      </c>
      <c r="I1846" s="10" t="s">
        <v>52</v>
      </c>
      <c r="J1846" s="10" t="s">
        <v>30</v>
      </c>
      <c r="K1846" s="10" t="s">
        <v>26</v>
      </c>
      <c r="L1846" s="10" t="s">
        <v>2403</v>
      </c>
    </row>
    <row r="1847" spans="1:12" x14ac:dyDescent="0.35">
      <c r="A1847" s="9">
        <v>1846</v>
      </c>
      <c r="B1847" s="19">
        <v>46072.760740740741</v>
      </c>
      <c r="C1847" s="20">
        <v>46072</v>
      </c>
      <c r="D1847" s="8" t="s">
        <v>394</v>
      </c>
      <c r="E1847" s="3">
        <v>0</v>
      </c>
      <c r="F1847" s="13">
        <v>2010</v>
      </c>
      <c r="G1847" s="3">
        <v>2010</v>
      </c>
      <c r="H1847" s="8" t="s">
        <v>51</v>
      </c>
      <c r="I1847" s="8" t="s">
        <v>71</v>
      </c>
      <c r="J1847" s="8" t="s">
        <v>32</v>
      </c>
      <c r="K1847" s="8" t="s">
        <v>26</v>
      </c>
      <c r="L1847" s="8" t="s">
        <v>2404</v>
      </c>
    </row>
    <row r="1848" spans="1:12" x14ac:dyDescent="0.35">
      <c r="A1848" s="11">
        <v>1847</v>
      </c>
      <c r="B1848" s="17">
        <v>46072.761238425926</v>
      </c>
      <c r="C1848" s="18">
        <v>46072</v>
      </c>
      <c r="D1848" s="10" t="s">
        <v>2405</v>
      </c>
      <c r="E1848" s="14">
        <v>2010</v>
      </c>
      <c r="F1848" s="5">
        <v>0</v>
      </c>
      <c r="G1848" s="5">
        <v>0</v>
      </c>
      <c r="H1848" s="10" t="s">
        <v>51</v>
      </c>
      <c r="I1848" s="10" t="s">
        <v>52</v>
      </c>
      <c r="J1848" s="10" t="s">
        <v>30</v>
      </c>
      <c r="K1848" s="10" t="s">
        <v>26</v>
      </c>
      <c r="L1848" s="10" t="s">
        <v>2406</v>
      </c>
    </row>
    <row r="1849" spans="1:12" x14ac:dyDescent="0.35">
      <c r="A1849" s="9">
        <v>1848</v>
      </c>
      <c r="B1849" s="19">
        <v>46072.761273148149</v>
      </c>
      <c r="C1849" s="20">
        <v>46072</v>
      </c>
      <c r="D1849" s="8" t="s">
        <v>394</v>
      </c>
      <c r="E1849" s="3">
        <v>0</v>
      </c>
      <c r="F1849" s="13">
        <v>2010</v>
      </c>
      <c r="G1849" s="3">
        <v>2010</v>
      </c>
      <c r="H1849" s="8" t="s">
        <v>51</v>
      </c>
      <c r="I1849" s="8" t="s">
        <v>71</v>
      </c>
      <c r="J1849" s="8" t="s">
        <v>32</v>
      </c>
      <c r="K1849" s="8" t="s">
        <v>26</v>
      </c>
      <c r="L1849" s="8" t="s">
        <v>2407</v>
      </c>
    </row>
    <row r="1850" spans="1:12" x14ac:dyDescent="0.35">
      <c r="A1850" s="11">
        <v>1849</v>
      </c>
      <c r="B1850" s="17">
        <v>46072.761759259258</v>
      </c>
      <c r="C1850" s="18">
        <v>46072</v>
      </c>
      <c r="D1850" s="10" t="s">
        <v>2408</v>
      </c>
      <c r="E1850" s="14">
        <v>2010</v>
      </c>
      <c r="F1850" s="5">
        <v>0</v>
      </c>
      <c r="G1850" s="5">
        <v>0</v>
      </c>
      <c r="H1850" s="10" t="s">
        <v>51</v>
      </c>
      <c r="I1850" s="10" t="s">
        <v>52</v>
      </c>
      <c r="J1850" s="10" t="s">
        <v>30</v>
      </c>
      <c r="K1850" s="10" t="s">
        <v>26</v>
      </c>
      <c r="L1850" s="10" t="s">
        <v>2409</v>
      </c>
    </row>
    <row r="1851" spans="1:12" x14ac:dyDescent="0.35">
      <c r="A1851" s="9">
        <v>1850</v>
      </c>
      <c r="B1851" s="19">
        <v>46072.761793981481</v>
      </c>
      <c r="C1851" s="20">
        <v>46072</v>
      </c>
      <c r="D1851" s="8" t="s">
        <v>394</v>
      </c>
      <c r="E1851" s="3">
        <v>0</v>
      </c>
      <c r="F1851" s="13">
        <v>2010</v>
      </c>
      <c r="G1851" s="3">
        <v>2010</v>
      </c>
      <c r="H1851" s="8" t="s">
        <v>51</v>
      </c>
      <c r="I1851" s="8" t="s">
        <v>71</v>
      </c>
      <c r="J1851" s="8" t="s">
        <v>32</v>
      </c>
      <c r="K1851" s="8" t="s">
        <v>26</v>
      </c>
      <c r="L1851" s="8" t="s">
        <v>2410</v>
      </c>
    </row>
    <row r="1852" spans="1:12" x14ac:dyDescent="0.35">
      <c r="A1852" s="11">
        <v>1851</v>
      </c>
      <c r="B1852" s="17">
        <v>46072.762372685182</v>
      </c>
      <c r="C1852" s="18">
        <v>46072</v>
      </c>
      <c r="D1852" s="10" t="s">
        <v>2411</v>
      </c>
      <c r="E1852" s="14">
        <v>2010</v>
      </c>
      <c r="F1852" s="5">
        <v>0</v>
      </c>
      <c r="G1852" s="5">
        <v>0</v>
      </c>
      <c r="H1852" s="10" t="s">
        <v>51</v>
      </c>
      <c r="I1852" s="10" t="s">
        <v>52</v>
      </c>
      <c r="J1852" s="10" t="s">
        <v>30</v>
      </c>
      <c r="K1852" s="10" t="s">
        <v>26</v>
      </c>
      <c r="L1852" s="10" t="s">
        <v>2412</v>
      </c>
    </row>
    <row r="1853" spans="1:12" x14ac:dyDescent="0.35">
      <c r="A1853" s="9">
        <v>1852</v>
      </c>
      <c r="B1853" s="19">
        <v>46072.762418981481</v>
      </c>
      <c r="C1853" s="20">
        <v>46072</v>
      </c>
      <c r="D1853" s="8" t="s">
        <v>394</v>
      </c>
      <c r="E1853" s="3">
        <v>0</v>
      </c>
      <c r="F1853" s="13">
        <v>2010</v>
      </c>
      <c r="G1853" s="3">
        <v>2010</v>
      </c>
      <c r="H1853" s="8" t="s">
        <v>51</v>
      </c>
      <c r="I1853" s="8" t="s">
        <v>71</v>
      </c>
      <c r="J1853" s="8" t="s">
        <v>32</v>
      </c>
      <c r="K1853" s="8" t="s">
        <v>26</v>
      </c>
      <c r="L1853" s="8" t="s">
        <v>2413</v>
      </c>
    </row>
    <row r="1854" spans="1:12" x14ac:dyDescent="0.35">
      <c r="A1854" s="11">
        <v>1853</v>
      </c>
      <c r="B1854" s="17">
        <v>46072.763078703712</v>
      </c>
      <c r="C1854" s="18">
        <v>46072</v>
      </c>
      <c r="D1854" s="10" t="s">
        <v>2414</v>
      </c>
      <c r="E1854" s="14">
        <v>2010</v>
      </c>
      <c r="F1854" s="5">
        <v>0</v>
      </c>
      <c r="G1854" s="5">
        <v>0</v>
      </c>
      <c r="H1854" s="10" t="s">
        <v>51</v>
      </c>
      <c r="I1854" s="10" t="s">
        <v>52</v>
      </c>
      <c r="J1854" s="10" t="s">
        <v>30</v>
      </c>
      <c r="K1854" s="10" t="s">
        <v>26</v>
      </c>
      <c r="L1854" s="10" t="s">
        <v>2415</v>
      </c>
    </row>
    <row r="1855" spans="1:12" x14ac:dyDescent="0.35">
      <c r="A1855" s="9">
        <v>1854</v>
      </c>
      <c r="B1855" s="19">
        <v>46072.763113425928</v>
      </c>
      <c r="C1855" s="20">
        <v>46072</v>
      </c>
      <c r="D1855" s="8" t="s">
        <v>394</v>
      </c>
      <c r="E1855" s="3">
        <v>0</v>
      </c>
      <c r="F1855" s="13">
        <v>2010</v>
      </c>
      <c r="G1855" s="3">
        <v>2010</v>
      </c>
      <c r="H1855" s="8" t="s">
        <v>51</v>
      </c>
      <c r="I1855" s="8" t="s">
        <v>71</v>
      </c>
      <c r="J1855" s="8" t="s">
        <v>32</v>
      </c>
      <c r="K1855" s="8" t="s">
        <v>26</v>
      </c>
      <c r="L1855" s="8" t="s">
        <v>2416</v>
      </c>
    </row>
    <row r="1856" spans="1:12" x14ac:dyDescent="0.35">
      <c r="A1856" s="11">
        <v>1855</v>
      </c>
      <c r="B1856" s="17">
        <v>46072.763668981483</v>
      </c>
      <c r="C1856" s="18">
        <v>46072</v>
      </c>
      <c r="D1856" s="10" t="s">
        <v>2417</v>
      </c>
      <c r="E1856" s="14">
        <v>2010</v>
      </c>
      <c r="F1856" s="5">
        <v>0</v>
      </c>
      <c r="G1856" s="5">
        <v>0</v>
      </c>
      <c r="H1856" s="10" t="s">
        <v>51</v>
      </c>
      <c r="I1856" s="10" t="s">
        <v>52</v>
      </c>
      <c r="J1856" s="10" t="s">
        <v>30</v>
      </c>
      <c r="K1856" s="10" t="s">
        <v>26</v>
      </c>
      <c r="L1856" s="10" t="s">
        <v>2418</v>
      </c>
    </row>
    <row r="1857" spans="1:12" x14ac:dyDescent="0.35">
      <c r="A1857" s="9">
        <v>1856</v>
      </c>
      <c r="B1857" s="19">
        <v>46072.763715277782</v>
      </c>
      <c r="C1857" s="20">
        <v>46072</v>
      </c>
      <c r="D1857" s="8" t="s">
        <v>394</v>
      </c>
      <c r="E1857" s="3">
        <v>0</v>
      </c>
      <c r="F1857" s="13">
        <v>2010</v>
      </c>
      <c r="G1857" s="3">
        <v>2010</v>
      </c>
      <c r="H1857" s="8" t="s">
        <v>51</v>
      </c>
      <c r="I1857" s="8" t="s">
        <v>71</v>
      </c>
      <c r="J1857" s="8" t="s">
        <v>32</v>
      </c>
      <c r="K1857" s="8" t="s">
        <v>26</v>
      </c>
      <c r="L1857" s="8" t="s">
        <v>2419</v>
      </c>
    </row>
    <row r="1858" spans="1:12" x14ac:dyDescent="0.35">
      <c r="A1858" s="11">
        <v>1857</v>
      </c>
      <c r="B1858" s="17">
        <v>46072.764016203713</v>
      </c>
      <c r="C1858" s="18">
        <v>46072</v>
      </c>
      <c r="D1858" s="10" t="s">
        <v>2420</v>
      </c>
      <c r="E1858" s="14">
        <v>2010</v>
      </c>
      <c r="F1858" s="5">
        <v>0</v>
      </c>
      <c r="G1858" s="5">
        <v>0</v>
      </c>
      <c r="H1858" s="10" t="s">
        <v>51</v>
      </c>
      <c r="I1858" s="10" t="s">
        <v>52</v>
      </c>
      <c r="J1858" s="10" t="s">
        <v>30</v>
      </c>
      <c r="K1858" s="10" t="s">
        <v>26</v>
      </c>
      <c r="L1858" s="10" t="s">
        <v>2421</v>
      </c>
    </row>
    <row r="1859" spans="1:12" x14ac:dyDescent="0.35">
      <c r="A1859" s="9">
        <v>1858</v>
      </c>
      <c r="B1859" s="19">
        <v>46072.764062499999</v>
      </c>
      <c r="C1859" s="20">
        <v>46072</v>
      </c>
      <c r="D1859" s="8" t="s">
        <v>394</v>
      </c>
      <c r="E1859" s="3">
        <v>0</v>
      </c>
      <c r="F1859" s="13">
        <v>2010</v>
      </c>
      <c r="G1859" s="3">
        <v>2010</v>
      </c>
      <c r="H1859" s="8" t="s">
        <v>51</v>
      </c>
      <c r="I1859" s="8" t="s">
        <v>71</v>
      </c>
      <c r="J1859" s="8" t="s">
        <v>32</v>
      </c>
      <c r="K1859" s="8" t="s">
        <v>26</v>
      </c>
      <c r="L1859" s="8" t="s">
        <v>2422</v>
      </c>
    </row>
    <row r="1860" spans="1:12" x14ac:dyDescent="0.35">
      <c r="A1860" s="11">
        <v>1859</v>
      </c>
      <c r="B1860" s="17">
        <v>46072.946238425917</v>
      </c>
      <c r="C1860" s="18">
        <v>46072</v>
      </c>
      <c r="D1860" s="10" t="s">
        <v>2423</v>
      </c>
      <c r="E1860" s="14">
        <v>30010</v>
      </c>
      <c r="F1860" s="5">
        <v>0</v>
      </c>
      <c r="G1860" s="5">
        <v>0</v>
      </c>
      <c r="H1860" s="10" t="s">
        <v>51</v>
      </c>
      <c r="I1860" s="10" t="s">
        <v>52</v>
      </c>
      <c r="J1860" s="10" t="s">
        <v>30</v>
      </c>
      <c r="K1860" s="10" t="s">
        <v>26</v>
      </c>
      <c r="L1860" s="10" t="s">
        <v>2424</v>
      </c>
    </row>
    <row r="1861" spans="1:12" x14ac:dyDescent="0.35">
      <c r="A1861" s="9">
        <v>1860</v>
      </c>
      <c r="B1861" s="19">
        <v>46072.946284722217</v>
      </c>
      <c r="C1861" s="20">
        <v>46072</v>
      </c>
      <c r="D1861" s="8" t="s">
        <v>394</v>
      </c>
      <c r="E1861" s="3">
        <v>0</v>
      </c>
      <c r="F1861" s="13">
        <v>30010</v>
      </c>
      <c r="G1861" s="3">
        <v>30010</v>
      </c>
      <c r="H1861" s="8" t="s">
        <v>51</v>
      </c>
      <c r="I1861" s="8" t="s">
        <v>71</v>
      </c>
      <c r="J1861" s="8" t="s">
        <v>32</v>
      </c>
      <c r="K1861" s="8" t="s">
        <v>26</v>
      </c>
      <c r="L1861" s="8" t="s">
        <v>2425</v>
      </c>
    </row>
    <row r="1862" spans="1:12" x14ac:dyDescent="0.35">
      <c r="A1862" s="11">
        <v>1861</v>
      </c>
      <c r="B1862" s="17">
        <v>46072.946296296293</v>
      </c>
      <c r="C1862" s="18">
        <v>46072</v>
      </c>
      <c r="D1862" s="10" t="s">
        <v>2095</v>
      </c>
      <c r="E1862" s="14">
        <v>50</v>
      </c>
      <c r="F1862" s="5">
        <v>0</v>
      </c>
      <c r="G1862" s="5">
        <v>0</v>
      </c>
      <c r="H1862" s="10" t="s">
        <v>51</v>
      </c>
      <c r="I1862" s="10" t="s">
        <v>52</v>
      </c>
      <c r="J1862" s="10" t="s">
        <v>36</v>
      </c>
      <c r="K1862" s="10" t="s">
        <v>26</v>
      </c>
      <c r="L1862" s="10" t="s">
        <v>2426</v>
      </c>
    </row>
    <row r="1863" spans="1:12" x14ac:dyDescent="0.35">
      <c r="A1863" s="9">
        <v>1862</v>
      </c>
      <c r="B1863" s="19">
        <v>46072.946296296293</v>
      </c>
      <c r="C1863" s="20">
        <v>46072</v>
      </c>
      <c r="D1863" s="8" t="s">
        <v>394</v>
      </c>
      <c r="E1863" s="3">
        <v>0</v>
      </c>
      <c r="F1863" s="13">
        <v>50</v>
      </c>
      <c r="G1863" s="3">
        <v>50</v>
      </c>
      <c r="H1863" s="8" t="s">
        <v>51</v>
      </c>
      <c r="I1863" s="8" t="s">
        <v>71</v>
      </c>
      <c r="J1863" s="8" t="s">
        <v>32</v>
      </c>
      <c r="K1863" s="8" t="s">
        <v>26</v>
      </c>
      <c r="L1863" s="8" t="s">
        <v>2427</v>
      </c>
    </row>
    <row r="1864" spans="1:12" x14ac:dyDescent="0.35">
      <c r="A1864" s="11">
        <v>1863</v>
      </c>
      <c r="B1864" s="17">
        <v>46073.601585648154</v>
      </c>
      <c r="C1864" s="18">
        <v>46073</v>
      </c>
      <c r="D1864" s="10" t="s">
        <v>2428</v>
      </c>
      <c r="E1864" s="14">
        <v>3100</v>
      </c>
      <c r="F1864" s="5">
        <v>0</v>
      </c>
      <c r="G1864" s="5">
        <v>0</v>
      </c>
      <c r="H1864" s="10" t="s">
        <v>33</v>
      </c>
      <c r="I1864" s="10" t="s">
        <v>52</v>
      </c>
      <c r="J1864" s="10" t="s">
        <v>34</v>
      </c>
      <c r="K1864" s="10" t="s">
        <v>26</v>
      </c>
      <c r="L1864" s="10" t="s">
        <v>2429</v>
      </c>
    </row>
    <row r="1865" spans="1:12" x14ac:dyDescent="0.35">
      <c r="A1865" s="9">
        <v>1864</v>
      </c>
      <c r="B1865" s="19">
        <v>46073.601585648154</v>
      </c>
      <c r="C1865" s="20">
        <v>46073</v>
      </c>
      <c r="D1865" s="8" t="s">
        <v>394</v>
      </c>
      <c r="E1865" s="3">
        <v>0</v>
      </c>
      <c r="F1865" s="13">
        <v>3100</v>
      </c>
      <c r="G1865" s="3">
        <v>3100</v>
      </c>
      <c r="H1865" s="8" t="s">
        <v>51</v>
      </c>
      <c r="I1865" s="8" t="s">
        <v>71</v>
      </c>
      <c r="J1865" s="8" t="s">
        <v>32</v>
      </c>
      <c r="K1865" s="8" t="s">
        <v>26</v>
      </c>
      <c r="L1865" s="8" t="s">
        <v>2430</v>
      </c>
    </row>
    <row r="1866" spans="1:12" x14ac:dyDescent="0.35">
      <c r="A1866" s="11">
        <v>1865</v>
      </c>
      <c r="B1866" s="17">
        <v>46073.674560185187</v>
      </c>
      <c r="C1866" s="18">
        <v>46073</v>
      </c>
      <c r="D1866" s="10" t="s">
        <v>2431</v>
      </c>
      <c r="E1866" s="14">
        <v>3000</v>
      </c>
      <c r="F1866" s="5">
        <v>0</v>
      </c>
      <c r="G1866" s="5">
        <v>0</v>
      </c>
      <c r="H1866" s="10" t="s">
        <v>33</v>
      </c>
      <c r="I1866" s="10" t="s">
        <v>52</v>
      </c>
      <c r="J1866" s="10" t="s">
        <v>34</v>
      </c>
      <c r="K1866" s="10" t="s">
        <v>26</v>
      </c>
      <c r="L1866" s="10" t="s">
        <v>2432</v>
      </c>
    </row>
    <row r="1867" spans="1:12" x14ac:dyDescent="0.35">
      <c r="A1867" s="9">
        <v>1866</v>
      </c>
      <c r="B1867" s="19">
        <v>46073.674560185187</v>
      </c>
      <c r="C1867" s="20">
        <v>46073</v>
      </c>
      <c r="D1867" s="8" t="s">
        <v>394</v>
      </c>
      <c r="E1867" s="3">
        <v>0</v>
      </c>
      <c r="F1867" s="13">
        <v>3000</v>
      </c>
      <c r="G1867" s="3">
        <v>3000</v>
      </c>
      <c r="H1867" s="8" t="s">
        <v>51</v>
      </c>
      <c r="I1867" s="8" t="s">
        <v>71</v>
      </c>
      <c r="J1867" s="8" t="s">
        <v>32</v>
      </c>
      <c r="K1867" s="8" t="s">
        <v>26</v>
      </c>
      <c r="L1867" s="8" t="s">
        <v>2433</v>
      </c>
    </row>
    <row r="1868" spans="1:12" x14ac:dyDescent="0.35">
      <c r="A1868" s="11">
        <v>1867</v>
      </c>
      <c r="B1868" s="17">
        <v>46073.762754629628</v>
      </c>
      <c r="C1868" s="18">
        <v>46073</v>
      </c>
      <c r="D1868" s="10" t="s">
        <v>2434</v>
      </c>
      <c r="E1868" s="14">
        <v>3000</v>
      </c>
      <c r="F1868" s="5">
        <v>0</v>
      </c>
      <c r="G1868" s="5">
        <v>0</v>
      </c>
      <c r="H1868" s="10" t="s">
        <v>33</v>
      </c>
      <c r="I1868" s="10" t="s">
        <v>52</v>
      </c>
      <c r="J1868" s="10" t="s">
        <v>34</v>
      </c>
      <c r="K1868" s="10" t="s">
        <v>26</v>
      </c>
      <c r="L1868" s="10" t="s">
        <v>2435</v>
      </c>
    </row>
    <row r="1869" spans="1:12" x14ac:dyDescent="0.35">
      <c r="A1869" s="9">
        <v>1868</v>
      </c>
      <c r="B1869" s="19">
        <v>46073.762754629628</v>
      </c>
      <c r="C1869" s="20">
        <v>46073</v>
      </c>
      <c r="D1869" s="8" t="s">
        <v>394</v>
      </c>
      <c r="E1869" s="3">
        <v>0</v>
      </c>
      <c r="F1869" s="13">
        <v>3000</v>
      </c>
      <c r="G1869" s="3">
        <v>3000</v>
      </c>
      <c r="H1869" s="8" t="s">
        <v>51</v>
      </c>
      <c r="I1869" s="8" t="s">
        <v>71</v>
      </c>
      <c r="J1869" s="8" t="s">
        <v>32</v>
      </c>
      <c r="K1869" s="8" t="s">
        <v>26</v>
      </c>
      <c r="L1869" s="8" t="s">
        <v>2436</v>
      </c>
    </row>
    <row r="1870" spans="1:12" x14ac:dyDescent="0.35">
      <c r="A1870" s="11">
        <v>1869</v>
      </c>
      <c r="B1870" s="17">
        <v>46073.796539351853</v>
      </c>
      <c r="C1870" s="18">
        <v>46073</v>
      </c>
      <c r="D1870" s="10" t="s">
        <v>2437</v>
      </c>
      <c r="E1870" s="14">
        <v>2300</v>
      </c>
      <c r="F1870" s="5">
        <v>0</v>
      </c>
      <c r="G1870" s="5">
        <v>0</v>
      </c>
      <c r="H1870" s="10" t="s">
        <v>51</v>
      </c>
      <c r="I1870" s="10" t="s">
        <v>52</v>
      </c>
      <c r="J1870" s="10" t="s">
        <v>30</v>
      </c>
      <c r="K1870" s="10" t="s">
        <v>26</v>
      </c>
      <c r="L1870" s="10" t="s">
        <v>2438</v>
      </c>
    </row>
    <row r="1871" spans="1:12" x14ac:dyDescent="0.35">
      <c r="A1871" s="9">
        <v>1870</v>
      </c>
      <c r="B1871" s="19">
        <v>46073.796585648153</v>
      </c>
      <c r="C1871" s="20">
        <v>46073</v>
      </c>
      <c r="D1871" s="8" t="s">
        <v>394</v>
      </c>
      <c r="E1871" s="3">
        <v>0</v>
      </c>
      <c r="F1871" s="13">
        <v>2300</v>
      </c>
      <c r="G1871" s="3">
        <v>2300</v>
      </c>
      <c r="H1871" s="8" t="s">
        <v>51</v>
      </c>
      <c r="I1871" s="8" t="s">
        <v>71</v>
      </c>
      <c r="J1871" s="8" t="s">
        <v>32</v>
      </c>
      <c r="K1871" s="8" t="s">
        <v>26</v>
      </c>
      <c r="L1871" s="8" t="s">
        <v>2439</v>
      </c>
    </row>
    <row r="1872" spans="1:12" x14ac:dyDescent="0.35">
      <c r="A1872" s="11">
        <v>1871</v>
      </c>
      <c r="B1872" s="17">
        <v>46074.86613425926</v>
      </c>
      <c r="C1872" s="18">
        <v>46074</v>
      </c>
      <c r="D1872" s="10" t="s">
        <v>2440</v>
      </c>
      <c r="E1872" s="14">
        <v>12000</v>
      </c>
      <c r="F1872" s="5">
        <v>0</v>
      </c>
      <c r="G1872" s="5">
        <v>0</v>
      </c>
      <c r="H1872" s="10" t="s">
        <v>51</v>
      </c>
      <c r="I1872" s="10" t="s">
        <v>52</v>
      </c>
      <c r="J1872" s="10" t="s">
        <v>30</v>
      </c>
      <c r="K1872" s="10" t="s">
        <v>26</v>
      </c>
      <c r="L1872" s="10" t="s">
        <v>2441</v>
      </c>
    </row>
    <row r="1873" spans="1:12" x14ac:dyDescent="0.35">
      <c r="A1873" s="9">
        <v>1872</v>
      </c>
      <c r="B1873" s="19">
        <v>46074.866365740738</v>
      </c>
      <c r="C1873" s="20">
        <v>46074</v>
      </c>
      <c r="D1873" s="8" t="s">
        <v>394</v>
      </c>
      <c r="E1873" s="3">
        <v>0</v>
      </c>
      <c r="F1873" s="13">
        <v>12000</v>
      </c>
      <c r="G1873" s="3">
        <v>12000</v>
      </c>
      <c r="H1873" s="8" t="s">
        <v>51</v>
      </c>
      <c r="I1873" s="8" t="s">
        <v>71</v>
      </c>
      <c r="J1873" s="8" t="s">
        <v>32</v>
      </c>
      <c r="K1873" s="8" t="s">
        <v>26</v>
      </c>
      <c r="L1873" s="8" t="s">
        <v>2442</v>
      </c>
    </row>
    <row r="1874" spans="1:12" x14ac:dyDescent="0.35">
      <c r="A1874" s="11">
        <v>1873</v>
      </c>
      <c r="B1874" s="17">
        <v>46074.866377314807</v>
      </c>
      <c r="C1874" s="18">
        <v>46074</v>
      </c>
      <c r="D1874" s="10" t="s">
        <v>2095</v>
      </c>
      <c r="E1874" s="14">
        <v>50</v>
      </c>
      <c r="F1874" s="5">
        <v>0</v>
      </c>
      <c r="G1874" s="5">
        <v>0</v>
      </c>
      <c r="H1874" s="10" t="s">
        <v>51</v>
      </c>
      <c r="I1874" s="10" t="s">
        <v>52</v>
      </c>
      <c r="J1874" s="10" t="s">
        <v>36</v>
      </c>
      <c r="K1874" s="10" t="s">
        <v>26</v>
      </c>
      <c r="L1874" s="10" t="s">
        <v>2443</v>
      </c>
    </row>
    <row r="1875" spans="1:12" x14ac:dyDescent="0.35">
      <c r="A1875" s="9">
        <v>1874</v>
      </c>
      <c r="B1875" s="19">
        <v>46074.866377314807</v>
      </c>
      <c r="C1875" s="20">
        <v>46074</v>
      </c>
      <c r="D1875" s="8" t="s">
        <v>394</v>
      </c>
      <c r="E1875" s="3">
        <v>0</v>
      </c>
      <c r="F1875" s="13">
        <v>50</v>
      </c>
      <c r="G1875" s="3">
        <v>50</v>
      </c>
      <c r="H1875" s="8" t="s">
        <v>51</v>
      </c>
      <c r="I1875" s="8" t="s">
        <v>71</v>
      </c>
      <c r="J1875" s="8" t="s">
        <v>32</v>
      </c>
      <c r="K1875" s="8" t="s">
        <v>26</v>
      </c>
      <c r="L1875" s="8" t="s">
        <v>2444</v>
      </c>
    </row>
    <row r="1876" spans="1:12" x14ac:dyDescent="0.35">
      <c r="A1876" s="11">
        <v>1875</v>
      </c>
      <c r="B1876" s="17">
        <v>46075.638483796298</v>
      </c>
      <c r="C1876" s="18">
        <v>46075</v>
      </c>
      <c r="D1876" s="10" t="s">
        <v>2445</v>
      </c>
      <c r="E1876" s="5">
        <v>0</v>
      </c>
      <c r="F1876" s="15">
        <v>1600</v>
      </c>
      <c r="G1876" s="5">
        <v>1600</v>
      </c>
      <c r="H1876" s="10" t="s">
        <v>51</v>
      </c>
      <c r="I1876" s="10" t="s">
        <v>71</v>
      </c>
      <c r="J1876" s="10" t="s">
        <v>31</v>
      </c>
      <c r="K1876" s="10" t="s">
        <v>26</v>
      </c>
      <c r="L1876" s="10" t="s">
        <v>2446</v>
      </c>
    </row>
    <row r="1877" spans="1:12" x14ac:dyDescent="0.35">
      <c r="A1877" s="9">
        <v>1876</v>
      </c>
      <c r="B1877" s="19">
        <v>46075.639189814807</v>
      </c>
      <c r="C1877" s="20">
        <v>46075</v>
      </c>
      <c r="D1877" s="8" t="s">
        <v>426</v>
      </c>
      <c r="E1877" s="12">
        <v>1600</v>
      </c>
      <c r="F1877" s="3">
        <v>0</v>
      </c>
      <c r="G1877" s="3">
        <v>0</v>
      </c>
      <c r="H1877" s="8" t="s">
        <v>51</v>
      </c>
      <c r="I1877" s="8" t="s">
        <v>52</v>
      </c>
      <c r="J1877" s="8" t="s">
        <v>32</v>
      </c>
      <c r="K1877" s="8" t="s">
        <v>26</v>
      </c>
      <c r="L1877" s="8" t="s">
        <v>2447</v>
      </c>
    </row>
    <row r="1878" spans="1:12" x14ac:dyDescent="0.35">
      <c r="A1878" s="11">
        <v>1877</v>
      </c>
      <c r="B1878" s="17">
        <v>46075.645891203712</v>
      </c>
      <c r="C1878" s="18">
        <v>46075</v>
      </c>
      <c r="D1878" s="10" t="s">
        <v>2448</v>
      </c>
      <c r="E1878" s="14">
        <v>4100</v>
      </c>
      <c r="F1878" s="5">
        <v>0</v>
      </c>
      <c r="G1878" s="5">
        <v>0</v>
      </c>
      <c r="H1878" s="10" t="s">
        <v>33</v>
      </c>
      <c r="I1878" s="10" t="s">
        <v>52</v>
      </c>
      <c r="J1878" s="10" t="s">
        <v>34</v>
      </c>
      <c r="K1878" s="10" t="s">
        <v>26</v>
      </c>
      <c r="L1878" s="10" t="s">
        <v>2449</v>
      </c>
    </row>
    <row r="1879" spans="1:12" x14ac:dyDescent="0.35">
      <c r="A1879" s="9">
        <v>1878</v>
      </c>
      <c r="B1879" s="19">
        <v>46075.645902777767</v>
      </c>
      <c r="C1879" s="20">
        <v>46075</v>
      </c>
      <c r="D1879" s="8" t="s">
        <v>394</v>
      </c>
      <c r="E1879" s="3">
        <v>0</v>
      </c>
      <c r="F1879" s="13">
        <v>4100</v>
      </c>
      <c r="G1879" s="3">
        <v>4100</v>
      </c>
      <c r="H1879" s="8" t="s">
        <v>51</v>
      </c>
      <c r="I1879" s="8" t="s">
        <v>71</v>
      </c>
      <c r="J1879" s="8" t="s">
        <v>32</v>
      </c>
      <c r="K1879" s="8" t="s">
        <v>26</v>
      </c>
      <c r="L1879" s="8" t="s">
        <v>2450</v>
      </c>
    </row>
    <row r="1880" spans="1:12" x14ac:dyDescent="0.35">
      <c r="A1880" s="11">
        <v>1879</v>
      </c>
      <c r="B1880" s="17">
        <v>46076.326828703714</v>
      </c>
      <c r="C1880" s="18">
        <v>46076</v>
      </c>
      <c r="D1880" s="10" t="s">
        <v>488</v>
      </c>
      <c r="E1880" s="14">
        <v>3000</v>
      </c>
      <c r="F1880" s="5">
        <v>0</v>
      </c>
      <c r="G1880" s="5">
        <v>0</v>
      </c>
      <c r="H1880" s="10" t="s">
        <v>51</v>
      </c>
      <c r="I1880" s="10" t="s">
        <v>52</v>
      </c>
      <c r="J1880" s="10" t="s">
        <v>30</v>
      </c>
      <c r="K1880" s="10" t="s">
        <v>26</v>
      </c>
      <c r="L1880" s="10" t="s">
        <v>2451</v>
      </c>
    </row>
    <row r="1881" spans="1:12" x14ac:dyDescent="0.35">
      <c r="A1881" s="9">
        <v>1880</v>
      </c>
      <c r="B1881" s="19">
        <v>46076.326863425929</v>
      </c>
      <c r="C1881" s="20">
        <v>46076</v>
      </c>
      <c r="D1881" s="8" t="s">
        <v>394</v>
      </c>
      <c r="E1881" s="3">
        <v>0</v>
      </c>
      <c r="F1881" s="13">
        <v>3000</v>
      </c>
      <c r="G1881" s="3">
        <v>3000</v>
      </c>
      <c r="H1881" s="8" t="s">
        <v>51</v>
      </c>
      <c r="I1881" s="8" t="s">
        <v>71</v>
      </c>
      <c r="J1881" s="8" t="s">
        <v>32</v>
      </c>
      <c r="K1881" s="8" t="s">
        <v>26</v>
      </c>
      <c r="L1881" s="8" t="s">
        <v>2452</v>
      </c>
    </row>
    <row r="1882" spans="1:12" x14ac:dyDescent="0.35">
      <c r="A1882" s="11">
        <v>1881</v>
      </c>
      <c r="B1882" s="17">
        <v>46076.35528935185</v>
      </c>
      <c r="C1882" s="18">
        <v>46076</v>
      </c>
      <c r="D1882" s="10" t="s">
        <v>2287</v>
      </c>
      <c r="E1882" s="14">
        <v>4000</v>
      </c>
      <c r="F1882" s="5">
        <v>0</v>
      </c>
      <c r="G1882" s="5">
        <v>0</v>
      </c>
      <c r="H1882" s="10" t="s">
        <v>51</v>
      </c>
      <c r="I1882" s="10" t="s">
        <v>52</v>
      </c>
      <c r="J1882" s="10" t="s">
        <v>30</v>
      </c>
      <c r="K1882" s="10" t="s">
        <v>26</v>
      </c>
      <c r="L1882" s="10" t="s">
        <v>2453</v>
      </c>
    </row>
    <row r="1883" spans="1:12" x14ac:dyDescent="0.35">
      <c r="A1883" s="9">
        <v>1882</v>
      </c>
      <c r="B1883" s="19">
        <v>46076.35533564815</v>
      </c>
      <c r="C1883" s="20">
        <v>46076</v>
      </c>
      <c r="D1883" s="8" t="s">
        <v>394</v>
      </c>
      <c r="E1883" s="3">
        <v>0</v>
      </c>
      <c r="F1883" s="13">
        <v>4000</v>
      </c>
      <c r="G1883" s="3">
        <v>4000</v>
      </c>
      <c r="H1883" s="8" t="s">
        <v>51</v>
      </c>
      <c r="I1883" s="8" t="s">
        <v>71</v>
      </c>
      <c r="J1883" s="8" t="s">
        <v>32</v>
      </c>
      <c r="K1883" s="8" t="s">
        <v>26</v>
      </c>
      <c r="L1883" s="8" t="s">
        <v>2454</v>
      </c>
    </row>
    <row r="1884" spans="1:12" x14ac:dyDescent="0.35">
      <c r="A1884" s="11">
        <v>1883</v>
      </c>
      <c r="B1884" s="17">
        <v>46076.763460648152</v>
      </c>
      <c r="C1884" s="18">
        <v>46076</v>
      </c>
      <c r="D1884" s="10" t="s">
        <v>2455</v>
      </c>
      <c r="E1884" s="14">
        <v>1640</v>
      </c>
      <c r="F1884" s="5">
        <v>0</v>
      </c>
      <c r="G1884" s="5">
        <v>0</v>
      </c>
      <c r="H1884" s="10" t="s">
        <v>33</v>
      </c>
      <c r="I1884" s="10" t="s">
        <v>52</v>
      </c>
      <c r="J1884" s="10" t="s">
        <v>34</v>
      </c>
      <c r="K1884" s="10" t="s">
        <v>26</v>
      </c>
      <c r="L1884" s="10" t="s">
        <v>2456</v>
      </c>
    </row>
    <row r="1885" spans="1:12" x14ac:dyDescent="0.35">
      <c r="A1885" s="9">
        <v>1884</v>
      </c>
      <c r="B1885" s="19">
        <v>46076.763460648152</v>
      </c>
      <c r="C1885" s="20">
        <v>46076</v>
      </c>
      <c r="D1885" s="8" t="s">
        <v>394</v>
      </c>
      <c r="E1885" s="3">
        <v>0</v>
      </c>
      <c r="F1885" s="13">
        <v>1640</v>
      </c>
      <c r="G1885" s="3">
        <v>1640</v>
      </c>
      <c r="H1885" s="8" t="s">
        <v>51</v>
      </c>
      <c r="I1885" s="8" t="s">
        <v>71</v>
      </c>
      <c r="J1885" s="8" t="s">
        <v>32</v>
      </c>
      <c r="K1885" s="8" t="s">
        <v>26</v>
      </c>
      <c r="L1885" s="8" t="s">
        <v>2457</v>
      </c>
    </row>
    <row r="1886" spans="1:12" x14ac:dyDescent="0.35">
      <c r="A1886" s="11">
        <v>1885</v>
      </c>
      <c r="B1886" s="17">
        <v>46076.765914351847</v>
      </c>
      <c r="C1886" s="18">
        <v>46076</v>
      </c>
      <c r="D1886" s="10" t="s">
        <v>2458</v>
      </c>
      <c r="E1886" s="14">
        <v>1100</v>
      </c>
      <c r="F1886" s="5">
        <v>0</v>
      </c>
      <c r="G1886" s="5">
        <v>0</v>
      </c>
      <c r="H1886" s="10" t="s">
        <v>33</v>
      </c>
      <c r="I1886" s="10" t="s">
        <v>52</v>
      </c>
      <c r="J1886" s="10" t="s">
        <v>34</v>
      </c>
      <c r="K1886" s="10" t="s">
        <v>26</v>
      </c>
      <c r="L1886" s="10" t="s">
        <v>2459</v>
      </c>
    </row>
    <row r="1887" spans="1:12" x14ac:dyDescent="0.35">
      <c r="A1887" s="9">
        <v>1886</v>
      </c>
      <c r="B1887" s="19">
        <v>46076.765914351847</v>
      </c>
      <c r="C1887" s="20">
        <v>46076</v>
      </c>
      <c r="D1887" s="8" t="s">
        <v>394</v>
      </c>
      <c r="E1887" s="3">
        <v>0</v>
      </c>
      <c r="F1887" s="13">
        <v>1100</v>
      </c>
      <c r="G1887" s="3">
        <v>1100</v>
      </c>
      <c r="H1887" s="8" t="s">
        <v>51</v>
      </c>
      <c r="I1887" s="8" t="s">
        <v>71</v>
      </c>
      <c r="J1887" s="8" t="s">
        <v>32</v>
      </c>
      <c r="K1887" s="8" t="s">
        <v>26</v>
      </c>
      <c r="L1887" s="8" t="s">
        <v>2460</v>
      </c>
    </row>
    <row r="1888" spans="1:12" x14ac:dyDescent="0.35">
      <c r="A1888" s="11">
        <v>1887</v>
      </c>
      <c r="B1888" s="17">
        <v>46077.551238425927</v>
      </c>
      <c r="C1888" s="18">
        <v>46077</v>
      </c>
      <c r="D1888" s="10" t="s">
        <v>2461</v>
      </c>
      <c r="E1888" s="14">
        <v>3000</v>
      </c>
      <c r="F1888" s="5">
        <v>0</v>
      </c>
      <c r="G1888" s="5">
        <v>0</v>
      </c>
      <c r="H1888" s="10" t="s">
        <v>33</v>
      </c>
      <c r="I1888" s="10" t="s">
        <v>52</v>
      </c>
      <c r="J1888" s="10" t="s">
        <v>34</v>
      </c>
      <c r="K1888" s="10" t="s">
        <v>26</v>
      </c>
      <c r="L1888" s="10" t="s">
        <v>2462</v>
      </c>
    </row>
    <row r="1889" spans="1:12" x14ac:dyDescent="0.35">
      <c r="A1889" s="9">
        <v>1888</v>
      </c>
      <c r="B1889" s="19">
        <v>46077.551238425927</v>
      </c>
      <c r="C1889" s="20">
        <v>46077</v>
      </c>
      <c r="D1889" s="8" t="s">
        <v>394</v>
      </c>
      <c r="E1889" s="3">
        <v>0</v>
      </c>
      <c r="F1889" s="13">
        <v>3000</v>
      </c>
      <c r="G1889" s="3">
        <v>3000</v>
      </c>
      <c r="H1889" s="8" t="s">
        <v>51</v>
      </c>
      <c r="I1889" s="8" t="s">
        <v>71</v>
      </c>
      <c r="J1889" s="8" t="s">
        <v>32</v>
      </c>
      <c r="K1889" s="8" t="s">
        <v>26</v>
      </c>
      <c r="L1889" s="8" t="s">
        <v>2463</v>
      </c>
    </row>
    <row r="1890" spans="1:12" x14ac:dyDescent="0.35">
      <c r="A1890" s="11">
        <v>1889</v>
      </c>
      <c r="B1890" s="17">
        <v>46077.554456018523</v>
      </c>
      <c r="C1890" s="18">
        <v>46077</v>
      </c>
      <c r="D1890" s="10" t="s">
        <v>2464</v>
      </c>
      <c r="E1890" s="5">
        <v>0</v>
      </c>
      <c r="F1890" s="15">
        <v>3000</v>
      </c>
      <c r="G1890" s="5">
        <v>3000</v>
      </c>
      <c r="H1890" s="10" t="s">
        <v>51</v>
      </c>
      <c r="I1890" s="10" t="s">
        <v>71</v>
      </c>
      <c r="J1890" s="10" t="s">
        <v>31</v>
      </c>
      <c r="K1890" s="10" t="s">
        <v>26</v>
      </c>
      <c r="L1890" s="10" t="s">
        <v>2465</v>
      </c>
    </row>
    <row r="1891" spans="1:12" x14ac:dyDescent="0.35">
      <c r="A1891" s="9">
        <v>1890</v>
      </c>
      <c r="B1891" s="19">
        <v>46077.555173611108</v>
      </c>
      <c r="C1891" s="20">
        <v>46077</v>
      </c>
      <c r="D1891" s="8" t="s">
        <v>426</v>
      </c>
      <c r="E1891" s="12">
        <v>3000</v>
      </c>
      <c r="F1891" s="3">
        <v>0</v>
      </c>
      <c r="G1891" s="3">
        <v>0</v>
      </c>
      <c r="H1891" s="8" t="s">
        <v>51</v>
      </c>
      <c r="I1891" s="8" t="s">
        <v>52</v>
      </c>
      <c r="J1891" s="8" t="s">
        <v>32</v>
      </c>
      <c r="K1891" s="8" t="s">
        <v>26</v>
      </c>
      <c r="L1891" s="8" t="s">
        <v>2466</v>
      </c>
    </row>
    <row r="1892" spans="1:12" x14ac:dyDescent="0.35">
      <c r="A1892" s="11">
        <v>1891</v>
      </c>
      <c r="B1892" s="17">
        <v>46078.333541666667</v>
      </c>
      <c r="C1892" s="18">
        <v>46078</v>
      </c>
      <c r="D1892" s="10" t="s">
        <v>488</v>
      </c>
      <c r="E1892" s="14">
        <v>2000</v>
      </c>
      <c r="F1892" s="5">
        <v>0</v>
      </c>
      <c r="G1892" s="5">
        <v>0</v>
      </c>
      <c r="H1892" s="10" t="s">
        <v>51</v>
      </c>
      <c r="I1892" s="10" t="s">
        <v>52</v>
      </c>
      <c r="J1892" s="10" t="s">
        <v>30</v>
      </c>
      <c r="K1892" s="10" t="s">
        <v>26</v>
      </c>
      <c r="L1892" s="10" t="s">
        <v>2467</v>
      </c>
    </row>
    <row r="1893" spans="1:12" x14ac:dyDescent="0.35">
      <c r="A1893" s="9">
        <v>1892</v>
      </c>
      <c r="B1893" s="19">
        <v>46078.33357638889</v>
      </c>
      <c r="C1893" s="20">
        <v>46078</v>
      </c>
      <c r="D1893" s="8" t="s">
        <v>394</v>
      </c>
      <c r="E1893" s="3">
        <v>0</v>
      </c>
      <c r="F1893" s="13">
        <v>2000</v>
      </c>
      <c r="G1893" s="3">
        <v>2000</v>
      </c>
      <c r="H1893" s="8" t="s">
        <v>51</v>
      </c>
      <c r="I1893" s="8" t="s">
        <v>71</v>
      </c>
      <c r="J1893" s="8" t="s">
        <v>32</v>
      </c>
      <c r="K1893" s="8" t="s">
        <v>26</v>
      </c>
      <c r="L1893" s="8" t="s">
        <v>2468</v>
      </c>
    </row>
    <row r="1894" spans="1:12" x14ac:dyDescent="0.35">
      <c r="A1894" s="11">
        <v>1893</v>
      </c>
      <c r="B1894" s="17">
        <v>46078.58084490741</v>
      </c>
      <c r="C1894" s="18">
        <v>46078</v>
      </c>
      <c r="D1894" s="10" t="s">
        <v>2469</v>
      </c>
      <c r="E1894" s="14">
        <v>4000</v>
      </c>
      <c r="F1894" s="5">
        <v>0</v>
      </c>
      <c r="G1894" s="5">
        <v>0</v>
      </c>
      <c r="H1894" s="10" t="s">
        <v>33</v>
      </c>
      <c r="I1894" s="10" t="s">
        <v>52</v>
      </c>
      <c r="J1894" s="10" t="s">
        <v>34</v>
      </c>
      <c r="K1894" s="10" t="s">
        <v>26</v>
      </c>
      <c r="L1894" s="10" t="s">
        <v>2470</v>
      </c>
    </row>
    <row r="1895" spans="1:12" x14ac:dyDescent="0.35">
      <c r="A1895" s="9">
        <v>1894</v>
      </c>
      <c r="B1895" s="19">
        <v>46078.58084490741</v>
      </c>
      <c r="C1895" s="20">
        <v>46078</v>
      </c>
      <c r="D1895" s="8" t="s">
        <v>394</v>
      </c>
      <c r="E1895" s="3">
        <v>0</v>
      </c>
      <c r="F1895" s="13">
        <v>4000</v>
      </c>
      <c r="G1895" s="3">
        <v>4000</v>
      </c>
      <c r="H1895" s="8" t="s">
        <v>51</v>
      </c>
      <c r="I1895" s="8" t="s">
        <v>71</v>
      </c>
      <c r="J1895" s="8" t="s">
        <v>32</v>
      </c>
      <c r="K1895" s="8" t="s">
        <v>26</v>
      </c>
      <c r="L1895" s="8" t="s">
        <v>2471</v>
      </c>
    </row>
    <row r="1896" spans="1:12" x14ac:dyDescent="0.35">
      <c r="A1896" s="11">
        <v>1895</v>
      </c>
      <c r="B1896" s="17">
        <v>46078.768101851849</v>
      </c>
      <c r="C1896" s="18">
        <v>46078</v>
      </c>
      <c r="D1896" s="10" t="s">
        <v>1121</v>
      </c>
      <c r="E1896" s="14">
        <v>1000</v>
      </c>
      <c r="F1896" s="5">
        <v>0</v>
      </c>
      <c r="G1896" s="5">
        <v>0</v>
      </c>
      <c r="H1896" s="10" t="s">
        <v>51</v>
      </c>
      <c r="I1896" s="10" t="s">
        <v>52</v>
      </c>
      <c r="J1896" s="10" t="s">
        <v>30</v>
      </c>
      <c r="K1896" s="10" t="s">
        <v>26</v>
      </c>
      <c r="L1896" s="10" t="s">
        <v>2472</v>
      </c>
    </row>
    <row r="1897" spans="1:12" x14ac:dyDescent="0.35">
      <c r="A1897" s="9">
        <v>1896</v>
      </c>
      <c r="B1897" s="19">
        <v>46078.768171296288</v>
      </c>
      <c r="C1897" s="20">
        <v>46078</v>
      </c>
      <c r="D1897" s="8" t="s">
        <v>394</v>
      </c>
      <c r="E1897" s="3">
        <v>0</v>
      </c>
      <c r="F1897" s="13">
        <v>1000</v>
      </c>
      <c r="G1897" s="3">
        <v>1000</v>
      </c>
      <c r="H1897" s="8" t="s">
        <v>51</v>
      </c>
      <c r="I1897" s="8" t="s">
        <v>71</v>
      </c>
      <c r="J1897" s="8" t="s">
        <v>32</v>
      </c>
      <c r="K1897" s="8" t="s">
        <v>26</v>
      </c>
      <c r="L1897" s="8" t="s">
        <v>2473</v>
      </c>
    </row>
    <row r="1898" spans="1:12" x14ac:dyDescent="0.35">
      <c r="A1898" s="11">
        <v>1897</v>
      </c>
      <c r="B1898" s="17">
        <v>46078.897696759261</v>
      </c>
      <c r="C1898" s="18">
        <v>46078</v>
      </c>
      <c r="D1898" s="10" t="s">
        <v>2474</v>
      </c>
      <c r="E1898" s="14">
        <v>10000</v>
      </c>
      <c r="F1898" s="5">
        <v>0</v>
      </c>
      <c r="G1898" s="5">
        <v>0</v>
      </c>
      <c r="H1898" s="10" t="s">
        <v>51</v>
      </c>
      <c r="I1898" s="10" t="s">
        <v>52</v>
      </c>
      <c r="J1898" s="10" t="s">
        <v>30</v>
      </c>
      <c r="K1898" s="10" t="s">
        <v>26</v>
      </c>
      <c r="L1898" s="10" t="s">
        <v>2475</v>
      </c>
    </row>
    <row r="1899" spans="1:12" x14ac:dyDescent="0.35">
      <c r="A1899" s="9">
        <v>1898</v>
      </c>
      <c r="B1899" s="19">
        <v>46078.897731481477</v>
      </c>
      <c r="C1899" s="20">
        <v>46078</v>
      </c>
      <c r="D1899" s="8" t="s">
        <v>394</v>
      </c>
      <c r="E1899" s="3">
        <v>0</v>
      </c>
      <c r="F1899" s="13">
        <v>10000</v>
      </c>
      <c r="G1899" s="3">
        <v>10000</v>
      </c>
      <c r="H1899" s="8" t="s">
        <v>51</v>
      </c>
      <c r="I1899" s="8" t="s">
        <v>71</v>
      </c>
      <c r="J1899" s="8" t="s">
        <v>32</v>
      </c>
      <c r="K1899" s="8" t="s">
        <v>26</v>
      </c>
      <c r="L1899" s="8" t="s">
        <v>2476</v>
      </c>
    </row>
    <row r="1900" spans="1:12" x14ac:dyDescent="0.35">
      <c r="A1900" s="11">
        <v>1899</v>
      </c>
      <c r="B1900" s="17">
        <v>46078.897743055553</v>
      </c>
      <c r="C1900" s="18">
        <v>46078</v>
      </c>
      <c r="D1900" s="10" t="s">
        <v>2095</v>
      </c>
      <c r="E1900" s="14">
        <v>50</v>
      </c>
      <c r="F1900" s="5">
        <v>0</v>
      </c>
      <c r="G1900" s="5">
        <v>0</v>
      </c>
      <c r="H1900" s="10" t="s">
        <v>51</v>
      </c>
      <c r="I1900" s="10" t="s">
        <v>52</v>
      </c>
      <c r="J1900" s="10" t="s">
        <v>36</v>
      </c>
      <c r="K1900" s="10" t="s">
        <v>26</v>
      </c>
      <c r="L1900" s="10" t="s">
        <v>2477</v>
      </c>
    </row>
    <row r="1901" spans="1:12" x14ac:dyDescent="0.35">
      <c r="A1901" s="9">
        <v>1900</v>
      </c>
      <c r="B1901" s="19">
        <v>46078.897743055553</v>
      </c>
      <c r="C1901" s="20">
        <v>46078</v>
      </c>
      <c r="D1901" s="8" t="s">
        <v>394</v>
      </c>
      <c r="E1901" s="3">
        <v>0</v>
      </c>
      <c r="F1901" s="13">
        <v>50</v>
      </c>
      <c r="G1901" s="3">
        <v>50</v>
      </c>
      <c r="H1901" s="8" t="s">
        <v>51</v>
      </c>
      <c r="I1901" s="8" t="s">
        <v>71</v>
      </c>
      <c r="J1901" s="8" t="s">
        <v>32</v>
      </c>
      <c r="K1901" s="8" t="s">
        <v>26</v>
      </c>
      <c r="L1901" s="8" t="s">
        <v>2478</v>
      </c>
    </row>
    <row r="1902" spans="1:12" x14ac:dyDescent="0.35">
      <c r="A1902" s="11">
        <v>1901</v>
      </c>
      <c r="B1902" s="17">
        <v>46079.58394675926</v>
      </c>
      <c r="C1902" s="18">
        <v>46079</v>
      </c>
      <c r="D1902" s="10" t="s">
        <v>2479</v>
      </c>
      <c r="E1902" s="14">
        <v>3500</v>
      </c>
      <c r="F1902" s="5">
        <v>0</v>
      </c>
      <c r="G1902" s="5">
        <v>0</v>
      </c>
      <c r="H1902" s="10" t="s">
        <v>33</v>
      </c>
      <c r="I1902" s="10" t="s">
        <v>52</v>
      </c>
      <c r="J1902" s="10" t="s">
        <v>34</v>
      </c>
      <c r="K1902" s="10" t="s">
        <v>26</v>
      </c>
      <c r="L1902" s="10" t="s">
        <v>2480</v>
      </c>
    </row>
    <row r="1903" spans="1:12" x14ac:dyDescent="0.35">
      <c r="A1903" s="9">
        <v>1902</v>
      </c>
      <c r="B1903" s="19">
        <v>46079.58394675926</v>
      </c>
      <c r="C1903" s="20">
        <v>46079</v>
      </c>
      <c r="D1903" s="8" t="s">
        <v>394</v>
      </c>
      <c r="E1903" s="3">
        <v>0</v>
      </c>
      <c r="F1903" s="13">
        <v>3500</v>
      </c>
      <c r="G1903" s="3">
        <v>3500</v>
      </c>
      <c r="H1903" s="8" t="s">
        <v>51</v>
      </c>
      <c r="I1903" s="8" t="s">
        <v>71</v>
      </c>
      <c r="J1903" s="8" t="s">
        <v>32</v>
      </c>
      <c r="K1903" s="8" t="s">
        <v>26</v>
      </c>
      <c r="L1903" s="8" t="s">
        <v>2481</v>
      </c>
    </row>
    <row r="1904" spans="1:12" x14ac:dyDescent="0.35">
      <c r="A1904" s="11">
        <v>1903</v>
      </c>
      <c r="B1904" s="17">
        <v>46079.834016203713</v>
      </c>
      <c r="C1904" s="18">
        <v>46079</v>
      </c>
      <c r="D1904" s="10" t="s">
        <v>2482</v>
      </c>
      <c r="E1904" s="14">
        <v>7370</v>
      </c>
      <c r="F1904" s="5">
        <v>0</v>
      </c>
      <c r="G1904" s="5">
        <v>0</v>
      </c>
      <c r="H1904" s="10" t="s">
        <v>33</v>
      </c>
      <c r="I1904" s="10" t="s">
        <v>52</v>
      </c>
      <c r="J1904" s="10" t="s">
        <v>34</v>
      </c>
      <c r="K1904" s="10" t="s">
        <v>26</v>
      </c>
      <c r="L1904" s="10" t="s">
        <v>2483</v>
      </c>
    </row>
    <row r="1905" spans="1:12" x14ac:dyDescent="0.35">
      <c r="A1905" s="9">
        <v>1904</v>
      </c>
      <c r="B1905" s="19">
        <v>46079.834027777782</v>
      </c>
      <c r="C1905" s="20">
        <v>46079</v>
      </c>
      <c r="D1905" s="8" t="s">
        <v>394</v>
      </c>
      <c r="E1905" s="3">
        <v>0</v>
      </c>
      <c r="F1905" s="13">
        <v>7370</v>
      </c>
      <c r="G1905" s="3">
        <v>7370</v>
      </c>
      <c r="H1905" s="8" t="s">
        <v>51</v>
      </c>
      <c r="I1905" s="8" t="s">
        <v>71</v>
      </c>
      <c r="J1905" s="8" t="s">
        <v>32</v>
      </c>
      <c r="K1905" s="8" t="s">
        <v>26</v>
      </c>
      <c r="L1905" s="8" t="s">
        <v>2484</v>
      </c>
    </row>
    <row r="1906" spans="1:12" x14ac:dyDescent="0.35">
      <c r="A1906" s="11">
        <v>1905</v>
      </c>
      <c r="B1906" s="17">
        <v>46080.815335648149</v>
      </c>
      <c r="C1906" s="18">
        <v>46080</v>
      </c>
      <c r="D1906" s="10" t="s">
        <v>2485</v>
      </c>
      <c r="E1906" s="14">
        <v>2100</v>
      </c>
      <c r="F1906" s="5">
        <v>0</v>
      </c>
      <c r="G1906" s="5">
        <v>0</v>
      </c>
      <c r="H1906" s="10" t="s">
        <v>33</v>
      </c>
      <c r="I1906" s="10" t="s">
        <v>52</v>
      </c>
      <c r="J1906" s="10" t="s">
        <v>34</v>
      </c>
      <c r="K1906" s="10" t="s">
        <v>26</v>
      </c>
      <c r="L1906" s="10" t="s">
        <v>2486</v>
      </c>
    </row>
    <row r="1907" spans="1:12" x14ac:dyDescent="0.35">
      <c r="A1907" s="9">
        <v>1906</v>
      </c>
      <c r="B1907" s="19">
        <v>46080.815335648149</v>
      </c>
      <c r="C1907" s="20">
        <v>46080</v>
      </c>
      <c r="D1907" s="8" t="s">
        <v>394</v>
      </c>
      <c r="E1907" s="3">
        <v>0</v>
      </c>
      <c r="F1907" s="13">
        <v>2100</v>
      </c>
      <c r="G1907" s="3">
        <v>2100</v>
      </c>
      <c r="H1907" s="8" t="s">
        <v>51</v>
      </c>
      <c r="I1907" s="8" t="s">
        <v>71</v>
      </c>
      <c r="J1907" s="8" t="s">
        <v>32</v>
      </c>
      <c r="K1907" s="8" t="s">
        <v>26</v>
      </c>
      <c r="L1907" s="8" t="s">
        <v>2487</v>
      </c>
    </row>
    <row r="1908" spans="1:12" x14ac:dyDescent="0.35">
      <c r="A1908" s="11">
        <v>1907</v>
      </c>
      <c r="B1908" s="17">
        <v>46081.382291666669</v>
      </c>
      <c r="C1908" s="18">
        <v>46081</v>
      </c>
      <c r="D1908" s="10" t="s">
        <v>276</v>
      </c>
      <c r="E1908" s="14">
        <v>900</v>
      </c>
      <c r="F1908" s="5">
        <v>0</v>
      </c>
      <c r="G1908" s="5">
        <v>0</v>
      </c>
      <c r="H1908" s="10" t="s">
        <v>51</v>
      </c>
      <c r="I1908" s="10" t="s">
        <v>52</v>
      </c>
      <c r="J1908" s="10" t="s">
        <v>36</v>
      </c>
      <c r="K1908" s="10" t="s">
        <v>26</v>
      </c>
      <c r="L1908" s="10" t="s">
        <v>2488</v>
      </c>
    </row>
    <row r="1909" spans="1:12" x14ac:dyDescent="0.35">
      <c r="A1909" s="9">
        <v>1908</v>
      </c>
      <c r="B1909" s="19">
        <v>46081.382337962961</v>
      </c>
      <c r="C1909" s="20">
        <v>46081</v>
      </c>
      <c r="D1909" s="8" t="s">
        <v>394</v>
      </c>
      <c r="E1909" s="3">
        <v>0</v>
      </c>
      <c r="F1909" s="13">
        <v>900</v>
      </c>
      <c r="G1909" s="3">
        <v>900</v>
      </c>
      <c r="H1909" s="8" t="s">
        <v>51</v>
      </c>
      <c r="I1909" s="8" t="s">
        <v>71</v>
      </c>
      <c r="J1909" s="8" t="s">
        <v>32</v>
      </c>
      <c r="K1909" s="8" t="s">
        <v>26</v>
      </c>
      <c r="L1909" s="8" t="s">
        <v>2489</v>
      </c>
    </row>
    <row r="1910" spans="1:12" x14ac:dyDescent="0.35">
      <c r="A1910" s="11">
        <v>1909</v>
      </c>
      <c r="B1910" s="17">
        <v>46081.452210648153</v>
      </c>
      <c r="C1910" s="18">
        <v>46081</v>
      </c>
      <c r="D1910" s="10" t="s">
        <v>1141</v>
      </c>
      <c r="E1910" s="14">
        <v>700</v>
      </c>
      <c r="F1910" s="5">
        <v>0</v>
      </c>
      <c r="G1910" s="5">
        <v>0</v>
      </c>
      <c r="H1910" s="10" t="s">
        <v>51</v>
      </c>
      <c r="I1910" s="10" t="s">
        <v>52</v>
      </c>
      <c r="J1910" s="10" t="s">
        <v>30</v>
      </c>
      <c r="K1910" s="10" t="s">
        <v>26</v>
      </c>
      <c r="L1910" s="10" t="s">
        <v>2490</v>
      </c>
    </row>
    <row r="1911" spans="1:12" x14ac:dyDescent="0.35">
      <c r="A1911" s="9">
        <v>1910</v>
      </c>
      <c r="B1911" s="19">
        <v>46081.452256944453</v>
      </c>
      <c r="C1911" s="20">
        <v>46081</v>
      </c>
      <c r="D1911" s="8" t="s">
        <v>394</v>
      </c>
      <c r="E1911" s="3">
        <v>0</v>
      </c>
      <c r="F1911" s="13">
        <v>700</v>
      </c>
      <c r="G1911" s="3">
        <v>700</v>
      </c>
      <c r="H1911" s="8" t="s">
        <v>51</v>
      </c>
      <c r="I1911" s="8" t="s">
        <v>71</v>
      </c>
      <c r="J1911" s="8" t="s">
        <v>32</v>
      </c>
      <c r="K1911" s="8" t="s">
        <v>26</v>
      </c>
      <c r="L1911" s="8" t="s">
        <v>2491</v>
      </c>
    </row>
    <row r="1912" spans="1:12" x14ac:dyDescent="0.35">
      <c r="A1912" s="11">
        <v>1911</v>
      </c>
      <c r="B1912" s="17">
        <v>46082.811469907407</v>
      </c>
      <c r="C1912" s="18">
        <v>46082</v>
      </c>
      <c r="D1912" s="10" t="s">
        <v>188</v>
      </c>
      <c r="E1912" s="14">
        <v>1982</v>
      </c>
      <c r="F1912" s="5">
        <v>0</v>
      </c>
      <c r="G1912" s="5">
        <v>0</v>
      </c>
      <c r="H1912" s="10" t="s">
        <v>51</v>
      </c>
      <c r="I1912" s="10" t="s">
        <v>52</v>
      </c>
      <c r="J1912" s="10" t="s">
        <v>37</v>
      </c>
      <c r="K1912" s="10" t="s">
        <v>27</v>
      </c>
      <c r="L1912" s="10" t="s">
        <v>2492</v>
      </c>
    </row>
    <row r="1913" spans="1:12" x14ac:dyDescent="0.35">
      <c r="A1913" s="9">
        <v>1912</v>
      </c>
      <c r="B1913" s="19">
        <v>46082.811539351853</v>
      </c>
      <c r="C1913" s="20">
        <v>46082</v>
      </c>
      <c r="D1913" s="8" t="s">
        <v>394</v>
      </c>
      <c r="E1913" s="3">
        <v>0</v>
      </c>
      <c r="F1913" s="13">
        <v>1982</v>
      </c>
      <c r="G1913" s="3">
        <v>1982</v>
      </c>
      <c r="H1913" s="8" t="s">
        <v>51</v>
      </c>
      <c r="I1913" s="8" t="s">
        <v>71</v>
      </c>
      <c r="J1913" s="8" t="s">
        <v>32</v>
      </c>
      <c r="K1913" s="8" t="s">
        <v>27</v>
      </c>
      <c r="L1913" s="8" t="s">
        <v>2493</v>
      </c>
    </row>
    <row r="1914" spans="1:12" x14ac:dyDescent="0.35">
      <c r="A1914" s="11">
        <v>1913</v>
      </c>
      <c r="B1914" s="17">
        <v>46083.548888888887</v>
      </c>
      <c r="C1914" s="18">
        <v>46083</v>
      </c>
      <c r="D1914" s="10" t="s">
        <v>2494</v>
      </c>
      <c r="E1914" s="14">
        <v>4500</v>
      </c>
      <c r="F1914" s="5">
        <v>0</v>
      </c>
      <c r="G1914" s="5">
        <v>0</v>
      </c>
      <c r="H1914" s="10" t="s">
        <v>51</v>
      </c>
      <c r="I1914" s="10" t="s">
        <v>52</v>
      </c>
      <c r="J1914" s="10" t="s">
        <v>30</v>
      </c>
      <c r="K1914" s="10" t="s">
        <v>27</v>
      </c>
      <c r="L1914" s="10" t="s">
        <v>2495</v>
      </c>
    </row>
    <row r="1915" spans="1:12" x14ac:dyDescent="0.35">
      <c r="A1915" s="9">
        <v>1914</v>
      </c>
      <c r="B1915" s="19">
        <v>46083.548946759263</v>
      </c>
      <c r="C1915" s="20">
        <v>46083</v>
      </c>
      <c r="D1915" s="8" t="s">
        <v>394</v>
      </c>
      <c r="E1915" s="3">
        <v>0</v>
      </c>
      <c r="F1915" s="13">
        <v>4500</v>
      </c>
      <c r="G1915" s="3">
        <v>4500</v>
      </c>
      <c r="H1915" s="8" t="s">
        <v>51</v>
      </c>
      <c r="I1915" s="8" t="s">
        <v>71</v>
      </c>
      <c r="J1915" s="8" t="s">
        <v>32</v>
      </c>
      <c r="K1915" s="8" t="s">
        <v>27</v>
      </c>
      <c r="L1915" s="8" t="s">
        <v>2496</v>
      </c>
    </row>
    <row r="1916" spans="1:12" x14ac:dyDescent="0.35">
      <c r="A1916" s="11">
        <v>1915</v>
      </c>
      <c r="B1916" s="17">
        <v>46083.725104166668</v>
      </c>
      <c r="C1916" s="18">
        <v>46083</v>
      </c>
      <c r="D1916" s="10" t="s">
        <v>188</v>
      </c>
      <c r="E1916" s="14">
        <v>2460</v>
      </c>
      <c r="F1916" s="5">
        <v>0</v>
      </c>
      <c r="G1916" s="5">
        <v>0</v>
      </c>
      <c r="H1916" s="10" t="s">
        <v>51</v>
      </c>
      <c r="I1916" s="10" t="s">
        <v>52</v>
      </c>
      <c r="J1916" s="10" t="s">
        <v>37</v>
      </c>
      <c r="K1916" s="10" t="s">
        <v>27</v>
      </c>
      <c r="L1916" s="10" t="s">
        <v>2497</v>
      </c>
    </row>
    <row r="1917" spans="1:12" x14ac:dyDescent="0.35">
      <c r="A1917" s="9">
        <v>1916</v>
      </c>
      <c r="B1917" s="19">
        <v>46083.72515046296</v>
      </c>
      <c r="C1917" s="20">
        <v>46083</v>
      </c>
      <c r="D1917" s="8" t="s">
        <v>394</v>
      </c>
      <c r="E1917" s="3">
        <v>0</v>
      </c>
      <c r="F1917" s="13">
        <v>2460</v>
      </c>
      <c r="G1917" s="3">
        <v>2460</v>
      </c>
      <c r="H1917" s="8" t="s">
        <v>51</v>
      </c>
      <c r="I1917" s="8" t="s">
        <v>71</v>
      </c>
      <c r="J1917" s="8" t="s">
        <v>32</v>
      </c>
      <c r="K1917" s="8" t="s">
        <v>27</v>
      </c>
      <c r="L1917" s="8" t="s">
        <v>2498</v>
      </c>
    </row>
    <row r="1918" spans="1:12" x14ac:dyDescent="0.35">
      <c r="A1918" s="11">
        <v>1917</v>
      </c>
      <c r="B1918" s="17">
        <v>46083.725405092591</v>
      </c>
      <c r="C1918" s="18">
        <v>46083</v>
      </c>
      <c r="D1918" s="10" t="s">
        <v>188</v>
      </c>
      <c r="E1918" s="14">
        <v>475</v>
      </c>
      <c r="F1918" s="5">
        <v>0</v>
      </c>
      <c r="G1918" s="5">
        <v>0</v>
      </c>
      <c r="H1918" s="10" t="s">
        <v>51</v>
      </c>
      <c r="I1918" s="10" t="s">
        <v>52</v>
      </c>
      <c r="J1918" s="10" t="s">
        <v>37</v>
      </c>
      <c r="K1918" s="10" t="s">
        <v>27</v>
      </c>
      <c r="L1918" s="10" t="s">
        <v>2499</v>
      </c>
    </row>
    <row r="1919" spans="1:12" x14ac:dyDescent="0.35">
      <c r="A1919" s="9">
        <v>1918</v>
      </c>
      <c r="B1919" s="19">
        <v>46083.725462962961</v>
      </c>
      <c r="C1919" s="20">
        <v>46083</v>
      </c>
      <c r="D1919" s="8" t="s">
        <v>394</v>
      </c>
      <c r="E1919" s="3">
        <v>0</v>
      </c>
      <c r="F1919" s="13">
        <v>475</v>
      </c>
      <c r="G1919" s="3">
        <v>475</v>
      </c>
      <c r="H1919" s="8" t="s">
        <v>51</v>
      </c>
      <c r="I1919" s="8" t="s">
        <v>71</v>
      </c>
      <c r="J1919" s="8" t="s">
        <v>32</v>
      </c>
      <c r="K1919" s="8" t="s">
        <v>27</v>
      </c>
      <c r="L1919" s="8" t="s">
        <v>2500</v>
      </c>
    </row>
    <row r="1920" spans="1:12" x14ac:dyDescent="0.35">
      <c r="A1920" s="11">
        <v>1919</v>
      </c>
      <c r="B1920" s="17">
        <v>46085.356249999997</v>
      </c>
      <c r="C1920" s="18">
        <v>46085</v>
      </c>
      <c r="D1920" s="10" t="s">
        <v>2287</v>
      </c>
      <c r="E1920" s="14">
        <v>2500</v>
      </c>
      <c r="F1920" s="5">
        <v>0</v>
      </c>
      <c r="G1920" s="5">
        <v>0</v>
      </c>
      <c r="H1920" s="10" t="s">
        <v>51</v>
      </c>
      <c r="I1920" s="10" t="s">
        <v>52</v>
      </c>
      <c r="J1920" s="10" t="s">
        <v>30</v>
      </c>
      <c r="K1920" s="10" t="s">
        <v>27</v>
      </c>
      <c r="L1920" s="10" t="s">
        <v>2501</v>
      </c>
    </row>
    <row r="1921" spans="1:12" x14ac:dyDescent="0.35">
      <c r="A1921" s="9">
        <v>1920</v>
      </c>
      <c r="B1921" s="19">
        <v>46085.356307870366</v>
      </c>
      <c r="C1921" s="20">
        <v>46085</v>
      </c>
      <c r="D1921" s="8" t="s">
        <v>394</v>
      </c>
      <c r="E1921" s="3">
        <v>0</v>
      </c>
      <c r="F1921" s="13">
        <v>2500</v>
      </c>
      <c r="G1921" s="3">
        <v>2500</v>
      </c>
      <c r="H1921" s="8" t="s">
        <v>51</v>
      </c>
      <c r="I1921" s="8" t="s">
        <v>71</v>
      </c>
      <c r="J1921" s="8" t="s">
        <v>32</v>
      </c>
      <c r="K1921" s="8" t="s">
        <v>27</v>
      </c>
      <c r="L1921" s="8" t="s">
        <v>2502</v>
      </c>
    </row>
    <row r="1922" spans="1:12" x14ac:dyDescent="0.35">
      <c r="A1922" s="11">
        <v>1921</v>
      </c>
      <c r="B1922" s="17">
        <v>46086.582175925927</v>
      </c>
      <c r="C1922" s="18">
        <v>46086</v>
      </c>
      <c r="D1922" s="10" t="s">
        <v>276</v>
      </c>
      <c r="E1922" s="14">
        <v>895</v>
      </c>
      <c r="F1922" s="5">
        <v>0</v>
      </c>
      <c r="G1922" s="5">
        <v>0</v>
      </c>
      <c r="H1922" s="10" t="s">
        <v>51</v>
      </c>
      <c r="I1922" s="10" t="s">
        <v>52</v>
      </c>
      <c r="J1922" s="10" t="s">
        <v>36</v>
      </c>
      <c r="K1922" s="10" t="s">
        <v>27</v>
      </c>
      <c r="L1922" s="10" t="s">
        <v>2503</v>
      </c>
    </row>
    <row r="1923" spans="1:12" x14ac:dyDescent="0.35">
      <c r="A1923" s="9">
        <v>1922</v>
      </c>
      <c r="B1923" s="19">
        <v>46086.582256944443</v>
      </c>
      <c r="C1923" s="20">
        <v>46086</v>
      </c>
      <c r="D1923" s="8" t="s">
        <v>394</v>
      </c>
      <c r="E1923" s="3">
        <v>0</v>
      </c>
      <c r="F1923" s="13">
        <v>895</v>
      </c>
      <c r="G1923" s="3">
        <v>895</v>
      </c>
      <c r="H1923" s="8" t="s">
        <v>51</v>
      </c>
      <c r="I1923" s="8" t="s">
        <v>71</v>
      </c>
      <c r="J1923" s="8" t="s">
        <v>32</v>
      </c>
      <c r="K1923" s="8" t="s">
        <v>27</v>
      </c>
      <c r="L1923" s="8" t="s">
        <v>2504</v>
      </c>
    </row>
    <row r="1924" spans="1:12" x14ac:dyDescent="0.35">
      <c r="A1924" s="11">
        <v>1923</v>
      </c>
      <c r="B1924" s="17">
        <v>46086.60732638889</v>
      </c>
      <c r="C1924" s="18">
        <v>46086</v>
      </c>
      <c r="D1924" s="10" t="s">
        <v>2494</v>
      </c>
      <c r="E1924" s="14">
        <v>4300</v>
      </c>
      <c r="F1924" s="5">
        <v>0</v>
      </c>
      <c r="G1924" s="5">
        <v>0</v>
      </c>
      <c r="H1924" s="10" t="s">
        <v>51</v>
      </c>
      <c r="I1924" s="10" t="s">
        <v>52</v>
      </c>
      <c r="J1924" s="10" t="s">
        <v>30</v>
      </c>
      <c r="K1924" s="10" t="s">
        <v>27</v>
      </c>
      <c r="L1924" s="10" t="s">
        <v>2505</v>
      </c>
    </row>
    <row r="1925" spans="1:12" x14ac:dyDescent="0.35">
      <c r="A1925" s="9">
        <v>1924</v>
      </c>
      <c r="B1925" s="19">
        <v>46086.60738425926</v>
      </c>
      <c r="C1925" s="20">
        <v>46086</v>
      </c>
      <c r="D1925" s="8" t="s">
        <v>394</v>
      </c>
      <c r="E1925" s="3">
        <v>0</v>
      </c>
      <c r="F1925" s="13">
        <v>4300</v>
      </c>
      <c r="G1925" s="3">
        <v>4300</v>
      </c>
      <c r="H1925" s="8" t="s">
        <v>51</v>
      </c>
      <c r="I1925" s="8" t="s">
        <v>71</v>
      </c>
      <c r="J1925" s="8" t="s">
        <v>32</v>
      </c>
      <c r="K1925" s="8" t="s">
        <v>27</v>
      </c>
      <c r="L1925" s="8" t="s">
        <v>2506</v>
      </c>
    </row>
    <row r="1926" spans="1:12" x14ac:dyDescent="0.35">
      <c r="A1926" s="11">
        <v>1925</v>
      </c>
      <c r="B1926" s="17">
        <v>46086.7965625</v>
      </c>
      <c r="C1926" s="18">
        <v>46086</v>
      </c>
      <c r="D1926" s="10" t="s">
        <v>806</v>
      </c>
      <c r="E1926" s="14">
        <v>1000</v>
      </c>
      <c r="F1926" s="5">
        <v>0</v>
      </c>
      <c r="G1926" s="5">
        <v>0</v>
      </c>
      <c r="H1926" s="10" t="s">
        <v>51</v>
      </c>
      <c r="I1926" s="10" t="s">
        <v>52</v>
      </c>
      <c r="J1926" s="10" t="s">
        <v>30</v>
      </c>
      <c r="K1926" s="10" t="s">
        <v>27</v>
      </c>
      <c r="L1926" s="10" t="s">
        <v>2507</v>
      </c>
    </row>
    <row r="1927" spans="1:12" x14ac:dyDescent="0.35">
      <c r="A1927" s="9">
        <v>1926</v>
      </c>
      <c r="B1927" s="19">
        <v>46086.796840277777</v>
      </c>
      <c r="C1927" s="20">
        <v>46086</v>
      </c>
      <c r="D1927" s="8" t="s">
        <v>394</v>
      </c>
      <c r="E1927" s="3">
        <v>0</v>
      </c>
      <c r="F1927" s="13">
        <v>1000</v>
      </c>
      <c r="G1927" s="3">
        <v>1000</v>
      </c>
      <c r="H1927" s="8" t="s">
        <v>51</v>
      </c>
      <c r="I1927" s="8" t="s">
        <v>71</v>
      </c>
      <c r="J1927" s="8" t="s">
        <v>32</v>
      </c>
      <c r="K1927" s="8" t="s">
        <v>27</v>
      </c>
      <c r="L1927" s="8" t="s">
        <v>2508</v>
      </c>
    </row>
    <row r="1928" spans="1:12" x14ac:dyDescent="0.35">
      <c r="A1928" s="11">
        <v>1927</v>
      </c>
      <c r="B1928" s="17">
        <v>46087.908333333333</v>
      </c>
      <c r="C1928" s="18">
        <v>46087</v>
      </c>
      <c r="D1928" s="10" t="s">
        <v>2509</v>
      </c>
      <c r="E1928" s="5">
        <v>0</v>
      </c>
      <c r="F1928" s="15">
        <v>20000</v>
      </c>
      <c r="G1928" s="5">
        <v>20000</v>
      </c>
      <c r="H1928" s="10" t="s">
        <v>51</v>
      </c>
      <c r="I1928" s="10" t="s">
        <v>71</v>
      </c>
      <c r="J1928" s="10" t="s">
        <v>31</v>
      </c>
      <c r="K1928" s="10" t="s">
        <v>27</v>
      </c>
      <c r="L1928" s="10" t="s">
        <v>2510</v>
      </c>
    </row>
    <row r="1929" spans="1:12" x14ac:dyDescent="0.35">
      <c r="A1929" s="9">
        <v>1928</v>
      </c>
      <c r="B1929" s="19">
        <v>46087.908750000002</v>
      </c>
      <c r="C1929" s="20">
        <v>46087</v>
      </c>
      <c r="D1929" s="8" t="s">
        <v>2511</v>
      </c>
      <c r="E1929" s="12">
        <v>5000</v>
      </c>
      <c r="F1929" s="3">
        <v>0</v>
      </c>
      <c r="G1929" s="3">
        <v>15000</v>
      </c>
      <c r="H1929" s="8" t="s">
        <v>51</v>
      </c>
      <c r="I1929" s="8" t="s">
        <v>52</v>
      </c>
      <c r="J1929" s="8" t="s">
        <v>30</v>
      </c>
      <c r="K1929" s="8" t="s">
        <v>27</v>
      </c>
      <c r="L1929" s="8" t="s">
        <v>2512</v>
      </c>
    </row>
    <row r="1930" spans="1:12" x14ac:dyDescent="0.35">
      <c r="A1930" s="11">
        <v>1929</v>
      </c>
      <c r="B1930" s="17">
        <v>46087.909039351849</v>
      </c>
      <c r="C1930" s="18">
        <v>46087</v>
      </c>
      <c r="D1930" s="10" t="s">
        <v>426</v>
      </c>
      <c r="E1930" s="14">
        <v>15000</v>
      </c>
      <c r="F1930" s="5">
        <v>0</v>
      </c>
      <c r="G1930" s="5">
        <v>0</v>
      </c>
      <c r="H1930" s="10" t="s">
        <v>51</v>
      </c>
      <c r="I1930" s="10" t="s">
        <v>52</v>
      </c>
      <c r="J1930" s="10" t="s">
        <v>32</v>
      </c>
      <c r="K1930" s="10" t="s">
        <v>27</v>
      </c>
      <c r="L1930" s="10" t="s">
        <v>2513</v>
      </c>
    </row>
    <row r="1931" spans="1:12" x14ac:dyDescent="0.35">
      <c r="A1931" s="9">
        <v>1930</v>
      </c>
      <c r="B1931" s="19">
        <v>46087.910127314812</v>
      </c>
      <c r="C1931" s="20">
        <v>46087</v>
      </c>
      <c r="D1931" s="8" t="s">
        <v>2509</v>
      </c>
      <c r="E1931" s="3">
        <v>0</v>
      </c>
      <c r="F1931" s="13">
        <v>20000</v>
      </c>
      <c r="G1931" s="3">
        <v>20000</v>
      </c>
      <c r="H1931" s="8" t="s">
        <v>51</v>
      </c>
      <c r="I1931" s="8" t="s">
        <v>71</v>
      </c>
      <c r="J1931" s="8" t="s">
        <v>31</v>
      </c>
      <c r="K1931" s="8" t="s">
        <v>27</v>
      </c>
      <c r="L1931" s="8" t="s">
        <v>2514</v>
      </c>
    </row>
    <row r="1932" spans="1:12" x14ac:dyDescent="0.35">
      <c r="A1932" s="11">
        <v>1931</v>
      </c>
      <c r="B1932" s="17">
        <v>46087.910844907397</v>
      </c>
      <c r="C1932" s="18">
        <v>46087</v>
      </c>
      <c r="D1932" s="10" t="s">
        <v>426</v>
      </c>
      <c r="E1932" s="14">
        <v>20000</v>
      </c>
      <c r="F1932" s="5">
        <v>0</v>
      </c>
      <c r="G1932" s="5">
        <v>0</v>
      </c>
      <c r="H1932" s="10" t="s">
        <v>51</v>
      </c>
      <c r="I1932" s="10" t="s">
        <v>52</v>
      </c>
      <c r="J1932" s="10" t="s">
        <v>32</v>
      </c>
      <c r="K1932" s="10" t="s">
        <v>27</v>
      </c>
      <c r="L1932" s="10" t="s">
        <v>2515</v>
      </c>
    </row>
    <row r="1933" spans="1:12" x14ac:dyDescent="0.35">
      <c r="A1933" s="9">
        <v>1932</v>
      </c>
      <c r="B1933" s="19">
        <v>46088.347037037027</v>
      </c>
      <c r="C1933" s="20">
        <v>46088</v>
      </c>
      <c r="D1933" s="8" t="s">
        <v>2516</v>
      </c>
      <c r="E1933" s="12">
        <v>1500</v>
      </c>
      <c r="F1933" s="3">
        <v>0</v>
      </c>
      <c r="G1933" s="3">
        <v>0</v>
      </c>
      <c r="H1933" s="8" t="s">
        <v>51</v>
      </c>
      <c r="I1933" s="8" t="s">
        <v>52</v>
      </c>
      <c r="J1933" s="8" t="s">
        <v>30</v>
      </c>
      <c r="K1933" s="8" t="s">
        <v>27</v>
      </c>
      <c r="L1933" s="8" t="s">
        <v>2517</v>
      </c>
    </row>
    <row r="1934" spans="1:12" x14ac:dyDescent="0.35">
      <c r="A1934" s="11">
        <v>1933</v>
      </c>
      <c r="B1934" s="17">
        <v>46088.347199074073</v>
      </c>
      <c r="C1934" s="18">
        <v>46088</v>
      </c>
      <c r="D1934" s="10" t="s">
        <v>394</v>
      </c>
      <c r="E1934" s="5">
        <v>0</v>
      </c>
      <c r="F1934" s="15">
        <v>1500</v>
      </c>
      <c r="G1934" s="5">
        <v>1500</v>
      </c>
      <c r="H1934" s="10" t="s">
        <v>51</v>
      </c>
      <c r="I1934" s="10" t="s">
        <v>71</v>
      </c>
      <c r="J1934" s="10" t="s">
        <v>32</v>
      </c>
      <c r="K1934" s="10" t="s">
        <v>27</v>
      </c>
      <c r="L1934" s="10" t="s">
        <v>2518</v>
      </c>
    </row>
    <row r="1935" spans="1:12" x14ac:dyDescent="0.35">
      <c r="A1935" s="9">
        <v>1934</v>
      </c>
      <c r="B1935" s="19">
        <v>46088.451342592591</v>
      </c>
      <c r="C1935" s="20">
        <v>46088</v>
      </c>
      <c r="D1935" s="8" t="s">
        <v>2519</v>
      </c>
      <c r="E1935" s="12">
        <v>1500</v>
      </c>
      <c r="F1935" s="3">
        <v>0</v>
      </c>
      <c r="G1935" s="3">
        <v>0</v>
      </c>
      <c r="H1935" s="8" t="s">
        <v>51</v>
      </c>
      <c r="I1935" s="8" t="s">
        <v>52</v>
      </c>
      <c r="J1935" s="8" t="s">
        <v>30</v>
      </c>
      <c r="K1935" s="8" t="s">
        <v>27</v>
      </c>
      <c r="L1935" s="8" t="s">
        <v>2520</v>
      </c>
    </row>
    <row r="1936" spans="1:12" x14ac:dyDescent="0.35">
      <c r="A1936" s="11">
        <v>1935</v>
      </c>
      <c r="B1936" s="17">
        <v>46088.451377314806</v>
      </c>
      <c r="C1936" s="18">
        <v>46088</v>
      </c>
      <c r="D1936" s="10" t="s">
        <v>394</v>
      </c>
      <c r="E1936" s="5">
        <v>0</v>
      </c>
      <c r="F1936" s="15">
        <v>1500</v>
      </c>
      <c r="G1936" s="5">
        <v>1500</v>
      </c>
      <c r="H1936" s="10" t="s">
        <v>51</v>
      </c>
      <c r="I1936" s="10" t="s">
        <v>71</v>
      </c>
      <c r="J1936" s="10" t="s">
        <v>32</v>
      </c>
      <c r="K1936" s="10" t="s">
        <v>27</v>
      </c>
      <c r="L1936" s="10" t="s">
        <v>2521</v>
      </c>
    </row>
    <row r="1937" spans="1:12" x14ac:dyDescent="0.35">
      <c r="A1937" s="9">
        <v>1936</v>
      </c>
      <c r="B1937" s="19">
        <v>46088.718206018522</v>
      </c>
      <c r="C1937" s="20">
        <v>46088</v>
      </c>
      <c r="D1937" s="8" t="s">
        <v>394</v>
      </c>
      <c r="E1937" s="3">
        <v>0</v>
      </c>
      <c r="F1937" s="13">
        <v>4000</v>
      </c>
      <c r="G1937" s="3">
        <v>4000</v>
      </c>
      <c r="H1937" s="8" t="s">
        <v>51</v>
      </c>
      <c r="I1937" s="8" t="s">
        <v>71</v>
      </c>
      <c r="J1937" s="8" t="s">
        <v>32</v>
      </c>
      <c r="K1937" s="8" t="s">
        <v>27</v>
      </c>
      <c r="L1937" s="8" t="s">
        <v>2522</v>
      </c>
    </row>
    <row r="1938" spans="1:12" x14ac:dyDescent="0.35">
      <c r="A1938" s="11">
        <v>1937</v>
      </c>
      <c r="B1938" s="17">
        <v>46088.718159722222</v>
      </c>
      <c r="C1938" s="18">
        <v>46088</v>
      </c>
      <c r="D1938" s="10" t="s">
        <v>2523</v>
      </c>
      <c r="E1938" s="14">
        <v>4000</v>
      </c>
      <c r="F1938" s="5">
        <v>0</v>
      </c>
      <c r="G1938" s="5">
        <v>0</v>
      </c>
      <c r="H1938" s="10" t="s">
        <v>51</v>
      </c>
      <c r="I1938" s="10" t="s">
        <v>52</v>
      </c>
      <c r="J1938" s="10" t="s">
        <v>30</v>
      </c>
      <c r="K1938" s="10" t="s">
        <v>27</v>
      </c>
      <c r="L1938" s="10" t="s">
        <v>2524</v>
      </c>
    </row>
  </sheetData>
  <autoFilter ref="A1:L1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67"/>
  <sheetViews>
    <sheetView topLeftCell="E1" workbookViewId="0">
      <pane ySplit="6" topLeftCell="A7" activePane="bottomLeft" state="frozen"/>
      <selection pane="bottomLeft" activeCell="J10" sqref="J10"/>
    </sheetView>
  </sheetViews>
  <sheetFormatPr defaultRowHeight="14.5" x14ac:dyDescent="0.35"/>
  <cols>
    <col min="1" max="1" width="9.1796875" customWidth="1"/>
    <col min="2" max="2" width="20" customWidth="1"/>
    <col min="3" max="3" width="17.08984375" customWidth="1"/>
    <col min="4" max="4" width="55" customWidth="1"/>
    <col min="5" max="6" width="14" customWidth="1"/>
    <col min="7" max="7" width="21.90625" customWidth="1"/>
    <col min="8" max="8" width="13.7265625" customWidth="1"/>
    <col min="9" max="9" width="21.453125" customWidth="1"/>
    <col min="10" max="10" width="16" customWidth="1"/>
    <col min="11" max="11" width="15.81640625" customWidth="1"/>
    <col min="12" max="12" width="35" customWidth="1"/>
  </cols>
  <sheetData>
    <row r="1" spans="1:12" x14ac:dyDescent="0.35">
      <c r="A1" s="16" t="s">
        <v>38</v>
      </c>
      <c r="B1" s="16" t="s">
        <v>39</v>
      </c>
      <c r="C1" s="16" t="s">
        <v>40</v>
      </c>
      <c r="D1" s="16" t="s">
        <v>41</v>
      </c>
      <c r="E1" s="16" t="s">
        <v>42</v>
      </c>
      <c r="F1" s="16" t="s">
        <v>43</v>
      </c>
      <c r="G1" s="16" t="s">
        <v>44</v>
      </c>
      <c r="H1" s="16" t="s">
        <v>45</v>
      </c>
      <c r="I1" s="16" t="s">
        <v>46</v>
      </c>
      <c r="J1" s="16" t="s">
        <v>47</v>
      </c>
      <c r="K1" s="16" t="s">
        <v>48</v>
      </c>
      <c r="L1" s="16" t="s">
        <v>49</v>
      </c>
    </row>
    <row r="2" spans="1:12" x14ac:dyDescent="0.35">
      <c r="A2" s="11">
        <v>1</v>
      </c>
      <c r="B2" s="17">
        <v>45774.527800925927</v>
      </c>
      <c r="C2" s="18">
        <v>45774</v>
      </c>
      <c r="D2" s="10" t="s">
        <v>2525</v>
      </c>
      <c r="E2" s="5">
        <v>0</v>
      </c>
      <c r="F2" s="15">
        <v>11385</v>
      </c>
      <c r="G2" s="5">
        <v>11385</v>
      </c>
      <c r="H2" s="10" t="s">
        <v>51</v>
      </c>
      <c r="I2" s="10" t="s">
        <v>71</v>
      </c>
      <c r="J2" s="10" t="s">
        <v>32</v>
      </c>
      <c r="K2" s="10" t="s">
        <v>16</v>
      </c>
      <c r="L2" s="10" t="s">
        <v>2526</v>
      </c>
    </row>
    <row r="3" spans="1:12" x14ac:dyDescent="0.35">
      <c r="A3" s="9">
        <v>2</v>
      </c>
      <c r="B3" s="19">
        <v>45775.378657407397</v>
      </c>
      <c r="C3" s="20">
        <v>45775</v>
      </c>
      <c r="D3" s="8" t="s">
        <v>394</v>
      </c>
      <c r="E3" s="12">
        <v>2995</v>
      </c>
      <c r="F3" s="3">
        <v>0</v>
      </c>
      <c r="G3" s="3">
        <v>8390</v>
      </c>
      <c r="H3" s="8" t="s">
        <v>51</v>
      </c>
      <c r="I3" s="8" t="s">
        <v>52</v>
      </c>
      <c r="J3" s="8" t="s">
        <v>32</v>
      </c>
      <c r="K3" s="8" t="s">
        <v>16</v>
      </c>
      <c r="L3" s="8" t="s">
        <v>395</v>
      </c>
    </row>
    <row r="4" spans="1:12" x14ac:dyDescent="0.35">
      <c r="A4" s="11">
        <v>3</v>
      </c>
      <c r="B4" s="17">
        <v>45776.161782407413</v>
      </c>
      <c r="C4" s="18">
        <v>45776</v>
      </c>
      <c r="D4" s="10" t="s">
        <v>2527</v>
      </c>
      <c r="E4" s="5">
        <v>0</v>
      </c>
      <c r="F4" s="15">
        <v>2.88</v>
      </c>
      <c r="G4" s="5">
        <v>8392.8799999999992</v>
      </c>
      <c r="H4" s="10" t="s">
        <v>51</v>
      </c>
      <c r="I4" s="10" t="s">
        <v>71</v>
      </c>
      <c r="J4" s="10" t="s">
        <v>32</v>
      </c>
      <c r="K4" s="10" t="s">
        <v>16</v>
      </c>
      <c r="L4" s="10" t="s">
        <v>2528</v>
      </c>
    </row>
    <row r="5" spans="1:12" x14ac:dyDescent="0.35">
      <c r="A5" s="9">
        <v>4</v>
      </c>
      <c r="B5" s="19">
        <v>45777.151458333326</v>
      </c>
      <c r="C5" s="20">
        <v>45777</v>
      </c>
      <c r="D5" s="8" t="s">
        <v>2527</v>
      </c>
      <c r="E5" s="3">
        <v>0</v>
      </c>
      <c r="F5" s="13">
        <v>2.88</v>
      </c>
      <c r="G5" s="3">
        <v>8395.76</v>
      </c>
      <c r="H5" s="8" t="s">
        <v>51</v>
      </c>
      <c r="I5" s="8" t="s">
        <v>71</v>
      </c>
      <c r="J5" s="8" t="s">
        <v>32</v>
      </c>
      <c r="K5" s="8" t="s">
        <v>16</v>
      </c>
      <c r="L5" s="8" t="s">
        <v>2529</v>
      </c>
    </row>
    <row r="6" spans="1:12" x14ac:dyDescent="0.35">
      <c r="A6" s="11">
        <v>5</v>
      </c>
      <c r="B6" s="17">
        <v>45778.154849537037</v>
      </c>
      <c r="C6" s="18">
        <v>45778</v>
      </c>
      <c r="D6" s="10" t="s">
        <v>2527</v>
      </c>
      <c r="E6" s="5">
        <v>0</v>
      </c>
      <c r="F6" s="15">
        <v>2.88</v>
      </c>
      <c r="G6" s="5">
        <v>8398.64</v>
      </c>
      <c r="H6" s="10" t="s">
        <v>51</v>
      </c>
      <c r="I6" s="10" t="s">
        <v>71</v>
      </c>
      <c r="J6" s="10" t="s">
        <v>32</v>
      </c>
      <c r="K6" s="10" t="s">
        <v>17</v>
      </c>
      <c r="L6" s="10" t="s">
        <v>2530</v>
      </c>
    </row>
    <row r="7" spans="1:12" x14ac:dyDescent="0.35">
      <c r="A7" s="9">
        <v>6</v>
      </c>
      <c r="B7" s="19">
        <v>45778.694479166668</v>
      </c>
      <c r="C7" s="20">
        <v>45778</v>
      </c>
      <c r="D7" s="8" t="s">
        <v>394</v>
      </c>
      <c r="E7" s="12">
        <v>350</v>
      </c>
      <c r="F7" s="3">
        <v>0</v>
      </c>
      <c r="G7" s="3">
        <v>8048.64</v>
      </c>
      <c r="H7" s="8" t="s">
        <v>51</v>
      </c>
      <c r="I7" s="8" t="s">
        <v>52</v>
      </c>
      <c r="J7" s="8" t="s">
        <v>32</v>
      </c>
      <c r="K7" s="8" t="s">
        <v>17</v>
      </c>
      <c r="L7" s="8" t="s">
        <v>398</v>
      </c>
    </row>
    <row r="8" spans="1:12" x14ac:dyDescent="0.35">
      <c r="A8" s="11">
        <v>7</v>
      </c>
      <c r="B8" s="17">
        <v>45778.719282407408</v>
      </c>
      <c r="C8" s="18">
        <v>45778</v>
      </c>
      <c r="D8" s="10" t="s">
        <v>394</v>
      </c>
      <c r="E8" s="14">
        <v>2000</v>
      </c>
      <c r="F8" s="5">
        <v>0</v>
      </c>
      <c r="G8" s="5">
        <v>6048.64</v>
      </c>
      <c r="H8" s="10" t="s">
        <v>51</v>
      </c>
      <c r="I8" s="10" t="s">
        <v>52</v>
      </c>
      <c r="J8" s="10" t="s">
        <v>32</v>
      </c>
      <c r="K8" s="10" t="s">
        <v>17</v>
      </c>
      <c r="L8" s="10" t="s">
        <v>400</v>
      </c>
    </row>
    <row r="9" spans="1:12" x14ac:dyDescent="0.35">
      <c r="A9" s="9">
        <v>8</v>
      </c>
      <c r="B9" s="19">
        <v>45779.145543981482</v>
      </c>
      <c r="C9" s="20">
        <v>45779</v>
      </c>
      <c r="D9" s="8" t="s">
        <v>2527</v>
      </c>
      <c r="E9" s="3">
        <v>0</v>
      </c>
      <c r="F9" s="13">
        <v>2.0699999999999998</v>
      </c>
      <c r="G9" s="3">
        <v>6050.71</v>
      </c>
      <c r="H9" s="8" t="s">
        <v>51</v>
      </c>
      <c r="I9" s="8" t="s">
        <v>71</v>
      </c>
      <c r="J9" s="8" t="s">
        <v>32</v>
      </c>
      <c r="K9" s="8" t="s">
        <v>17</v>
      </c>
      <c r="L9" s="8" t="s">
        <v>2531</v>
      </c>
    </row>
    <row r="10" spans="1:12" x14ac:dyDescent="0.35">
      <c r="A10" s="11">
        <v>9</v>
      </c>
      <c r="B10" s="17">
        <v>45779.392488425918</v>
      </c>
      <c r="C10" s="18">
        <v>45779</v>
      </c>
      <c r="D10" s="10" t="s">
        <v>394</v>
      </c>
      <c r="E10" s="14">
        <v>750</v>
      </c>
      <c r="F10" s="5">
        <v>0</v>
      </c>
      <c r="G10" s="5">
        <v>5300.71</v>
      </c>
      <c r="H10" s="10" t="s">
        <v>51</v>
      </c>
      <c r="I10" s="10" t="s">
        <v>52</v>
      </c>
      <c r="J10" s="10" t="s">
        <v>32</v>
      </c>
      <c r="K10" s="10" t="s">
        <v>17</v>
      </c>
      <c r="L10" s="10" t="s">
        <v>403</v>
      </c>
    </row>
    <row r="11" spans="1:12" x14ac:dyDescent="0.35">
      <c r="A11" s="9">
        <v>10</v>
      </c>
      <c r="B11" s="19">
        <v>45779.502118055563</v>
      </c>
      <c r="C11" s="20">
        <v>45779</v>
      </c>
      <c r="D11" s="8" t="s">
        <v>394</v>
      </c>
      <c r="E11" s="12">
        <v>3100</v>
      </c>
      <c r="F11" s="3">
        <v>0</v>
      </c>
      <c r="G11" s="3">
        <v>2200.71</v>
      </c>
      <c r="H11" s="8" t="s">
        <v>51</v>
      </c>
      <c r="I11" s="8" t="s">
        <v>52</v>
      </c>
      <c r="J11" s="8" t="s">
        <v>32</v>
      </c>
      <c r="K11" s="8" t="s">
        <v>17</v>
      </c>
      <c r="L11" s="8" t="s">
        <v>406</v>
      </c>
    </row>
    <row r="12" spans="1:12" x14ac:dyDescent="0.35">
      <c r="A12" s="11">
        <v>11</v>
      </c>
      <c r="B12" s="17">
        <v>45780.141759259262</v>
      </c>
      <c r="C12" s="18">
        <v>45780</v>
      </c>
      <c r="D12" s="10" t="s">
        <v>2527</v>
      </c>
      <c r="E12" s="5">
        <v>0</v>
      </c>
      <c r="F12" s="15">
        <v>0.75</v>
      </c>
      <c r="G12" s="5">
        <v>2201.46</v>
      </c>
      <c r="H12" s="10" t="s">
        <v>51</v>
      </c>
      <c r="I12" s="10" t="s">
        <v>71</v>
      </c>
      <c r="J12" s="10" t="s">
        <v>32</v>
      </c>
      <c r="K12" s="10" t="s">
        <v>17</v>
      </c>
      <c r="L12" s="10" t="s">
        <v>2532</v>
      </c>
    </row>
    <row r="13" spans="1:12" x14ac:dyDescent="0.35">
      <c r="A13" s="9">
        <v>12</v>
      </c>
      <c r="B13" s="19">
        <v>45781.146481481483</v>
      </c>
      <c r="C13" s="20">
        <v>45781</v>
      </c>
      <c r="D13" s="8" t="s">
        <v>2527</v>
      </c>
      <c r="E13" s="3">
        <v>0</v>
      </c>
      <c r="F13" s="13">
        <v>0.75</v>
      </c>
      <c r="G13" s="3">
        <v>2202.21</v>
      </c>
      <c r="H13" s="8" t="s">
        <v>51</v>
      </c>
      <c r="I13" s="8" t="s">
        <v>71</v>
      </c>
      <c r="J13" s="8" t="s">
        <v>32</v>
      </c>
      <c r="K13" s="8" t="s">
        <v>17</v>
      </c>
      <c r="L13" s="8" t="s">
        <v>2533</v>
      </c>
    </row>
    <row r="14" spans="1:12" x14ac:dyDescent="0.35">
      <c r="A14" s="11">
        <v>13</v>
      </c>
      <c r="B14" s="17">
        <v>45782.141446759262</v>
      </c>
      <c r="C14" s="18">
        <v>45782</v>
      </c>
      <c r="D14" s="10" t="s">
        <v>2527</v>
      </c>
      <c r="E14" s="5">
        <v>0</v>
      </c>
      <c r="F14" s="15">
        <v>0.75</v>
      </c>
      <c r="G14" s="5">
        <v>2202.96</v>
      </c>
      <c r="H14" s="10" t="s">
        <v>51</v>
      </c>
      <c r="I14" s="10" t="s">
        <v>71</v>
      </c>
      <c r="J14" s="10" t="s">
        <v>32</v>
      </c>
      <c r="K14" s="10" t="s">
        <v>17</v>
      </c>
      <c r="L14" s="10" t="s">
        <v>2534</v>
      </c>
    </row>
    <row r="15" spans="1:12" x14ac:dyDescent="0.35">
      <c r="A15" s="9">
        <v>14</v>
      </c>
      <c r="B15" s="19">
        <v>45782.388993055552</v>
      </c>
      <c r="C15" s="20">
        <v>45782</v>
      </c>
      <c r="D15" s="8" t="s">
        <v>394</v>
      </c>
      <c r="E15" s="12">
        <v>500</v>
      </c>
      <c r="F15" s="3">
        <v>0</v>
      </c>
      <c r="G15" s="3">
        <v>1702.96</v>
      </c>
      <c r="H15" s="8" t="s">
        <v>51</v>
      </c>
      <c r="I15" s="8" t="s">
        <v>52</v>
      </c>
      <c r="J15" s="8" t="s">
        <v>32</v>
      </c>
      <c r="K15" s="8" t="s">
        <v>17</v>
      </c>
      <c r="L15" s="8" t="s">
        <v>408</v>
      </c>
    </row>
    <row r="16" spans="1:12" x14ac:dyDescent="0.35">
      <c r="A16" s="11">
        <v>15</v>
      </c>
      <c r="B16" s="17">
        <v>45783.138287037043</v>
      </c>
      <c r="C16" s="18">
        <v>45783</v>
      </c>
      <c r="D16" s="10" t="s">
        <v>2527</v>
      </c>
      <c r="E16" s="5">
        <v>0</v>
      </c>
      <c r="F16" s="15">
        <v>0.57999999999999996</v>
      </c>
      <c r="G16" s="5">
        <v>1703.54</v>
      </c>
      <c r="H16" s="10" t="s">
        <v>51</v>
      </c>
      <c r="I16" s="10" t="s">
        <v>71</v>
      </c>
      <c r="J16" s="10" t="s">
        <v>32</v>
      </c>
      <c r="K16" s="10" t="s">
        <v>17</v>
      </c>
      <c r="L16" s="10" t="s">
        <v>2535</v>
      </c>
    </row>
    <row r="17" spans="1:12" x14ac:dyDescent="0.35">
      <c r="A17" s="9">
        <v>16</v>
      </c>
      <c r="B17" s="19">
        <v>45784.147939814808</v>
      </c>
      <c r="C17" s="20">
        <v>45784</v>
      </c>
      <c r="D17" s="8" t="s">
        <v>2527</v>
      </c>
      <c r="E17" s="3">
        <v>0</v>
      </c>
      <c r="F17" s="13">
        <v>0.57999999999999996</v>
      </c>
      <c r="G17" s="3">
        <v>1704.12</v>
      </c>
      <c r="H17" s="8" t="s">
        <v>51</v>
      </c>
      <c r="I17" s="8" t="s">
        <v>71</v>
      </c>
      <c r="J17" s="8" t="s">
        <v>32</v>
      </c>
      <c r="K17" s="8" t="s">
        <v>17</v>
      </c>
      <c r="L17" s="8" t="s">
        <v>2536</v>
      </c>
    </row>
    <row r="18" spans="1:12" x14ac:dyDescent="0.35">
      <c r="A18" s="11">
        <v>17</v>
      </c>
      <c r="B18" s="17">
        <v>45784.404050925928</v>
      </c>
      <c r="C18" s="18">
        <v>45784</v>
      </c>
      <c r="D18" s="10" t="s">
        <v>394</v>
      </c>
      <c r="E18" s="14">
        <v>50</v>
      </c>
      <c r="F18" s="5">
        <v>0</v>
      </c>
      <c r="G18" s="5">
        <v>1654.12</v>
      </c>
      <c r="H18" s="10" t="s">
        <v>51</v>
      </c>
      <c r="I18" s="10" t="s">
        <v>52</v>
      </c>
      <c r="J18" s="10" t="s">
        <v>32</v>
      </c>
      <c r="K18" s="10" t="s">
        <v>17</v>
      </c>
      <c r="L18" s="10" t="s">
        <v>412</v>
      </c>
    </row>
    <row r="19" spans="1:12" x14ac:dyDescent="0.35">
      <c r="A19" s="9">
        <v>18</v>
      </c>
      <c r="B19" s="19">
        <v>45785.142997685187</v>
      </c>
      <c r="C19" s="20">
        <v>45785</v>
      </c>
      <c r="D19" s="8" t="s">
        <v>2527</v>
      </c>
      <c r="E19" s="3">
        <v>0</v>
      </c>
      <c r="F19" s="13">
        <v>0.56000000000000005</v>
      </c>
      <c r="G19" s="3">
        <v>1654.68</v>
      </c>
      <c r="H19" s="8" t="s">
        <v>51</v>
      </c>
      <c r="I19" s="8" t="s">
        <v>71</v>
      </c>
      <c r="J19" s="8" t="s">
        <v>32</v>
      </c>
      <c r="K19" s="8" t="s">
        <v>17</v>
      </c>
      <c r="L19" s="8" t="s">
        <v>2537</v>
      </c>
    </row>
    <row r="20" spans="1:12" x14ac:dyDescent="0.35">
      <c r="A20" s="11">
        <v>19</v>
      </c>
      <c r="B20" s="17">
        <v>45786.148530092592</v>
      </c>
      <c r="C20" s="18">
        <v>45786</v>
      </c>
      <c r="D20" s="10" t="s">
        <v>2527</v>
      </c>
      <c r="E20" s="5">
        <v>0</v>
      </c>
      <c r="F20" s="15">
        <v>0.56000000000000005</v>
      </c>
      <c r="G20" s="5">
        <v>1655.24</v>
      </c>
      <c r="H20" s="10" t="s">
        <v>51</v>
      </c>
      <c r="I20" s="10" t="s">
        <v>71</v>
      </c>
      <c r="J20" s="10" t="s">
        <v>32</v>
      </c>
      <c r="K20" s="10" t="s">
        <v>17</v>
      </c>
      <c r="L20" s="10" t="s">
        <v>2538</v>
      </c>
    </row>
    <row r="21" spans="1:12" x14ac:dyDescent="0.35">
      <c r="A21" s="9">
        <v>20</v>
      </c>
      <c r="B21" s="19">
        <v>45786.313194444447</v>
      </c>
      <c r="C21" s="20">
        <v>45786</v>
      </c>
      <c r="D21" s="8" t="s">
        <v>394</v>
      </c>
      <c r="E21" s="12">
        <v>10</v>
      </c>
      <c r="F21" s="3">
        <v>0</v>
      </c>
      <c r="G21" s="3">
        <v>1645.24</v>
      </c>
      <c r="H21" s="8" t="s">
        <v>51</v>
      </c>
      <c r="I21" s="8" t="s">
        <v>52</v>
      </c>
      <c r="J21" s="8" t="s">
        <v>32</v>
      </c>
      <c r="K21" s="8" t="s">
        <v>17</v>
      </c>
      <c r="L21" s="8" t="s">
        <v>413</v>
      </c>
    </row>
    <row r="22" spans="1:12" x14ac:dyDescent="0.35">
      <c r="A22" s="11">
        <v>21</v>
      </c>
      <c r="B22" s="17">
        <v>45786.313923611109</v>
      </c>
      <c r="C22" s="18">
        <v>45786</v>
      </c>
      <c r="D22" s="10" t="s">
        <v>394</v>
      </c>
      <c r="E22" s="14">
        <v>200</v>
      </c>
      <c r="F22" s="5">
        <v>0</v>
      </c>
      <c r="G22" s="5">
        <v>1445.24</v>
      </c>
      <c r="H22" s="10" t="s">
        <v>51</v>
      </c>
      <c r="I22" s="10" t="s">
        <v>52</v>
      </c>
      <c r="J22" s="10" t="s">
        <v>32</v>
      </c>
      <c r="K22" s="10" t="s">
        <v>17</v>
      </c>
      <c r="L22" s="10" t="s">
        <v>416</v>
      </c>
    </row>
    <row r="23" spans="1:12" x14ac:dyDescent="0.35">
      <c r="A23" s="9">
        <v>22</v>
      </c>
      <c r="B23" s="19">
        <v>45786.930590277778</v>
      </c>
      <c r="C23" s="20">
        <v>45786</v>
      </c>
      <c r="D23" s="8" t="s">
        <v>426</v>
      </c>
      <c r="E23" s="3">
        <v>0</v>
      </c>
      <c r="F23" s="13">
        <v>50850</v>
      </c>
      <c r="G23" s="3">
        <v>52295.24</v>
      </c>
      <c r="H23" s="8" t="s">
        <v>51</v>
      </c>
      <c r="I23" s="8" t="s">
        <v>71</v>
      </c>
      <c r="J23" s="8" t="s">
        <v>32</v>
      </c>
      <c r="K23" s="8" t="s">
        <v>17</v>
      </c>
      <c r="L23" s="8" t="s">
        <v>427</v>
      </c>
    </row>
    <row r="24" spans="1:12" x14ac:dyDescent="0.35">
      <c r="A24" s="11">
        <v>23</v>
      </c>
      <c r="B24" s="17">
        <v>45787.142557870371</v>
      </c>
      <c r="C24" s="18">
        <v>45787</v>
      </c>
      <c r="D24" s="10" t="s">
        <v>2527</v>
      </c>
      <c r="E24" s="5">
        <v>0</v>
      </c>
      <c r="F24" s="15">
        <v>0.49</v>
      </c>
      <c r="G24" s="5">
        <v>52295.73</v>
      </c>
      <c r="H24" s="10" t="s">
        <v>51</v>
      </c>
      <c r="I24" s="10" t="s">
        <v>71</v>
      </c>
      <c r="J24" s="10" t="s">
        <v>32</v>
      </c>
      <c r="K24" s="10" t="s">
        <v>17</v>
      </c>
      <c r="L24" s="10" t="s">
        <v>2539</v>
      </c>
    </row>
    <row r="25" spans="1:12" x14ac:dyDescent="0.35">
      <c r="A25" s="9">
        <v>24</v>
      </c>
      <c r="B25" s="19">
        <v>45787.37394675926</v>
      </c>
      <c r="C25" s="20">
        <v>45787</v>
      </c>
      <c r="D25" s="8" t="s">
        <v>394</v>
      </c>
      <c r="E25" s="12">
        <v>900</v>
      </c>
      <c r="F25" s="3">
        <v>0</v>
      </c>
      <c r="G25" s="3">
        <v>51395.73</v>
      </c>
      <c r="H25" s="8" t="s">
        <v>51</v>
      </c>
      <c r="I25" s="8" t="s">
        <v>52</v>
      </c>
      <c r="J25" s="8" t="s">
        <v>32</v>
      </c>
      <c r="K25" s="8" t="s">
        <v>17</v>
      </c>
      <c r="L25" s="8" t="s">
        <v>429</v>
      </c>
    </row>
    <row r="26" spans="1:12" x14ac:dyDescent="0.35">
      <c r="A26" s="11">
        <v>25</v>
      </c>
      <c r="B26" s="17">
        <v>45787.417129629634</v>
      </c>
      <c r="C26" s="18">
        <v>45787</v>
      </c>
      <c r="D26" s="10" t="s">
        <v>394</v>
      </c>
      <c r="E26" s="14">
        <v>7000</v>
      </c>
      <c r="F26" s="5">
        <v>0</v>
      </c>
      <c r="G26" s="5">
        <v>44395.73</v>
      </c>
      <c r="H26" s="10" t="s">
        <v>51</v>
      </c>
      <c r="I26" s="10" t="s">
        <v>52</v>
      </c>
      <c r="J26" s="10" t="s">
        <v>32</v>
      </c>
      <c r="K26" s="10" t="s">
        <v>17</v>
      </c>
      <c r="L26" s="10" t="s">
        <v>432</v>
      </c>
    </row>
    <row r="27" spans="1:12" x14ac:dyDescent="0.35">
      <c r="A27" s="9">
        <v>26</v>
      </c>
      <c r="B27" s="19">
        <v>45787.658217592587</v>
      </c>
      <c r="C27" s="20">
        <v>45787</v>
      </c>
      <c r="D27" s="8" t="s">
        <v>394</v>
      </c>
      <c r="E27" s="12">
        <v>6000</v>
      </c>
      <c r="F27" s="3">
        <v>0</v>
      </c>
      <c r="G27" s="3">
        <v>38395.730000000003</v>
      </c>
      <c r="H27" s="8" t="s">
        <v>51</v>
      </c>
      <c r="I27" s="8" t="s">
        <v>52</v>
      </c>
      <c r="J27" s="8" t="s">
        <v>32</v>
      </c>
      <c r="K27" s="8" t="s">
        <v>17</v>
      </c>
      <c r="L27" s="8" t="s">
        <v>435</v>
      </c>
    </row>
    <row r="28" spans="1:12" x14ac:dyDescent="0.35">
      <c r="A28" s="11">
        <v>27</v>
      </c>
      <c r="B28" s="17">
        <v>45788.15179398148</v>
      </c>
      <c r="C28" s="18">
        <v>45788</v>
      </c>
      <c r="D28" s="10" t="s">
        <v>2527</v>
      </c>
      <c r="E28" s="5">
        <v>0</v>
      </c>
      <c r="F28" s="15">
        <v>13.23</v>
      </c>
      <c r="G28" s="5">
        <v>38408.959999999999</v>
      </c>
      <c r="H28" s="10" t="s">
        <v>51</v>
      </c>
      <c r="I28" s="10" t="s">
        <v>71</v>
      </c>
      <c r="J28" s="10" t="s">
        <v>32</v>
      </c>
      <c r="K28" s="10" t="s">
        <v>17</v>
      </c>
      <c r="L28" s="10" t="s">
        <v>2540</v>
      </c>
    </row>
    <row r="29" spans="1:12" x14ac:dyDescent="0.35">
      <c r="A29" s="9">
        <v>28</v>
      </c>
      <c r="B29" s="19">
        <v>45789.147986111107</v>
      </c>
      <c r="C29" s="20">
        <v>45789</v>
      </c>
      <c r="D29" s="8" t="s">
        <v>2527</v>
      </c>
      <c r="E29" s="3">
        <v>0</v>
      </c>
      <c r="F29" s="13">
        <v>13.23</v>
      </c>
      <c r="G29" s="3">
        <v>38422.19</v>
      </c>
      <c r="H29" s="8" t="s">
        <v>51</v>
      </c>
      <c r="I29" s="8" t="s">
        <v>71</v>
      </c>
      <c r="J29" s="8" t="s">
        <v>32</v>
      </c>
      <c r="K29" s="8" t="s">
        <v>17</v>
      </c>
      <c r="L29" s="8" t="s">
        <v>2541</v>
      </c>
    </row>
    <row r="30" spans="1:12" x14ac:dyDescent="0.35">
      <c r="A30" s="11">
        <v>29</v>
      </c>
      <c r="B30" s="17">
        <v>45789.36996527778</v>
      </c>
      <c r="C30" s="18">
        <v>45789</v>
      </c>
      <c r="D30" s="10" t="s">
        <v>394</v>
      </c>
      <c r="E30" s="14">
        <v>3100</v>
      </c>
      <c r="F30" s="5">
        <v>0</v>
      </c>
      <c r="G30" s="5">
        <v>35322.19</v>
      </c>
      <c r="H30" s="10" t="s">
        <v>51</v>
      </c>
      <c r="I30" s="10" t="s">
        <v>52</v>
      </c>
      <c r="J30" s="10" t="s">
        <v>32</v>
      </c>
      <c r="K30" s="10" t="s">
        <v>17</v>
      </c>
      <c r="L30" s="10" t="s">
        <v>438</v>
      </c>
    </row>
    <row r="31" spans="1:12" x14ac:dyDescent="0.35">
      <c r="A31" s="9">
        <v>30</v>
      </c>
      <c r="B31" s="19">
        <v>45789.422615740739</v>
      </c>
      <c r="C31" s="20">
        <v>45789</v>
      </c>
      <c r="D31" s="8" t="s">
        <v>394</v>
      </c>
      <c r="E31" s="12">
        <v>2000</v>
      </c>
      <c r="F31" s="3">
        <v>0</v>
      </c>
      <c r="G31" s="3">
        <v>33322.19</v>
      </c>
      <c r="H31" s="8" t="s">
        <v>51</v>
      </c>
      <c r="I31" s="8" t="s">
        <v>52</v>
      </c>
      <c r="J31" s="8" t="s">
        <v>32</v>
      </c>
      <c r="K31" s="8" t="s">
        <v>17</v>
      </c>
      <c r="L31" s="8" t="s">
        <v>441</v>
      </c>
    </row>
    <row r="32" spans="1:12" x14ac:dyDescent="0.35">
      <c r="A32" s="11">
        <v>31</v>
      </c>
      <c r="B32" s="17">
        <v>45789.530810185177</v>
      </c>
      <c r="C32" s="18">
        <v>45789</v>
      </c>
      <c r="D32" s="10" t="s">
        <v>394</v>
      </c>
      <c r="E32" s="14">
        <v>2100</v>
      </c>
      <c r="F32" s="5">
        <v>0</v>
      </c>
      <c r="G32" s="5">
        <v>31222.19</v>
      </c>
      <c r="H32" s="10" t="s">
        <v>51</v>
      </c>
      <c r="I32" s="10" t="s">
        <v>52</v>
      </c>
      <c r="J32" s="10" t="s">
        <v>32</v>
      </c>
      <c r="K32" s="10" t="s">
        <v>17</v>
      </c>
      <c r="L32" s="10" t="s">
        <v>444</v>
      </c>
    </row>
    <row r="33" spans="1:12" x14ac:dyDescent="0.35">
      <c r="A33" s="9">
        <v>32</v>
      </c>
      <c r="B33" s="19">
        <v>45789.740995370368</v>
      </c>
      <c r="C33" s="20">
        <v>45789</v>
      </c>
      <c r="D33" s="8" t="s">
        <v>394</v>
      </c>
      <c r="E33" s="12">
        <v>15000</v>
      </c>
      <c r="F33" s="3">
        <v>0</v>
      </c>
      <c r="G33" s="3">
        <v>16222.19</v>
      </c>
      <c r="H33" s="8" t="s">
        <v>51</v>
      </c>
      <c r="I33" s="8" t="s">
        <v>52</v>
      </c>
      <c r="J33" s="8" t="s">
        <v>32</v>
      </c>
      <c r="K33" s="8" t="s">
        <v>17</v>
      </c>
      <c r="L33" s="8" t="s">
        <v>446</v>
      </c>
    </row>
    <row r="34" spans="1:12" x14ac:dyDescent="0.35">
      <c r="A34" s="11">
        <v>33</v>
      </c>
      <c r="B34" s="17">
        <v>45790.151921296303</v>
      </c>
      <c r="C34" s="18">
        <v>45790</v>
      </c>
      <c r="D34" s="10" t="s">
        <v>2527</v>
      </c>
      <c r="E34" s="5">
        <v>0</v>
      </c>
      <c r="F34" s="15">
        <v>5.58</v>
      </c>
      <c r="G34" s="5">
        <v>16227.77</v>
      </c>
      <c r="H34" s="10" t="s">
        <v>51</v>
      </c>
      <c r="I34" s="10" t="s">
        <v>71</v>
      </c>
      <c r="J34" s="10" t="s">
        <v>32</v>
      </c>
      <c r="K34" s="10" t="s">
        <v>17</v>
      </c>
      <c r="L34" s="10" t="s">
        <v>2542</v>
      </c>
    </row>
    <row r="35" spans="1:12" x14ac:dyDescent="0.35">
      <c r="A35" s="9">
        <v>34</v>
      </c>
      <c r="B35" s="19">
        <v>45790.361168981479</v>
      </c>
      <c r="C35" s="20">
        <v>45790</v>
      </c>
      <c r="D35" s="8" t="s">
        <v>394</v>
      </c>
      <c r="E35" s="12">
        <v>1500</v>
      </c>
      <c r="F35" s="3">
        <v>0</v>
      </c>
      <c r="G35" s="3">
        <v>14727.77</v>
      </c>
      <c r="H35" s="8" t="s">
        <v>51</v>
      </c>
      <c r="I35" s="8" t="s">
        <v>52</v>
      </c>
      <c r="J35" s="8" t="s">
        <v>32</v>
      </c>
      <c r="K35" s="8" t="s">
        <v>17</v>
      </c>
      <c r="L35" s="8" t="s">
        <v>449</v>
      </c>
    </row>
    <row r="36" spans="1:12" x14ac:dyDescent="0.35">
      <c r="A36" s="11">
        <v>35</v>
      </c>
      <c r="B36" s="17">
        <v>45790.930555555547</v>
      </c>
      <c r="C36" s="18">
        <v>45790</v>
      </c>
      <c r="D36" s="10" t="s">
        <v>426</v>
      </c>
      <c r="E36" s="5">
        <v>0</v>
      </c>
      <c r="F36" s="15">
        <v>17022.25</v>
      </c>
      <c r="G36" s="5">
        <v>31750.02</v>
      </c>
      <c r="H36" s="10" t="s">
        <v>51</v>
      </c>
      <c r="I36" s="10" t="s">
        <v>71</v>
      </c>
      <c r="J36" s="10" t="s">
        <v>32</v>
      </c>
      <c r="K36" s="10" t="s">
        <v>17</v>
      </c>
      <c r="L36" s="10" t="s">
        <v>457</v>
      </c>
    </row>
    <row r="37" spans="1:12" x14ac:dyDescent="0.35">
      <c r="A37" s="9">
        <v>36</v>
      </c>
      <c r="B37" s="19">
        <v>45791.151643518519</v>
      </c>
      <c r="C37" s="20">
        <v>45791</v>
      </c>
      <c r="D37" s="8" t="s">
        <v>2527</v>
      </c>
      <c r="E37" s="3">
        <v>0</v>
      </c>
      <c r="F37" s="13">
        <v>5.07</v>
      </c>
      <c r="G37" s="3">
        <v>31755.09</v>
      </c>
      <c r="H37" s="8" t="s">
        <v>51</v>
      </c>
      <c r="I37" s="8" t="s">
        <v>71</v>
      </c>
      <c r="J37" s="8" t="s">
        <v>32</v>
      </c>
      <c r="K37" s="8" t="s">
        <v>17</v>
      </c>
      <c r="L37" s="8" t="s">
        <v>2543</v>
      </c>
    </row>
    <row r="38" spans="1:12" x14ac:dyDescent="0.35">
      <c r="A38" s="11">
        <v>37</v>
      </c>
      <c r="B38" s="17">
        <v>45791.593553240738</v>
      </c>
      <c r="C38" s="18">
        <v>45791</v>
      </c>
      <c r="D38" s="10" t="s">
        <v>394</v>
      </c>
      <c r="E38" s="14">
        <v>2500</v>
      </c>
      <c r="F38" s="5">
        <v>0</v>
      </c>
      <c r="G38" s="5">
        <v>29255.09</v>
      </c>
      <c r="H38" s="10" t="s">
        <v>51</v>
      </c>
      <c r="I38" s="10" t="s">
        <v>52</v>
      </c>
      <c r="J38" s="10" t="s">
        <v>32</v>
      </c>
      <c r="K38" s="10" t="s">
        <v>17</v>
      </c>
      <c r="L38" s="10" t="s">
        <v>460</v>
      </c>
    </row>
    <row r="39" spans="1:12" x14ac:dyDescent="0.35">
      <c r="A39" s="9">
        <v>38</v>
      </c>
      <c r="B39" s="19">
        <v>45791.624722222223</v>
      </c>
      <c r="C39" s="20">
        <v>45791</v>
      </c>
      <c r="D39" s="8" t="s">
        <v>394</v>
      </c>
      <c r="E39" s="12">
        <v>1650</v>
      </c>
      <c r="F39" s="3">
        <v>0</v>
      </c>
      <c r="G39" s="3">
        <v>27605.09</v>
      </c>
      <c r="H39" s="8" t="s">
        <v>51</v>
      </c>
      <c r="I39" s="8" t="s">
        <v>52</v>
      </c>
      <c r="J39" s="8" t="s">
        <v>32</v>
      </c>
      <c r="K39" s="8" t="s">
        <v>17</v>
      </c>
      <c r="L39" s="8" t="s">
        <v>463</v>
      </c>
    </row>
    <row r="40" spans="1:12" x14ac:dyDescent="0.35">
      <c r="A40" s="11">
        <v>39</v>
      </c>
      <c r="B40" s="17">
        <v>45791.726793981477</v>
      </c>
      <c r="C40" s="18">
        <v>45791</v>
      </c>
      <c r="D40" s="10" t="s">
        <v>394</v>
      </c>
      <c r="E40" s="14">
        <v>3100</v>
      </c>
      <c r="F40" s="5">
        <v>0</v>
      </c>
      <c r="G40" s="5">
        <v>24505.09</v>
      </c>
      <c r="H40" s="10" t="s">
        <v>51</v>
      </c>
      <c r="I40" s="10" t="s">
        <v>52</v>
      </c>
      <c r="J40" s="10" t="s">
        <v>32</v>
      </c>
      <c r="K40" s="10" t="s">
        <v>17</v>
      </c>
      <c r="L40" s="10" t="s">
        <v>466</v>
      </c>
    </row>
    <row r="41" spans="1:12" x14ac:dyDescent="0.35">
      <c r="A41" s="9">
        <v>40</v>
      </c>
      <c r="B41" s="19">
        <v>45792.150659722232</v>
      </c>
      <c r="C41" s="20">
        <v>45792</v>
      </c>
      <c r="D41" s="8" t="s">
        <v>2527</v>
      </c>
      <c r="E41" s="3">
        <v>0</v>
      </c>
      <c r="F41" s="13">
        <v>8.44</v>
      </c>
      <c r="G41" s="3">
        <v>24513.53</v>
      </c>
      <c r="H41" s="8" t="s">
        <v>51</v>
      </c>
      <c r="I41" s="8" t="s">
        <v>71</v>
      </c>
      <c r="J41" s="8" t="s">
        <v>32</v>
      </c>
      <c r="K41" s="8" t="s">
        <v>17</v>
      </c>
      <c r="L41" s="8" t="s">
        <v>2544</v>
      </c>
    </row>
    <row r="42" spans="1:12" x14ac:dyDescent="0.35">
      <c r="A42" s="11">
        <v>41</v>
      </c>
      <c r="B42" s="17">
        <v>45792.352233796293</v>
      </c>
      <c r="C42" s="18">
        <v>45792</v>
      </c>
      <c r="D42" s="10" t="s">
        <v>394</v>
      </c>
      <c r="E42" s="14">
        <v>500</v>
      </c>
      <c r="F42" s="5">
        <v>0</v>
      </c>
      <c r="G42" s="5">
        <v>24013.53</v>
      </c>
      <c r="H42" s="10" t="s">
        <v>51</v>
      </c>
      <c r="I42" s="10" t="s">
        <v>52</v>
      </c>
      <c r="J42" s="10" t="s">
        <v>32</v>
      </c>
      <c r="K42" s="10" t="s">
        <v>17</v>
      </c>
      <c r="L42" s="10" t="s">
        <v>468</v>
      </c>
    </row>
    <row r="43" spans="1:12" x14ac:dyDescent="0.35">
      <c r="A43" s="9">
        <v>42</v>
      </c>
      <c r="B43" s="19">
        <v>45792.882928240739</v>
      </c>
      <c r="C43" s="20">
        <v>45792</v>
      </c>
      <c r="D43" s="8" t="s">
        <v>394</v>
      </c>
      <c r="E43" s="12">
        <v>1010.75</v>
      </c>
      <c r="F43" s="3">
        <v>0</v>
      </c>
      <c r="G43" s="3">
        <v>23002.78</v>
      </c>
      <c r="H43" s="8" t="s">
        <v>51</v>
      </c>
      <c r="I43" s="8" t="s">
        <v>52</v>
      </c>
      <c r="J43" s="8" t="s">
        <v>32</v>
      </c>
      <c r="K43" s="8" t="s">
        <v>17</v>
      </c>
      <c r="L43" s="8" t="s">
        <v>471</v>
      </c>
    </row>
    <row r="44" spans="1:12" x14ac:dyDescent="0.35">
      <c r="A44" s="11">
        <v>43</v>
      </c>
      <c r="B44" s="17">
        <v>45792.886840277781</v>
      </c>
      <c r="C44" s="18">
        <v>45792</v>
      </c>
      <c r="D44" s="10" t="s">
        <v>394</v>
      </c>
      <c r="E44" s="14">
        <v>1010.75</v>
      </c>
      <c r="F44" s="5">
        <v>0</v>
      </c>
      <c r="G44" s="5">
        <v>21992.03</v>
      </c>
      <c r="H44" s="10" t="s">
        <v>51</v>
      </c>
      <c r="I44" s="10" t="s">
        <v>52</v>
      </c>
      <c r="J44" s="10" t="s">
        <v>32</v>
      </c>
      <c r="K44" s="10" t="s">
        <v>17</v>
      </c>
      <c r="L44" s="10" t="s">
        <v>474</v>
      </c>
    </row>
    <row r="45" spans="1:12" x14ac:dyDescent="0.35">
      <c r="A45" s="9">
        <v>44</v>
      </c>
      <c r="B45" s="19">
        <v>45792.931006944447</v>
      </c>
      <c r="C45" s="20">
        <v>45792</v>
      </c>
      <c r="D45" s="8" t="s">
        <v>426</v>
      </c>
      <c r="E45" s="3">
        <v>0</v>
      </c>
      <c r="F45" s="13">
        <v>2000</v>
      </c>
      <c r="G45" s="3">
        <v>23992.03</v>
      </c>
      <c r="H45" s="8" t="s">
        <v>51</v>
      </c>
      <c r="I45" s="8" t="s">
        <v>71</v>
      </c>
      <c r="J45" s="8" t="s">
        <v>32</v>
      </c>
      <c r="K45" s="8" t="s">
        <v>17</v>
      </c>
      <c r="L45" s="8" t="s">
        <v>477</v>
      </c>
    </row>
    <row r="46" spans="1:12" x14ac:dyDescent="0.35">
      <c r="A46" s="11">
        <v>45</v>
      </c>
      <c r="B46" s="17">
        <v>45793.152430555558</v>
      </c>
      <c r="C46" s="18">
        <v>45793</v>
      </c>
      <c r="D46" s="10" t="s">
        <v>2527</v>
      </c>
      <c r="E46" s="5">
        <v>0</v>
      </c>
      <c r="F46" s="15">
        <v>7.57</v>
      </c>
      <c r="G46" s="5">
        <v>23999.599999999999</v>
      </c>
      <c r="H46" s="10" t="s">
        <v>51</v>
      </c>
      <c r="I46" s="10" t="s">
        <v>71</v>
      </c>
      <c r="J46" s="10" t="s">
        <v>32</v>
      </c>
      <c r="K46" s="10" t="s">
        <v>17</v>
      </c>
      <c r="L46" s="10" t="s">
        <v>2545</v>
      </c>
    </row>
    <row r="47" spans="1:12" x14ac:dyDescent="0.35">
      <c r="A47" s="9">
        <v>46</v>
      </c>
      <c r="B47" s="19">
        <v>45793.212222222217</v>
      </c>
      <c r="C47" s="20">
        <v>45793</v>
      </c>
      <c r="D47" s="8" t="s">
        <v>394</v>
      </c>
      <c r="E47" s="12">
        <v>500</v>
      </c>
      <c r="F47" s="3">
        <v>0</v>
      </c>
      <c r="G47" s="3">
        <v>23499.599999999999</v>
      </c>
      <c r="H47" s="8" t="s">
        <v>51</v>
      </c>
      <c r="I47" s="8" t="s">
        <v>52</v>
      </c>
      <c r="J47" s="8" t="s">
        <v>32</v>
      </c>
      <c r="K47" s="8" t="s">
        <v>17</v>
      </c>
      <c r="L47" s="8" t="s">
        <v>478</v>
      </c>
    </row>
    <row r="48" spans="1:12" x14ac:dyDescent="0.35">
      <c r="A48" s="11">
        <v>47</v>
      </c>
      <c r="B48" s="17">
        <v>45793.393888888888</v>
      </c>
      <c r="C48" s="18">
        <v>45793</v>
      </c>
      <c r="D48" s="10" t="s">
        <v>394</v>
      </c>
      <c r="E48" s="14">
        <v>2300.08</v>
      </c>
      <c r="F48" s="5">
        <v>0</v>
      </c>
      <c r="G48" s="5">
        <v>21199.52</v>
      </c>
      <c r="H48" s="10" t="s">
        <v>51</v>
      </c>
      <c r="I48" s="10" t="s">
        <v>52</v>
      </c>
      <c r="J48" s="10" t="s">
        <v>32</v>
      </c>
      <c r="K48" s="10" t="s">
        <v>17</v>
      </c>
      <c r="L48" s="10" t="s">
        <v>482</v>
      </c>
    </row>
    <row r="49" spans="1:12" x14ac:dyDescent="0.35">
      <c r="A49" s="9">
        <v>48</v>
      </c>
      <c r="B49" s="19">
        <v>45794.152824074074</v>
      </c>
      <c r="C49" s="20">
        <v>45794</v>
      </c>
      <c r="D49" s="8" t="s">
        <v>2527</v>
      </c>
      <c r="E49" s="3">
        <v>0</v>
      </c>
      <c r="F49" s="13">
        <v>7.29</v>
      </c>
      <c r="G49" s="3">
        <v>21206.81</v>
      </c>
      <c r="H49" s="8" t="s">
        <v>51</v>
      </c>
      <c r="I49" s="8" t="s">
        <v>71</v>
      </c>
      <c r="J49" s="8" t="s">
        <v>32</v>
      </c>
      <c r="K49" s="8" t="s">
        <v>17</v>
      </c>
      <c r="L49" s="8" t="s">
        <v>2546</v>
      </c>
    </row>
    <row r="50" spans="1:12" x14ac:dyDescent="0.35">
      <c r="A50" s="11">
        <v>49</v>
      </c>
      <c r="B50" s="17">
        <v>45794.212187500001</v>
      </c>
      <c r="C50" s="18">
        <v>45794</v>
      </c>
      <c r="D50" s="10" t="s">
        <v>394</v>
      </c>
      <c r="E50" s="14">
        <v>500</v>
      </c>
      <c r="F50" s="5">
        <v>0</v>
      </c>
      <c r="G50" s="5">
        <v>20706.810000000001</v>
      </c>
      <c r="H50" s="10" t="s">
        <v>51</v>
      </c>
      <c r="I50" s="10" t="s">
        <v>52</v>
      </c>
      <c r="J50" s="10" t="s">
        <v>32</v>
      </c>
      <c r="K50" s="10" t="s">
        <v>17</v>
      </c>
      <c r="L50" s="10" t="s">
        <v>483</v>
      </c>
    </row>
    <row r="51" spans="1:12" x14ac:dyDescent="0.35">
      <c r="A51" s="9">
        <v>50</v>
      </c>
      <c r="B51" s="19">
        <v>45794.464409722219</v>
      </c>
      <c r="C51" s="20">
        <v>45794</v>
      </c>
      <c r="D51" s="8" t="s">
        <v>394</v>
      </c>
      <c r="E51" s="12">
        <v>500</v>
      </c>
      <c r="F51" s="3">
        <v>0</v>
      </c>
      <c r="G51" s="3">
        <v>20206.810000000001</v>
      </c>
      <c r="H51" s="8" t="s">
        <v>51</v>
      </c>
      <c r="I51" s="8" t="s">
        <v>52</v>
      </c>
      <c r="J51" s="8" t="s">
        <v>32</v>
      </c>
      <c r="K51" s="8" t="s">
        <v>17</v>
      </c>
      <c r="L51" s="8" t="s">
        <v>487</v>
      </c>
    </row>
    <row r="52" spans="1:12" x14ac:dyDescent="0.35">
      <c r="A52" s="11">
        <v>51</v>
      </c>
      <c r="B52" s="17">
        <v>45794.466469907413</v>
      </c>
      <c r="C52" s="18">
        <v>45794</v>
      </c>
      <c r="D52" s="10" t="s">
        <v>394</v>
      </c>
      <c r="E52" s="14">
        <v>10000</v>
      </c>
      <c r="F52" s="5">
        <v>0</v>
      </c>
      <c r="G52" s="5">
        <v>10206.81</v>
      </c>
      <c r="H52" s="10" t="s">
        <v>51</v>
      </c>
      <c r="I52" s="10" t="s">
        <v>52</v>
      </c>
      <c r="J52" s="10" t="s">
        <v>32</v>
      </c>
      <c r="K52" s="10" t="s">
        <v>17</v>
      </c>
      <c r="L52" s="10" t="s">
        <v>490</v>
      </c>
    </row>
    <row r="53" spans="1:12" x14ac:dyDescent="0.35">
      <c r="A53" s="9">
        <v>52</v>
      </c>
      <c r="B53" s="19">
        <v>45794.487523148149</v>
      </c>
      <c r="C53" s="20">
        <v>45794</v>
      </c>
      <c r="D53" s="8" t="s">
        <v>394</v>
      </c>
      <c r="E53" s="12">
        <v>7650</v>
      </c>
      <c r="F53" s="3">
        <v>0</v>
      </c>
      <c r="G53" s="3">
        <v>2556.81</v>
      </c>
      <c r="H53" s="8" t="s">
        <v>51</v>
      </c>
      <c r="I53" s="8" t="s">
        <v>52</v>
      </c>
      <c r="J53" s="8" t="s">
        <v>32</v>
      </c>
      <c r="K53" s="8" t="s">
        <v>17</v>
      </c>
      <c r="L53" s="8" t="s">
        <v>493</v>
      </c>
    </row>
    <row r="54" spans="1:12" x14ac:dyDescent="0.35">
      <c r="A54" s="11">
        <v>53</v>
      </c>
      <c r="B54" s="17">
        <v>45795.153854166667</v>
      </c>
      <c r="C54" s="18">
        <v>45795</v>
      </c>
      <c r="D54" s="10" t="s">
        <v>2527</v>
      </c>
      <c r="E54" s="5">
        <v>0</v>
      </c>
      <c r="F54" s="15">
        <v>0.87</v>
      </c>
      <c r="G54" s="5">
        <v>2557.6799999999998</v>
      </c>
      <c r="H54" s="10" t="s">
        <v>51</v>
      </c>
      <c r="I54" s="10" t="s">
        <v>71</v>
      </c>
      <c r="J54" s="10" t="s">
        <v>32</v>
      </c>
      <c r="K54" s="10" t="s">
        <v>17</v>
      </c>
      <c r="L54" s="10" t="s">
        <v>2547</v>
      </c>
    </row>
    <row r="55" spans="1:12" x14ac:dyDescent="0.35">
      <c r="A55" s="9">
        <v>54</v>
      </c>
      <c r="B55" s="19">
        <v>45795.372708333343</v>
      </c>
      <c r="C55" s="20">
        <v>45795</v>
      </c>
      <c r="D55" s="8" t="s">
        <v>394</v>
      </c>
      <c r="E55" s="12">
        <v>2500</v>
      </c>
      <c r="F55" s="3">
        <v>0</v>
      </c>
      <c r="G55" s="3">
        <v>57.68</v>
      </c>
      <c r="H55" s="8" t="s">
        <v>51</v>
      </c>
      <c r="I55" s="8" t="s">
        <v>52</v>
      </c>
      <c r="J55" s="8" t="s">
        <v>32</v>
      </c>
      <c r="K55" s="8" t="s">
        <v>17</v>
      </c>
      <c r="L55" s="8" t="s">
        <v>495</v>
      </c>
    </row>
    <row r="56" spans="1:12" x14ac:dyDescent="0.35">
      <c r="A56" s="11">
        <v>55</v>
      </c>
      <c r="B56" s="17">
        <v>45795.861134259263</v>
      </c>
      <c r="C56" s="18">
        <v>45795</v>
      </c>
      <c r="D56" s="10" t="s">
        <v>2525</v>
      </c>
      <c r="E56" s="5">
        <v>0</v>
      </c>
      <c r="F56" s="15">
        <v>105435</v>
      </c>
      <c r="G56" s="5">
        <v>105492.68</v>
      </c>
      <c r="H56" s="10" t="s">
        <v>51</v>
      </c>
      <c r="I56" s="10" t="s">
        <v>71</v>
      </c>
      <c r="J56" s="10" t="s">
        <v>32</v>
      </c>
      <c r="K56" s="10" t="s">
        <v>17</v>
      </c>
      <c r="L56" s="10" t="s">
        <v>2548</v>
      </c>
    </row>
    <row r="57" spans="1:12" x14ac:dyDescent="0.35">
      <c r="A57" s="9">
        <v>56</v>
      </c>
      <c r="B57" s="19">
        <v>45796.149224537039</v>
      </c>
      <c r="C57" s="20">
        <v>45796</v>
      </c>
      <c r="D57" s="8" t="s">
        <v>2527</v>
      </c>
      <c r="E57" s="3">
        <v>0</v>
      </c>
      <c r="F57" s="13">
        <v>0.09</v>
      </c>
      <c r="G57" s="3">
        <v>105492.77</v>
      </c>
      <c r="H57" s="8" t="s">
        <v>51</v>
      </c>
      <c r="I57" s="8" t="s">
        <v>71</v>
      </c>
      <c r="J57" s="8" t="s">
        <v>32</v>
      </c>
      <c r="K57" s="8" t="s">
        <v>17</v>
      </c>
      <c r="L57" s="8" t="s">
        <v>2549</v>
      </c>
    </row>
    <row r="58" spans="1:12" x14ac:dyDescent="0.35">
      <c r="A58" s="11">
        <v>57</v>
      </c>
      <c r="B58" s="17">
        <v>45796.415000000001</v>
      </c>
      <c r="C58" s="18">
        <v>45796</v>
      </c>
      <c r="D58" s="10" t="s">
        <v>394</v>
      </c>
      <c r="E58" s="14">
        <v>45000</v>
      </c>
      <c r="F58" s="5">
        <v>0</v>
      </c>
      <c r="G58" s="5">
        <v>60492.77</v>
      </c>
      <c r="H58" s="10" t="s">
        <v>51</v>
      </c>
      <c r="I58" s="10" t="s">
        <v>52</v>
      </c>
      <c r="J58" s="10" t="s">
        <v>32</v>
      </c>
      <c r="K58" s="10" t="s">
        <v>17</v>
      </c>
      <c r="L58" s="10" t="s">
        <v>497</v>
      </c>
    </row>
    <row r="59" spans="1:12" x14ac:dyDescent="0.35">
      <c r="A59" s="9">
        <v>58</v>
      </c>
      <c r="B59" s="19">
        <v>45797.153784722221</v>
      </c>
      <c r="C59" s="20">
        <v>45797</v>
      </c>
      <c r="D59" s="8" t="s">
        <v>2527</v>
      </c>
      <c r="E59" s="3">
        <v>0</v>
      </c>
      <c r="F59" s="13">
        <v>20.84</v>
      </c>
      <c r="G59" s="3">
        <v>60513.61</v>
      </c>
      <c r="H59" s="8" t="s">
        <v>51</v>
      </c>
      <c r="I59" s="8" t="s">
        <v>71</v>
      </c>
      <c r="J59" s="8" t="s">
        <v>32</v>
      </c>
      <c r="K59" s="8" t="s">
        <v>17</v>
      </c>
      <c r="L59" s="8" t="s">
        <v>2550</v>
      </c>
    </row>
    <row r="60" spans="1:12" x14ac:dyDescent="0.35">
      <c r="A60" s="11">
        <v>59</v>
      </c>
      <c r="B60" s="17">
        <v>45798.150057870371</v>
      </c>
      <c r="C60" s="18">
        <v>45798</v>
      </c>
      <c r="D60" s="10" t="s">
        <v>2527</v>
      </c>
      <c r="E60" s="5">
        <v>0</v>
      </c>
      <c r="F60" s="15">
        <v>20.84</v>
      </c>
      <c r="G60" s="5">
        <v>60534.45</v>
      </c>
      <c r="H60" s="10" t="s">
        <v>51</v>
      </c>
      <c r="I60" s="10" t="s">
        <v>71</v>
      </c>
      <c r="J60" s="10" t="s">
        <v>32</v>
      </c>
      <c r="K60" s="10" t="s">
        <v>17</v>
      </c>
      <c r="L60" s="10" t="s">
        <v>2551</v>
      </c>
    </row>
    <row r="61" spans="1:12" x14ac:dyDescent="0.35">
      <c r="A61" s="9">
        <v>60</v>
      </c>
      <c r="B61" s="19">
        <v>45798.333680555559</v>
      </c>
      <c r="C61" s="20">
        <v>45798</v>
      </c>
      <c r="D61" s="8" t="s">
        <v>394</v>
      </c>
      <c r="E61" s="12">
        <v>10000</v>
      </c>
      <c r="F61" s="3">
        <v>0</v>
      </c>
      <c r="G61" s="3">
        <v>50534.45</v>
      </c>
      <c r="H61" s="8" t="s">
        <v>51</v>
      </c>
      <c r="I61" s="8" t="s">
        <v>52</v>
      </c>
      <c r="J61" s="8" t="s">
        <v>32</v>
      </c>
      <c r="K61" s="8" t="s">
        <v>17</v>
      </c>
      <c r="L61" s="8" t="s">
        <v>499</v>
      </c>
    </row>
    <row r="62" spans="1:12" x14ac:dyDescent="0.35">
      <c r="A62" s="11">
        <v>61</v>
      </c>
      <c r="B62" s="17">
        <v>45799.1559375</v>
      </c>
      <c r="C62" s="18">
        <v>45799</v>
      </c>
      <c r="D62" s="10" t="s">
        <v>2527</v>
      </c>
      <c r="E62" s="5">
        <v>0</v>
      </c>
      <c r="F62" s="15">
        <v>17.41</v>
      </c>
      <c r="G62" s="5">
        <v>50551.86</v>
      </c>
      <c r="H62" s="10" t="s">
        <v>51</v>
      </c>
      <c r="I62" s="10" t="s">
        <v>71</v>
      </c>
      <c r="J62" s="10" t="s">
        <v>32</v>
      </c>
      <c r="K62" s="10" t="s">
        <v>17</v>
      </c>
      <c r="L62" s="10" t="s">
        <v>2552</v>
      </c>
    </row>
    <row r="63" spans="1:12" x14ac:dyDescent="0.35">
      <c r="A63" s="9">
        <v>62</v>
      </c>
      <c r="B63" s="19">
        <v>45799.381041666667</v>
      </c>
      <c r="C63" s="20">
        <v>45799</v>
      </c>
      <c r="D63" s="8" t="s">
        <v>394</v>
      </c>
      <c r="E63" s="12">
        <v>8000</v>
      </c>
      <c r="F63" s="3">
        <v>0</v>
      </c>
      <c r="G63" s="3">
        <v>42551.86</v>
      </c>
      <c r="H63" s="8" t="s">
        <v>51</v>
      </c>
      <c r="I63" s="8" t="s">
        <v>52</v>
      </c>
      <c r="J63" s="8" t="s">
        <v>32</v>
      </c>
      <c r="K63" s="8" t="s">
        <v>17</v>
      </c>
      <c r="L63" s="8" t="s">
        <v>502</v>
      </c>
    </row>
    <row r="64" spans="1:12" x14ac:dyDescent="0.35">
      <c r="A64" s="11">
        <v>63</v>
      </c>
      <c r="B64" s="17">
        <v>45800.153784722221</v>
      </c>
      <c r="C64" s="18">
        <v>45800</v>
      </c>
      <c r="D64" s="10" t="s">
        <v>2527</v>
      </c>
      <c r="E64" s="5">
        <v>0</v>
      </c>
      <c r="F64" s="15">
        <v>14.66</v>
      </c>
      <c r="G64" s="5">
        <v>42566.52</v>
      </c>
      <c r="H64" s="10" t="s">
        <v>51</v>
      </c>
      <c r="I64" s="10" t="s">
        <v>71</v>
      </c>
      <c r="J64" s="10" t="s">
        <v>32</v>
      </c>
      <c r="K64" s="10" t="s">
        <v>17</v>
      </c>
      <c r="L64" s="10" t="s">
        <v>2553</v>
      </c>
    </row>
    <row r="65" spans="1:12" x14ac:dyDescent="0.35">
      <c r="A65" s="9">
        <v>64</v>
      </c>
      <c r="B65" s="19">
        <v>45800.355717592603</v>
      </c>
      <c r="C65" s="20">
        <v>45800</v>
      </c>
      <c r="D65" s="8" t="s">
        <v>394</v>
      </c>
      <c r="E65" s="12">
        <v>500</v>
      </c>
      <c r="F65" s="3">
        <v>0</v>
      </c>
      <c r="G65" s="3">
        <v>42066.52</v>
      </c>
      <c r="H65" s="8" t="s">
        <v>51</v>
      </c>
      <c r="I65" s="8" t="s">
        <v>52</v>
      </c>
      <c r="J65" s="8" t="s">
        <v>32</v>
      </c>
      <c r="K65" s="8" t="s">
        <v>17</v>
      </c>
      <c r="L65" s="8" t="s">
        <v>504</v>
      </c>
    </row>
    <row r="66" spans="1:12" x14ac:dyDescent="0.35">
      <c r="A66" s="11">
        <v>65</v>
      </c>
      <c r="B66" s="17">
        <v>45801.145520833343</v>
      </c>
      <c r="C66" s="18">
        <v>45801</v>
      </c>
      <c r="D66" s="10" t="s">
        <v>2527</v>
      </c>
      <c r="E66" s="5">
        <v>0</v>
      </c>
      <c r="F66" s="15">
        <v>14.49</v>
      </c>
      <c r="G66" s="5">
        <v>42081.01</v>
      </c>
      <c r="H66" s="10" t="s">
        <v>51</v>
      </c>
      <c r="I66" s="10" t="s">
        <v>71</v>
      </c>
      <c r="J66" s="10" t="s">
        <v>32</v>
      </c>
      <c r="K66" s="10" t="s">
        <v>17</v>
      </c>
      <c r="L66" s="10" t="s">
        <v>2554</v>
      </c>
    </row>
    <row r="67" spans="1:12" x14ac:dyDescent="0.35">
      <c r="A67" s="9">
        <v>66</v>
      </c>
      <c r="B67" s="19">
        <v>45801.931377314817</v>
      </c>
      <c r="C67" s="20">
        <v>45801</v>
      </c>
      <c r="D67" s="8" t="s">
        <v>426</v>
      </c>
      <c r="E67" s="3">
        <v>0</v>
      </c>
      <c r="F67" s="13">
        <v>38970</v>
      </c>
      <c r="G67" s="3">
        <v>81051.009999999995</v>
      </c>
      <c r="H67" s="8" t="s">
        <v>51</v>
      </c>
      <c r="I67" s="8" t="s">
        <v>71</v>
      </c>
      <c r="J67" s="8" t="s">
        <v>32</v>
      </c>
      <c r="K67" s="8" t="s">
        <v>17</v>
      </c>
      <c r="L67" s="8" t="s">
        <v>508</v>
      </c>
    </row>
    <row r="68" spans="1:12" x14ac:dyDescent="0.35">
      <c r="A68" s="11">
        <v>67</v>
      </c>
      <c r="B68" s="17">
        <v>45802.15792824074</v>
      </c>
      <c r="C68" s="18">
        <v>45802</v>
      </c>
      <c r="D68" s="10" t="s">
        <v>2527</v>
      </c>
      <c r="E68" s="5">
        <v>0</v>
      </c>
      <c r="F68" s="15">
        <v>14.49</v>
      </c>
      <c r="G68" s="5">
        <v>81065.5</v>
      </c>
      <c r="H68" s="10" t="s">
        <v>51</v>
      </c>
      <c r="I68" s="10" t="s">
        <v>71</v>
      </c>
      <c r="J68" s="10" t="s">
        <v>32</v>
      </c>
      <c r="K68" s="10" t="s">
        <v>17</v>
      </c>
      <c r="L68" s="10" t="s">
        <v>2555</v>
      </c>
    </row>
    <row r="69" spans="1:12" x14ac:dyDescent="0.35">
      <c r="A69" s="9">
        <v>68</v>
      </c>
      <c r="B69" s="19">
        <v>45802.362291666657</v>
      </c>
      <c r="C69" s="20">
        <v>45802</v>
      </c>
      <c r="D69" s="8" t="s">
        <v>394</v>
      </c>
      <c r="E69" s="12">
        <v>500</v>
      </c>
      <c r="F69" s="3">
        <v>0</v>
      </c>
      <c r="G69" s="3">
        <v>80565.5</v>
      </c>
      <c r="H69" s="8" t="s">
        <v>51</v>
      </c>
      <c r="I69" s="8" t="s">
        <v>52</v>
      </c>
      <c r="J69" s="8" t="s">
        <v>32</v>
      </c>
      <c r="K69" s="8" t="s">
        <v>17</v>
      </c>
      <c r="L69" s="8" t="s">
        <v>510</v>
      </c>
    </row>
    <row r="70" spans="1:12" x14ac:dyDescent="0.35">
      <c r="A70" s="11">
        <v>69</v>
      </c>
      <c r="B70" s="17">
        <v>45802.55164351852</v>
      </c>
      <c r="C70" s="18">
        <v>45802</v>
      </c>
      <c r="D70" s="10" t="s">
        <v>394</v>
      </c>
      <c r="E70" s="14">
        <v>3400</v>
      </c>
      <c r="F70" s="5">
        <v>0</v>
      </c>
      <c r="G70" s="5">
        <v>77165.5</v>
      </c>
      <c r="H70" s="10" t="s">
        <v>51</v>
      </c>
      <c r="I70" s="10" t="s">
        <v>52</v>
      </c>
      <c r="J70" s="10" t="s">
        <v>32</v>
      </c>
      <c r="K70" s="10" t="s">
        <v>17</v>
      </c>
      <c r="L70" s="10" t="s">
        <v>513</v>
      </c>
    </row>
    <row r="71" spans="1:12" x14ac:dyDescent="0.35">
      <c r="A71" s="9">
        <v>70</v>
      </c>
      <c r="B71" s="19">
        <v>45802.643159722233</v>
      </c>
      <c r="C71" s="20">
        <v>45802</v>
      </c>
      <c r="D71" s="8" t="s">
        <v>394</v>
      </c>
      <c r="E71" s="12">
        <v>10</v>
      </c>
      <c r="F71" s="3">
        <v>0</v>
      </c>
      <c r="G71" s="3">
        <v>77155.5</v>
      </c>
      <c r="H71" s="8" t="s">
        <v>51</v>
      </c>
      <c r="I71" s="8" t="s">
        <v>52</v>
      </c>
      <c r="J71" s="8" t="s">
        <v>32</v>
      </c>
      <c r="K71" s="8" t="s">
        <v>17</v>
      </c>
      <c r="L71" s="8" t="s">
        <v>515</v>
      </c>
    </row>
    <row r="72" spans="1:12" x14ac:dyDescent="0.35">
      <c r="A72" s="11">
        <v>71</v>
      </c>
      <c r="B72" s="17">
        <v>45802.643437500003</v>
      </c>
      <c r="C72" s="18">
        <v>45802</v>
      </c>
      <c r="D72" s="10" t="s">
        <v>394</v>
      </c>
      <c r="E72" s="14">
        <v>500</v>
      </c>
      <c r="F72" s="5">
        <v>0</v>
      </c>
      <c r="G72" s="5">
        <v>76655.5</v>
      </c>
      <c r="H72" s="10" t="s">
        <v>51</v>
      </c>
      <c r="I72" s="10" t="s">
        <v>52</v>
      </c>
      <c r="J72" s="10" t="s">
        <v>32</v>
      </c>
      <c r="K72" s="10" t="s">
        <v>17</v>
      </c>
      <c r="L72" s="10" t="s">
        <v>517</v>
      </c>
    </row>
    <row r="73" spans="1:12" x14ac:dyDescent="0.35">
      <c r="A73" s="9">
        <v>72</v>
      </c>
      <c r="B73" s="19">
        <v>45802.929467592592</v>
      </c>
      <c r="C73" s="20">
        <v>45802</v>
      </c>
      <c r="D73" s="8" t="s">
        <v>426</v>
      </c>
      <c r="E73" s="3">
        <v>0</v>
      </c>
      <c r="F73" s="13">
        <v>3500</v>
      </c>
      <c r="G73" s="3">
        <v>80155.5</v>
      </c>
      <c r="H73" s="8" t="s">
        <v>51</v>
      </c>
      <c r="I73" s="8" t="s">
        <v>71</v>
      </c>
      <c r="J73" s="8" t="s">
        <v>32</v>
      </c>
      <c r="K73" s="8" t="s">
        <v>17</v>
      </c>
      <c r="L73" s="8" t="s">
        <v>520</v>
      </c>
    </row>
    <row r="74" spans="1:12" x14ac:dyDescent="0.35">
      <c r="A74" s="11">
        <v>73</v>
      </c>
      <c r="B74" s="17">
        <v>45803.136053240742</v>
      </c>
      <c r="C74" s="18">
        <v>45803</v>
      </c>
      <c r="D74" s="10" t="s">
        <v>2527</v>
      </c>
      <c r="E74" s="5">
        <v>0</v>
      </c>
      <c r="F74" s="15">
        <v>26.41</v>
      </c>
      <c r="G74" s="5">
        <v>80181.91</v>
      </c>
      <c r="H74" s="10" t="s">
        <v>51</v>
      </c>
      <c r="I74" s="10" t="s">
        <v>71</v>
      </c>
      <c r="J74" s="10" t="s">
        <v>32</v>
      </c>
      <c r="K74" s="10" t="s">
        <v>17</v>
      </c>
      <c r="L74" s="10" t="s">
        <v>2556</v>
      </c>
    </row>
    <row r="75" spans="1:12" x14ac:dyDescent="0.35">
      <c r="A75" s="9">
        <v>74</v>
      </c>
      <c r="B75" s="19">
        <v>45804.133888888893</v>
      </c>
      <c r="C75" s="20">
        <v>45804</v>
      </c>
      <c r="D75" s="8" t="s">
        <v>2527</v>
      </c>
      <c r="E75" s="3">
        <v>0</v>
      </c>
      <c r="F75" s="13">
        <v>27.62</v>
      </c>
      <c r="G75" s="3">
        <v>80209.53</v>
      </c>
      <c r="H75" s="8" t="s">
        <v>51</v>
      </c>
      <c r="I75" s="8" t="s">
        <v>71</v>
      </c>
      <c r="J75" s="8" t="s">
        <v>32</v>
      </c>
      <c r="K75" s="8" t="s">
        <v>17</v>
      </c>
      <c r="L75" s="8" t="s">
        <v>2557</v>
      </c>
    </row>
    <row r="76" spans="1:12" x14ac:dyDescent="0.35">
      <c r="A76" s="11">
        <v>75</v>
      </c>
      <c r="B76" s="17">
        <v>45804.303067129629</v>
      </c>
      <c r="C76" s="18">
        <v>45804</v>
      </c>
      <c r="D76" s="10" t="s">
        <v>394</v>
      </c>
      <c r="E76" s="14">
        <v>500</v>
      </c>
      <c r="F76" s="5">
        <v>0</v>
      </c>
      <c r="G76" s="5">
        <v>79709.53</v>
      </c>
      <c r="H76" s="10" t="s">
        <v>51</v>
      </c>
      <c r="I76" s="10" t="s">
        <v>52</v>
      </c>
      <c r="J76" s="10" t="s">
        <v>32</v>
      </c>
      <c r="K76" s="10" t="s">
        <v>17</v>
      </c>
      <c r="L76" s="10" t="s">
        <v>522</v>
      </c>
    </row>
    <row r="77" spans="1:12" x14ac:dyDescent="0.35">
      <c r="A77" s="9">
        <v>76</v>
      </c>
      <c r="B77" s="19">
        <v>45804.348333333342</v>
      </c>
      <c r="C77" s="20">
        <v>45804</v>
      </c>
      <c r="D77" s="8" t="s">
        <v>394</v>
      </c>
      <c r="E77" s="12">
        <v>19600</v>
      </c>
      <c r="F77" s="3">
        <v>0</v>
      </c>
      <c r="G77" s="3">
        <v>60109.53</v>
      </c>
      <c r="H77" s="8" t="s">
        <v>51</v>
      </c>
      <c r="I77" s="8" t="s">
        <v>52</v>
      </c>
      <c r="J77" s="8" t="s">
        <v>32</v>
      </c>
      <c r="K77" s="8" t="s">
        <v>17</v>
      </c>
      <c r="L77" s="8" t="s">
        <v>525</v>
      </c>
    </row>
    <row r="78" spans="1:12" x14ac:dyDescent="0.35">
      <c r="A78" s="11">
        <v>77</v>
      </c>
      <c r="B78" s="17">
        <v>45804.357777777783</v>
      </c>
      <c r="C78" s="18">
        <v>45804</v>
      </c>
      <c r="D78" s="10" t="s">
        <v>394</v>
      </c>
      <c r="E78" s="14">
        <v>1500</v>
      </c>
      <c r="F78" s="5">
        <v>0</v>
      </c>
      <c r="G78" s="5">
        <v>58609.53</v>
      </c>
      <c r="H78" s="10" t="s">
        <v>51</v>
      </c>
      <c r="I78" s="10" t="s">
        <v>52</v>
      </c>
      <c r="J78" s="10" t="s">
        <v>32</v>
      </c>
      <c r="K78" s="10" t="s">
        <v>17</v>
      </c>
      <c r="L78" s="10" t="s">
        <v>528</v>
      </c>
    </row>
    <row r="79" spans="1:12" x14ac:dyDescent="0.35">
      <c r="A79" s="9">
        <v>78</v>
      </c>
      <c r="B79" s="19">
        <v>45804.706122685187</v>
      </c>
      <c r="C79" s="20">
        <v>45804</v>
      </c>
      <c r="D79" s="8" t="s">
        <v>394</v>
      </c>
      <c r="E79" s="12">
        <v>5000</v>
      </c>
      <c r="F79" s="3">
        <v>0</v>
      </c>
      <c r="G79" s="3">
        <v>53609.53</v>
      </c>
      <c r="H79" s="8" t="s">
        <v>51</v>
      </c>
      <c r="I79" s="8" t="s">
        <v>52</v>
      </c>
      <c r="J79" s="8" t="s">
        <v>32</v>
      </c>
      <c r="K79" s="8" t="s">
        <v>17</v>
      </c>
      <c r="L79" s="8" t="s">
        <v>530</v>
      </c>
    </row>
    <row r="80" spans="1:12" x14ac:dyDescent="0.35">
      <c r="A80" s="11">
        <v>79</v>
      </c>
      <c r="B80" s="17">
        <v>45804.739189814813</v>
      </c>
      <c r="C80" s="18">
        <v>45804</v>
      </c>
      <c r="D80" s="10" t="s">
        <v>394</v>
      </c>
      <c r="E80" s="14">
        <v>500</v>
      </c>
      <c r="F80" s="5">
        <v>0</v>
      </c>
      <c r="G80" s="5">
        <v>53109.53</v>
      </c>
      <c r="H80" s="10" t="s">
        <v>51</v>
      </c>
      <c r="I80" s="10" t="s">
        <v>52</v>
      </c>
      <c r="J80" s="10" t="s">
        <v>32</v>
      </c>
      <c r="K80" s="10" t="s">
        <v>17</v>
      </c>
      <c r="L80" s="10" t="s">
        <v>532</v>
      </c>
    </row>
    <row r="81" spans="1:12" x14ac:dyDescent="0.35">
      <c r="A81" s="9">
        <v>80</v>
      </c>
      <c r="B81" s="19">
        <v>45805.128692129627</v>
      </c>
      <c r="C81" s="20">
        <v>45805</v>
      </c>
      <c r="D81" s="8" t="s">
        <v>2527</v>
      </c>
      <c r="E81" s="3">
        <v>0</v>
      </c>
      <c r="F81" s="13">
        <v>18.29</v>
      </c>
      <c r="G81" s="3">
        <v>53127.82</v>
      </c>
      <c r="H81" s="8" t="s">
        <v>51</v>
      </c>
      <c r="I81" s="8" t="s">
        <v>71</v>
      </c>
      <c r="J81" s="8" t="s">
        <v>32</v>
      </c>
      <c r="K81" s="8" t="s">
        <v>17</v>
      </c>
      <c r="L81" s="8" t="s">
        <v>2558</v>
      </c>
    </row>
    <row r="82" spans="1:12" x14ac:dyDescent="0.35">
      <c r="A82" s="11">
        <v>81</v>
      </c>
      <c r="B82" s="17">
        <v>45805.501400462963</v>
      </c>
      <c r="C82" s="18">
        <v>45805</v>
      </c>
      <c r="D82" s="10" t="s">
        <v>394</v>
      </c>
      <c r="E82" s="14">
        <v>10550</v>
      </c>
      <c r="F82" s="5">
        <v>0</v>
      </c>
      <c r="G82" s="5">
        <v>42577.82</v>
      </c>
      <c r="H82" s="10" t="s">
        <v>51</v>
      </c>
      <c r="I82" s="10" t="s">
        <v>52</v>
      </c>
      <c r="J82" s="10" t="s">
        <v>32</v>
      </c>
      <c r="K82" s="10" t="s">
        <v>17</v>
      </c>
      <c r="L82" s="10" t="s">
        <v>539</v>
      </c>
    </row>
    <row r="83" spans="1:12" x14ac:dyDescent="0.35">
      <c r="A83" s="9">
        <v>82</v>
      </c>
      <c r="B83" s="19">
        <v>45805.58730324074</v>
      </c>
      <c r="C83" s="20">
        <v>45805</v>
      </c>
      <c r="D83" s="8" t="s">
        <v>394</v>
      </c>
      <c r="E83" s="12">
        <v>1500</v>
      </c>
      <c r="F83" s="3">
        <v>0</v>
      </c>
      <c r="G83" s="3">
        <v>41077.82</v>
      </c>
      <c r="H83" s="8" t="s">
        <v>51</v>
      </c>
      <c r="I83" s="8" t="s">
        <v>52</v>
      </c>
      <c r="J83" s="8" t="s">
        <v>32</v>
      </c>
      <c r="K83" s="8" t="s">
        <v>17</v>
      </c>
      <c r="L83" s="8" t="s">
        <v>542</v>
      </c>
    </row>
    <row r="84" spans="1:12" x14ac:dyDescent="0.35">
      <c r="A84" s="11">
        <v>83</v>
      </c>
      <c r="B84" s="17">
        <v>45806.13521990741</v>
      </c>
      <c r="C84" s="18">
        <v>45806</v>
      </c>
      <c r="D84" s="10" t="s">
        <v>2527</v>
      </c>
      <c r="E84" s="5">
        <v>0</v>
      </c>
      <c r="F84" s="15">
        <v>14.15</v>
      </c>
      <c r="G84" s="5">
        <v>41091.97</v>
      </c>
      <c r="H84" s="10" t="s">
        <v>51</v>
      </c>
      <c r="I84" s="10" t="s">
        <v>71</v>
      </c>
      <c r="J84" s="10" t="s">
        <v>32</v>
      </c>
      <c r="K84" s="10" t="s">
        <v>17</v>
      </c>
      <c r="L84" s="10" t="s">
        <v>2559</v>
      </c>
    </row>
    <row r="85" spans="1:12" x14ac:dyDescent="0.35">
      <c r="A85" s="9">
        <v>84</v>
      </c>
      <c r="B85" s="19">
        <v>45806.212094907409</v>
      </c>
      <c r="C85" s="20">
        <v>45806</v>
      </c>
      <c r="D85" s="8" t="s">
        <v>394</v>
      </c>
      <c r="E85" s="12">
        <v>500</v>
      </c>
      <c r="F85" s="3">
        <v>0</v>
      </c>
      <c r="G85" s="3">
        <v>40591.97</v>
      </c>
      <c r="H85" s="8" t="s">
        <v>51</v>
      </c>
      <c r="I85" s="8" t="s">
        <v>52</v>
      </c>
      <c r="J85" s="8" t="s">
        <v>32</v>
      </c>
      <c r="K85" s="8" t="s">
        <v>17</v>
      </c>
      <c r="L85" s="8" t="s">
        <v>544</v>
      </c>
    </row>
    <row r="86" spans="1:12" x14ac:dyDescent="0.35">
      <c r="A86" s="11">
        <v>85</v>
      </c>
      <c r="B86" s="17">
        <v>45806.363159722219</v>
      </c>
      <c r="C86" s="18">
        <v>45806</v>
      </c>
      <c r="D86" s="10" t="s">
        <v>394</v>
      </c>
      <c r="E86" s="14">
        <v>1800</v>
      </c>
      <c r="F86" s="5">
        <v>0</v>
      </c>
      <c r="G86" s="5">
        <v>38791.97</v>
      </c>
      <c r="H86" s="10" t="s">
        <v>51</v>
      </c>
      <c r="I86" s="10" t="s">
        <v>52</v>
      </c>
      <c r="J86" s="10" t="s">
        <v>32</v>
      </c>
      <c r="K86" s="10" t="s">
        <v>17</v>
      </c>
      <c r="L86" s="10" t="s">
        <v>546</v>
      </c>
    </row>
    <row r="87" spans="1:12" x14ac:dyDescent="0.35">
      <c r="A87" s="9">
        <v>86</v>
      </c>
      <c r="B87" s="19">
        <v>45806.930231481478</v>
      </c>
      <c r="C87" s="20">
        <v>45806</v>
      </c>
      <c r="D87" s="8" t="s">
        <v>426</v>
      </c>
      <c r="E87" s="3">
        <v>0</v>
      </c>
      <c r="F87" s="13">
        <v>28400</v>
      </c>
      <c r="G87" s="3">
        <v>67191.97</v>
      </c>
      <c r="H87" s="8" t="s">
        <v>51</v>
      </c>
      <c r="I87" s="8" t="s">
        <v>71</v>
      </c>
      <c r="J87" s="8" t="s">
        <v>32</v>
      </c>
      <c r="K87" s="8" t="s">
        <v>17</v>
      </c>
      <c r="L87" s="8" t="s">
        <v>557</v>
      </c>
    </row>
    <row r="88" spans="1:12" x14ac:dyDescent="0.35">
      <c r="A88" s="11">
        <v>87</v>
      </c>
      <c r="B88" s="17">
        <v>45807.134108796286</v>
      </c>
      <c r="C88" s="18">
        <v>45807</v>
      </c>
      <c r="D88" s="10" t="s">
        <v>2527</v>
      </c>
      <c r="E88" s="5">
        <v>0</v>
      </c>
      <c r="F88" s="15">
        <v>13.36</v>
      </c>
      <c r="G88" s="5">
        <v>67205.33</v>
      </c>
      <c r="H88" s="10" t="s">
        <v>51</v>
      </c>
      <c r="I88" s="10" t="s">
        <v>71</v>
      </c>
      <c r="J88" s="10" t="s">
        <v>32</v>
      </c>
      <c r="K88" s="10" t="s">
        <v>17</v>
      </c>
      <c r="L88" s="10" t="s">
        <v>2560</v>
      </c>
    </row>
    <row r="89" spans="1:12" x14ac:dyDescent="0.35">
      <c r="A89" s="9">
        <v>88</v>
      </c>
      <c r="B89" s="19">
        <v>45807.212129629632</v>
      </c>
      <c r="C89" s="20">
        <v>45807</v>
      </c>
      <c r="D89" s="8" t="s">
        <v>394</v>
      </c>
      <c r="E89" s="12">
        <v>500</v>
      </c>
      <c r="F89" s="3">
        <v>0</v>
      </c>
      <c r="G89" s="3">
        <v>66705.33</v>
      </c>
      <c r="H89" s="8" t="s">
        <v>51</v>
      </c>
      <c r="I89" s="8" t="s">
        <v>52</v>
      </c>
      <c r="J89" s="8" t="s">
        <v>32</v>
      </c>
      <c r="K89" s="8" t="s">
        <v>17</v>
      </c>
      <c r="L89" s="8" t="s">
        <v>558</v>
      </c>
    </row>
    <row r="90" spans="1:12" x14ac:dyDescent="0.35">
      <c r="A90" s="11">
        <v>89</v>
      </c>
      <c r="B90" s="17">
        <v>45807.932129629633</v>
      </c>
      <c r="C90" s="18">
        <v>45807</v>
      </c>
      <c r="D90" s="10" t="s">
        <v>426</v>
      </c>
      <c r="E90" s="5">
        <v>0</v>
      </c>
      <c r="F90" s="15">
        <v>31200</v>
      </c>
      <c r="G90" s="5">
        <v>97905.33</v>
      </c>
      <c r="H90" s="10" t="s">
        <v>51</v>
      </c>
      <c r="I90" s="10" t="s">
        <v>71</v>
      </c>
      <c r="J90" s="10" t="s">
        <v>32</v>
      </c>
      <c r="K90" s="10" t="s">
        <v>17</v>
      </c>
      <c r="L90" s="10" t="s">
        <v>571</v>
      </c>
    </row>
    <row r="91" spans="1:12" x14ac:dyDescent="0.35">
      <c r="A91" s="9">
        <v>90</v>
      </c>
      <c r="B91" s="19">
        <v>45808.132569444453</v>
      </c>
      <c r="C91" s="20">
        <v>45808</v>
      </c>
      <c r="D91" s="8" t="s">
        <v>2527</v>
      </c>
      <c r="E91" s="3">
        <v>0</v>
      </c>
      <c r="F91" s="13">
        <v>22.98</v>
      </c>
      <c r="G91" s="3">
        <v>97928.31</v>
      </c>
      <c r="H91" s="8" t="s">
        <v>51</v>
      </c>
      <c r="I91" s="8" t="s">
        <v>71</v>
      </c>
      <c r="J91" s="8" t="s">
        <v>32</v>
      </c>
      <c r="K91" s="8" t="s">
        <v>17</v>
      </c>
      <c r="L91" s="8" t="s">
        <v>2561</v>
      </c>
    </row>
    <row r="92" spans="1:12" x14ac:dyDescent="0.35">
      <c r="A92" s="11">
        <v>91</v>
      </c>
      <c r="B92" s="17">
        <v>45808.212037037039</v>
      </c>
      <c r="C92" s="18">
        <v>45808</v>
      </c>
      <c r="D92" s="10" t="s">
        <v>394</v>
      </c>
      <c r="E92" s="14">
        <v>500</v>
      </c>
      <c r="F92" s="5">
        <v>0</v>
      </c>
      <c r="G92" s="5">
        <v>97428.31</v>
      </c>
      <c r="H92" s="10" t="s">
        <v>51</v>
      </c>
      <c r="I92" s="10" t="s">
        <v>52</v>
      </c>
      <c r="J92" s="10" t="s">
        <v>32</v>
      </c>
      <c r="K92" s="10" t="s">
        <v>17</v>
      </c>
      <c r="L92" s="10" t="s">
        <v>572</v>
      </c>
    </row>
    <row r="93" spans="1:12" x14ac:dyDescent="0.35">
      <c r="A93" s="9">
        <v>92</v>
      </c>
      <c r="B93" s="19">
        <v>45808.563657407409</v>
      </c>
      <c r="C93" s="20">
        <v>45808</v>
      </c>
      <c r="D93" s="8" t="s">
        <v>394</v>
      </c>
      <c r="E93" s="12">
        <v>15000</v>
      </c>
      <c r="F93" s="3">
        <v>0</v>
      </c>
      <c r="G93" s="3">
        <v>82428.31</v>
      </c>
      <c r="H93" s="8" t="s">
        <v>51</v>
      </c>
      <c r="I93" s="8" t="s">
        <v>52</v>
      </c>
      <c r="J93" s="8" t="s">
        <v>32</v>
      </c>
      <c r="K93" s="8" t="s">
        <v>17</v>
      </c>
      <c r="L93" s="8" t="s">
        <v>576</v>
      </c>
    </row>
    <row r="94" spans="1:12" x14ac:dyDescent="0.35">
      <c r="A94" s="11">
        <v>93</v>
      </c>
      <c r="B94" s="17">
        <v>45808.751562500001</v>
      </c>
      <c r="C94" s="18">
        <v>45808</v>
      </c>
      <c r="D94" s="10" t="s">
        <v>394</v>
      </c>
      <c r="E94" s="14">
        <v>2000</v>
      </c>
      <c r="F94" s="5">
        <v>0</v>
      </c>
      <c r="G94" s="5">
        <v>80428.31</v>
      </c>
      <c r="H94" s="10" t="s">
        <v>51</v>
      </c>
      <c r="I94" s="10" t="s">
        <v>52</v>
      </c>
      <c r="J94" s="10" t="s">
        <v>32</v>
      </c>
      <c r="K94" s="10" t="s">
        <v>17</v>
      </c>
      <c r="L94" s="10" t="s">
        <v>579</v>
      </c>
    </row>
    <row r="95" spans="1:12" x14ac:dyDescent="0.35">
      <c r="A95" s="9">
        <v>94</v>
      </c>
      <c r="B95" s="19">
        <v>45808.770196759258</v>
      </c>
      <c r="C95" s="20">
        <v>45808</v>
      </c>
      <c r="D95" s="8" t="s">
        <v>394</v>
      </c>
      <c r="E95" s="12">
        <v>2100</v>
      </c>
      <c r="F95" s="3">
        <v>0</v>
      </c>
      <c r="G95" s="3">
        <v>78328.31</v>
      </c>
      <c r="H95" s="8" t="s">
        <v>51</v>
      </c>
      <c r="I95" s="8" t="s">
        <v>52</v>
      </c>
      <c r="J95" s="8" t="s">
        <v>32</v>
      </c>
      <c r="K95" s="8" t="s">
        <v>17</v>
      </c>
      <c r="L95" s="8" t="s">
        <v>582</v>
      </c>
    </row>
    <row r="96" spans="1:12" x14ac:dyDescent="0.35">
      <c r="A96" s="11">
        <v>95</v>
      </c>
      <c r="B96" s="17">
        <v>45808.800555555557</v>
      </c>
      <c r="C96" s="18">
        <v>45808</v>
      </c>
      <c r="D96" s="10" t="s">
        <v>394</v>
      </c>
      <c r="E96" s="14">
        <v>2000</v>
      </c>
      <c r="F96" s="5">
        <v>0</v>
      </c>
      <c r="G96" s="5">
        <v>76328.31</v>
      </c>
      <c r="H96" s="10" t="s">
        <v>51</v>
      </c>
      <c r="I96" s="10" t="s">
        <v>52</v>
      </c>
      <c r="J96" s="10" t="s">
        <v>32</v>
      </c>
      <c r="K96" s="10" t="s">
        <v>17</v>
      </c>
      <c r="L96" s="10" t="s">
        <v>585</v>
      </c>
    </row>
    <row r="97" spans="1:12" x14ac:dyDescent="0.35">
      <c r="A97" s="9">
        <v>96</v>
      </c>
      <c r="B97" s="19">
        <v>45809.137766203698</v>
      </c>
      <c r="C97" s="20">
        <v>45809</v>
      </c>
      <c r="D97" s="8" t="s">
        <v>2527</v>
      </c>
      <c r="E97" s="3">
        <v>0</v>
      </c>
      <c r="F97" s="13">
        <v>26.3</v>
      </c>
      <c r="G97" s="3">
        <v>76354.61</v>
      </c>
      <c r="H97" s="8" t="s">
        <v>51</v>
      </c>
      <c r="I97" s="8" t="s">
        <v>71</v>
      </c>
      <c r="J97" s="8" t="s">
        <v>32</v>
      </c>
      <c r="K97" s="8" t="s">
        <v>18</v>
      </c>
      <c r="L97" s="8" t="s">
        <v>2562</v>
      </c>
    </row>
    <row r="98" spans="1:12" x14ac:dyDescent="0.35">
      <c r="A98" s="11">
        <v>97</v>
      </c>
      <c r="B98" s="17">
        <v>45809.212002314824</v>
      </c>
      <c r="C98" s="18">
        <v>45809</v>
      </c>
      <c r="D98" s="10" t="s">
        <v>394</v>
      </c>
      <c r="E98" s="14">
        <v>500</v>
      </c>
      <c r="F98" s="5">
        <v>0</v>
      </c>
      <c r="G98" s="5">
        <v>75854.61</v>
      </c>
      <c r="H98" s="10" t="s">
        <v>51</v>
      </c>
      <c r="I98" s="10" t="s">
        <v>52</v>
      </c>
      <c r="J98" s="10" t="s">
        <v>32</v>
      </c>
      <c r="K98" s="10" t="s">
        <v>18</v>
      </c>
      <c r="L98" s="10" t="s">
        <v>587</v>
      </c>
    </row>
    <row r="99" spans="1:12" x14ac:dyDescent="0.35">
      <c r="A99" s="9">
        <v>98</v>
      </c>
      <c r="B99" s="19">
        <v>45809.444687499999</v>
      </c>
      <c r="C99" s="20">
        <v>45809</v>
      </c>
      <c r="D99" s="8" t="s">
        <v>394</v>
      </c>
      <c r="E99" s="12">
        <v>2100</v>
      </c>
      <c r="F99" s="3">
        <v>0</v>
      </c>
      <c r="G99" s="3">
        <v>73754.61</v>
      </c>
      <c r="H99" s="8" t="s">
        <v>51</v>
      </c>
      <c r="I99" s="8" t="s">
        <v>52</v>
      </c>
      <c r="J99" s="8" t="s">
        <v>32</v>
      </c>
      <c r="K99" s="8" t="s">
        <v>18</v>
      </c>
      <c r="L99" s="8" t="s">
        <v>589</v>
      </c>
    </row>
    <row r="100" spans="1:12" x14ac:dyDescent="0.35">
      <c r="A100" s="11">
        <v>99</v>
      </c>
      <c r="B100" s="17">
        <v>45809.526307870372</v>
      </c>
      <c r="C100" s="18">
        <v>45809</v>
      </c>
      <c r="D100" s="10" t="s">
        <v>394</v>
      </c>
      <c r="E100" s="14">
        <v>2000</v>
      </c>
      <c r="F100" s="5">
        <v>0</v>
      </c>
      <c r="G100" s="5">
        <v>71754.61</v>
      </c>
      <c r="H100" s="10" t="s">
        <v>51</v>
      </c>
      <c r="I100" s="10" t="s">
        <v>52</v>
      </c>
      <c r="J100" s="10" t="s">
        <v>32</v>
      </c>
      <c r="K100" s="10" t="s">
        <v>18</v>
      </c>
      <c r="L100" s="10" t="s">
        <v>592</v>
      </c>
    </row>
    <row r="101" spans="1:12" x14ac:dyDescent="0.35">
      <c r="A101" s="9">
        <v>100</v>
      </c>
      <c r="B101" s="19">
        <v>45810.130740740737</v>
      </c>
      <c r="C101" s="20">
        <v>45810</v>
      </c>
      <c r="D101" s="8" t="s">
        <v>2527</v>
      </c>
      <c r="E101" s="3">
        <v>0</v>
      </c>
      <c r="F101" s="13">
        <v>24.73</v>
      </c>
      <c r="G101" s="3">
        <v>71779.34</v>
      </c>
      <c r="H101" s="8" t="s">
        <v>51</v>
      </c>
      <c r="I101" s="8" t="s">
        <v>71</v>
      </c>
      <c r="J101" s="8" t="s">
        <v>32</v>
      </c>
      <c r="K101" s="8" t="s">
        <v>18</v>
      </c>
      <c r="L101" s="8" t="s">
        <v>2563</v>
      </c>
    </row>
    <row r="102" spans="1:12" x14ac:dyDescent="0.35">
      <c r="A102" s="11">
        <v>101</v>
      </c>
      <c r="B102" s="17">
        <v>45810.211655092593</v>
      </c>
      <c r="C102" s="18">
        <v>45810</v>
      </c>
      <c r="D102" s="10" t="s">
        <v>394</v>
      </c>
      <c r="E102" s="14">
        <v>500</v>
      </c>
      <c r="F102" s="5">
        <v>0</v>
      </c>
      <c r="G102" s="5">
        <v>71279.34</v>
      </c>
      <c r="H102" s="10" t="s">
        <v>51</v>
      </c>
      <c r="I102" s="10" t="s">
        <v>52</v>
      </c>
      <c r="J102" s="10" t="s">
        <v>32</v>
      </c>
      <c r="K102" s="10" t="s">
        <v>18</v>
      </c>
      <c r="L102" s="10" t="s">
        <v>593</v>
      </c>
    </row>
    <row r="103" spans="1:12" x14ac:dyDescent="0.35">
      <c r="A103" s="9">
        <v>102</v>
      </c>
      <c r="B103" s="19">
        <v>45810.665162037039</v>
      </c>
      <c r="C103" s="20">
        <v>45810</v>
      </c>
      <c r="D103" s="8" t="s">
        <v>394</v>
      </c>
      <c r="E103" s="12">
        <v>800</v>
      </c>
      <c r="F103" s="3">
        <v>0</v>
      </c>
      <c r="G103" s="3">
        <v>70479.34</v>
      </c>
      <c r="H103" s="8" t="s">
        <v>51</v>
      </c>
      <c r="I103" s="8" t="s">
        <v>52</v>
      </c>
      <c r="J103" s="8" t="s">
        <v>32</v>
      </c>
      <c r="K103" s="8" t="s">
        <v>18</v>
      </c>
      <c r="L103" s="8" t="s">
        <v>597</v>
      </c>
    </row>
    <row r="104" spans="1:12" x14ac:dyDescent="0.35">
      <c r="A104" s="11">
        <v>103</v>
      </c>
      <c r="B104" s="17">
        <v>45810.728472222218</v>
      </c>
      <c r="C104" s="18">
        <v>45810</v>
      </c>
      <c r="D104" s="10" t="s">
        <v>394</v>
      </c>
      <c r="E104" s="14">
        <v>2100</v>
      </c>
      <c r="F104" s="5">
        <v>0</v>
      </c>
      <c r="G104" s="5">
        <v>68379.34</v>
      </c>
      <c r="H104" s="10" t="s">
        <v>51</v>
      </c>
      <c r="I104" s="10" t="s">
        <v>52</v>
      </c>
      <c r="J104" s="10" t="s">
        <v>32</v>
      </c>
      <c r="K104" s="10" t="s">
        <v>18</v>
      </c>
      <c r="L104" s="10" t="s">
        <v>600</v>
      </c>
    </row>
    <row r="105" spans="1:12" x14ac:dyDescent="0.35">
      <c r="A105" s="9">
        <v>104</v>
      </c>
      <c r="B105" s="19">
        <v>45811.13622685185</v>
      </c>
      <c r="C105" s="20">
        <v>45811</v>
      </c>
      <c r="D105" s="8" t="s">
        <v>2527</v>
      </c>
      <c r="E105" s="3">
        <v>0</v>
      </c>
      <c r="F105" s="13">
        <v>23.56</v>
      </c>
      <c r="G105" s="3">
        <v>68402.899999999994</v>
      </c>
      <c r="H105" s="8" t="s">
        <v>51</v>
      </c>
      <c r="I105" s="8" t="s">
        <v>71</v>
      </c>
      <c r="J105" s="8" t="s">
        <v>32</v>
      </c>
      <c r="K105" s="8" t="s">
        <v>18</v>
      </c>
      <c r="L105" s="8" t="s">
        <v>2564</v>
      </c>
    </row>
    <row r="106" spans="1:12" x14ac:dyDescent="0.35">
      <c r="A106" s="11">
        <v>105</v>
      </c>
      <c r="B106" s="17">
        <v>45811.211608796293</v>
      </c>
      <c r="C106" s="18">
        <v>45811</v>
      </c>
      <c r="D106" s="10" t="s">
        <v>394</v>
      </c>
      <c r="E106" s="14">
        <v>500</v>
      </c>
      <c r="F106" s="5">
        <v>0</v>
      </c>
      <c r="G106" s="5">
        <v>67902.899999999994</v>
      </c>
      <c r="H106" s="10" t="s">
        <v>51</v>
      </c>
      <c r="I106" s="10" t="s">
        <v>52</v>
      </c>
      <c r="J106" s="10" t="s">
        <v>32</v>
      </c>
      <c r="K106" s="10" t="s">
        <v>18</v>
      </c>
      <c r="L106" s="10" t="s">
        <v>601</v>
      </c>
    </row>
    <row r="107" spans="1:12" x14ac:dyDescent="0.35">
      <c r="A107" s="9">
        <v>106</v>
      </c>
      <c r="B107" s="19">
        <v>45811.657013888893</v>
      </c>
      <c r="C107" s="20">
        <v>45811</v>
      </c>
      <c r="D107" s="8" t="s">
        <v>394</v>
      </c>
      <c r="E107" s="12">
        <v>1000</v>
      </c>
      <c r="F107" s="3">
        <v>0</v>
      </c>
      <c r="G107" s="3">
        <v>66902.899999999994</v>
      </c>
      <c r="H107" s="8" t="s">
        <v>51</v>
      </c>
      <c r="I107" s="8" t="s">
        <v>52</v>
      </c>
      <c r="J107" s="8" t="s">
        <v>32</v>
      </c>
      <c r="K107" s="8" t="s">
        <v>18</v>
      </c>
      <c r="L107" s="8" t="s">
        <v>605</v>
      </c>
    </row>
    <row r="108" spans="1:12" x14ac:dyDescent="0.35">
      <c r="A108" s="11">
        <v>107</v>
      </c>
      <c r="B108" s="17">
        <v>45811.879884259259</v>
      </c>
      <c r="C108" s="18">
        <v>45811</v>
      </c>
      <c r="D108" s="10" t="s">
        <v>394</v>
      </c>
      <c r="E108" s="14">
        <v>2500</v>
      </c>
      <c r="F108" s="5">
        <v>0</v>
      </c>
      <c r="G108" s="5">
        <v>64402.9</v>
      </c>
      <c r="H108" s="10" t="s">
        <v>51</v>
      </c>
      <c r="I108" s="10" t="s">
        <v>52</v>
      </c>
      <c r="J108" s="10" t="s">
        <v>32</v>
      </c>
      <c r="K108" s="10" t="s">
        <v>18</v>
      </c>
      <c r="L108" s="10" t="s">
        <v>607</v>
      </c>
    </row>
    <row r="109" spans="1:12" x14ac:dyDescent="0.35">
      <c r="A109" s="9">
        <v>108</v>
      </c>
      <c r="B109" s="19">
        <v>45812.134108796286</v>
      </c>
      <c r="C109" s="20">
        <v>45812</v>
      </c>
      <c r="D109" s="8" t="s">
        <v>2527</v>
      </c>
      <c r="E109" s="3">
        <v>0</v>
      </c>
      <c r="F109" s="13">
        <v>22.19</v>
      </c>
      <c r="G109" s="3">
        <v>64425.09</v>
      </c>
      <c r="H109" s="8" t="s">
        <v>51</v>
      </c>
      <c r="I109" s="8" t="s">
        <v>71</v>
      </c>
      <c r="J109" s="8" t="s">
        <v>32</v>
      </c>
      <c r="K109" s="8" t="s">
        <v>18</v>
      </c>
      <c r="L109" s="8" t="s">
        <v>2565</v>
      </c>
    </row>
    <row r="110" spans="1:12" x14ac:dyDescent="0.35">
      <c r="A110" s="11">
        <v>109</v>
      </c>
      <c r="B110" s="17">
        <v>45812.211643518523</v>
      </c>
      <c r="C110" s="18">
        <v>45812</v>
      </c>
      <c r="D110" s="10" t="s">
        <v>394</v>
      </c>
      <c r="E110" s="14">
        <v>500</v>
      </c>
      <c r="F110" s="5">
        <v>0</v>
      </c>
      <c r="G110" s="5">
        <v>63925.09</v>
      </c>
      <c r="H110" s="10" t="s">
        <v>51</v>
      </c>
      <c r="I110" s="10" t="s">
        <v>52</v>
      </c>
      <c r="J110" s="10" t="s">
        <v>32</v>
      </c>
      <c r="K110" s="10" t="s">
        <v>18</v>
      </c>
      <c r="L110" s="10" t="s">
        <v>609</v>
      </c>
    </row>
    <row r="111" spans="1:12" x14ac:dyDescent="0.35">
      <c r="A111" s="9">
        <v>110</v>
      </c>
      <c r="B111" s="19">
        <v>45812.78806712963</v>
      </c>
      <c r="C111" s="20">
        <v>45812</v>
      </c>
      <c r="D111" s="8" t="s">
        <v>394</v>
      </c>
      <c r="E111" s="12">
        <v>10100</v>
      </c>
      <c r="F111" s="3">
        <v>0</v>
      </c>
      <c r="G111" s="3">
        <v>53825.09</v>
      </c>
      <c r="H111" s="8" t="s">
        <v>51</v>
      </c>
      <c r="I111" s="8" t="s">
        <v>52</v>
      </c>
      <c r="J111" s="8" t="s">
        <v>32</v>
      </c>
      <c r="K111" s="8" t="s">
        <v>18</v>
      </c>
      <c r="L111" s="8" t="s">
        <v>612</v>
      </c>
    </row>
    <row r="112" spans="1:12" x14ac:dyDescent="0.35">
      <c r="A112" s="11">
        <v>111</v>
      </c>
      <c r="B112" s="17">
        <v>45813.132731481477</v>
      </c>
      <c r="C112" s="18">
        <v>45813</v>
      </c>
      <c r="D112" s="10" t="s">
        <v>2527</v>
      </c>
      <c r="E112" s="5">
        <v>0</v>
      </c>
      <c r="F112" s="15">
        <v>18.54</v>
      </c>
      <c r="G112" s="5">
        <v>53843.63</v>
      </c>
      <c r="H112" s="10" t="s">
        <v>51</v>
      </c>
      <c r="I112" s="10" t="s">
        <v>71</v>
      </c>
      <c r="J112" s="10" t="s">
        <v>32</v>
      </c>
      <c r="K112" s="10" t="s">
        <v>18</v>
      </c>
      <c r="L112" s="10" t="s">
        <v>2566</v>
      </c>
    </row>
    <row r="113" spans="1:12" x14ac:dyDescent="0.35">
      <c r="A113" s="9">
        <v>112</v>
      </c>
      <c r="B113" s="19">
        <v>45813.211423611108</v>
      </c>
      <c r="C113" s="20">
        <v>45813</v>
      </c>
      <c r="D113" s="8" t="s">
        <v>394</v>
      </c>
      <c r="E113" s="12">
        <v>500</v>
      </c>
      <c r="F113" s="3">
        <v>0</v>
      </c>
      <c r="G113" s="3">
        <v>53343.63</v>
      </c>
      <c r="H113" s="8" t="s">
        <v>51</v>
      </c>
      <c r="I113" s="8" t="s">
        <v>52</v>
      </c>
      <c r="J113" s="8" t="s">
        <v>32</v>
      </c>
      <c r="K113" s="8" t="s">
        <v>18</v>
      </c>
      <c r="L113" s="8" t="s">
        <v>614</v>
      </c>
    </row>
    <row r="114" spans="1:12" x14ac:dyDescent="0.35">
      <c r="A114" s="11">
        <v>113</v>
      </c>
      <c r="B114" s="17">
        <v>45813.512303240743</v>
      </c>
      <c r="C114" s="18">
        <v>45813</v>
      </c>
      <c r="D114" s="10" t="s">
        <v>394</v>
      </c>
      <c r="E114" s="14">
        <v>10000</v>
      </c>
      <c r="F114" s="5">
        <v>0</v>
      </c>
      <c r="G114" s="5">
        <v>43343.63</v>
      </c>
      <c r="H114" s="10" t="s">
        <v>51</v>
      </c>
      <c r="I114" s="10" t="s">
        <v>52</v>
      </c>
      <c r="J114" s="10" t="s">
        <v>32</v>
      </c>
      <c r="K114" s="10" t="s">
        <v>18</v>
      </c>
      <c r="L114" s="10" t="s">
        <v>617</v>
      </c>
    </row>
    <row r="115" spans="1:12" x14ac:dyDescent="0.35">
      <c r="A115" s="9">
        <v>114</v>
      </c>
      <c r="B115" s="19">
        <v>45813.512916666667</v>
      </c>
      <c r="C115" s="20">
        <v>45813</v>
      </c>
      <c r="D115" s="8" t="s">
        <v>394</v>
      </c>
      <c r="E115" s="12">
        <v>500</v>
      </c>
      <c r="F115" s="3">
        <v>0</v>
      </c>
      <c r="G115" s="3">
        <v>42843.63</v>
      </c>
      <c r="H115" s="8" t="s">
        <v>51</v>
      </c>
      <c r="I115" s="8" t="s">
        <v>52</v>
      </c>
      <c r="J115" s="8" t="s">
        <v>32</v>
      </c>
      <c r="K115" s="8" t="s">
        <v>18</v>
      </c>
      <c r="L115" s="8" t="s">
        <v>620</v>
      </c>
    </row>
    <row r="116" spans="1:12" x14ac:dyDescent="0.35">
      <c r="A116" s="11">
        <v>115</v>
      </c>
      <c r="B116" s="17">
        <v>45813.564259259263</v>
      </c>
      <c r="C116" s="18">
        <v>45813</v>
      </c>
      <c r="D116" s="10" t="s">
        <v>394</v>
      </c>
      <c r="E116" s="14">
        <v>10</v>
      </c>
      <c r="F116" s="5">
        <v>0</v>
      </c>
      <c r="G116" s="5">
        <v>42833.63</v>
      </c>
      <c r="H116" s="10" t="s">
        <v>51</v>
      </c>
      <c r="I116" s="10" t="s">
        <v>52</v>
      </c>
      <c r="J116" s="10" t="s">
        <v>32</v>
      </c>
      <c r="K116" s="10" t="s">
        <v>18</v>
      </c>
      <c r="L116" s="10" t="s">
        <v>621</v>
      </c>
    </row>
    <row r="117" spans="1:12" x14ac:dyDescent="0.35">
      <c r="A117" s="9">
        <v>116</v>
      </c>
      <c r="B117" s="19">
        <v>45813.564710648148</v>
      </c>
      <c r="C117" s="20">
        <v>45813</v>
      </c>
      <c r="D117" s="8" t="s">
        <v>394</v>
      </c>
      <c r="E117" s="12">
        <v>200</v>
      </c>
      <c r="F117" s="3">
        <v>0</v>
      </c>
      <c r="G117" s="3">
        <v>42633.63</v>
      </c>
      <c r="H117" s="8" t="s">
        <v>51</v>
      </c>
      <c r="I117" s="8" t="s">
        <v>52</v>
      </c>
      <c r="J117" s="8" t="s">
        <v>32</v>
      </c>
      <c r="K117" s="8" t="s">
        <v>18</v>
      </c>
      <c r="L117" s="8" t="s">
        <v>623</v>
      </c>
    </row>
    <row r="118" spans="1:12" x14ac:dyDescent="0.35">
      <c r="A118" s="11">
        <v>117</v>
      </c>
      <c r="B118" s="17">
        <v>45813.598946759259</v>
      </c>
      <c r="C118" s="18">
        <v>45813</v>
      </c>
      <c r="D118" s="10" t="s">
        <v>394</v>
      </c>
      <c r="E118" s="14">
        <v>2800</v>
      </c>
      <c r="F118" s="5">
        <v>0</v>
      </c>
      <c r="G118" s="5">
        <v>39833.629999999997</v>
      </c>
      <c r="H118" s="10" t="s">
        <v>51</v>
      </c>
      <c r="I118" s="10" t="s">
        <v>52</v>
      </c>
      <c r="J118" s="10" t="s">
        <v>32</v>
      </c>
      <c r="K118" s="10" t="s">
        <v>18</v>
      </c>
      <c r="L118" s="10" t="s">
        <v>628</v>
      </c>
    </row>
    <row r="119" spans="1:12" x14ac:dyDescent="0.35">
      <c r="A119" s="9">
        <v>118</v>
      </c>
      <c r="B119" s="19">
        <v>45814.132708333331</v>
      </c>
      <c r="C119" s="20">
        <v>45814</v>
      </c>
      <c r="D119" s="8" t="s">
        <v>2527</v>
      </c>
      <c r="E119" s="3">
        <v>0</v>
      </c>
      <c r="F119" s="13">
        <v>13.72</v>
      </c>
      <c r="G119" s="3">
        <v>39847.35</v>
      </c>
      <c r="H119" s="8" t="s">
        <v>51</v>
      </c>
      <c r="I119" s="8" t="s">
        <v>71</v>
      </c>
      <c r="J119" s="8" t="s">
        <v>32</v>
      </c>
      <c r="K119" s="8" t="s">
        <v>18</v>
      </c>
      <c r="L119" s="8" t="s">
        <v>2567</v>
      </c>
    </row>
    <row r="120" spans="1:12" x14ac:dyDescent="0.35">
      <c r="A120" s="11">
        <v>119</v>
      </c>
      <c r="B120" s="17">
        <v>45814.211412037039</v>
      </c>
      <c r="C120" s="18">
        <v>45814</v>
      </c>
      <c r="D120" s="10" t="s">
        <v>394</v>
      </c>
      <c r="E120" s="14">
        <v>500</v>
      </c>
      <c r="F120" s="5">
        <v>0</v>
      </c>
      <c r="G120" s="5">
        <v>39347.35</v>
      </c>
      <c r="H120" s="10" t="s">
        <v>51</v>
      </c>
      <c r="I120" s="10" t="s">
        <v>52</v>
      </c>
      <c r="J120" s="10" t="s">
        <v>32</v>
      </c>
      <c r="K120" s="10" t="s">
        <v>18</v>
      </c>
      <c r="L120" s="10" t="s">
        <v>629</v>
      </c>
    </row>
    <row r="121" spans="1:12" x14ac:dyDescent="0.35">
      <c r="A121" s="9">
        <v>120</v>
      </c>
      <c r="B121" s="19">
        <v>45814.445555555547</v>
      </c>
      <c r="C121" s="20">
        <v>45814</v>
      </c>
      <c r="D121" s="8" t="s">
        <v>394</v>
      </c>
      <c r="E121" s="12">
        <v>6000</v>
      </c>
      <c r="F121" s="3">
        <v>0</v>
      </c>
      <c r="G121" s="3">
        <v>33347.35</v>
      </c>
      <c r="H121" s="8" t="s">
        <v>51</v>
      </c>
      <c r="I121" s="8" t="s">
        <v>52</v>
      </c>
      <c r="J121" s="8" t="s">
        <v>32</v>
      </c>
      <c r="K121" s="8" t="s">
        <v>18</v>
      </c>
      <c r="L121" s="8" t="s">
        <v>633</v>
      </c>
    </row>
    <row r="122" spans="1:12" x14ac:dyDescent="0.35">
      <c r="A122" s="11">
        <v>121</v>
      </c>
      <c r="B122" s="17">
        <v>45814.498715277783</v>
      </c>
      <c r="C122" s="18">
        <v>45814</v>
      </c>
      <c r="D122" s="10" t="s">
        <v>394</v>
      </c>
      <c r="E122" s="14">
        <v>10300</v>
      </c>
      <c r="F122" s="5">
        <v>0</v>
      </c>
      <c r="G122" s="5">
        <v>23047.35</v>
      </c>
      <c r="H122" s="10" t="s">
        <v>51</v>
      </c>
      <c r="I122" s="10" t="s">
        <v>52</v>
      </c>
      <c r="J122" s="10" t="s">
        <v>32</v>
      </c>
      <c r="K122" s="10" t="s">
        <v>18</v>
      </c>
      <c r="L122" s="10" t="s">
        <v>636</v>
      </c>
    </row>
    <row r="123" spans="1:12" x14ac:dyDescent="0.35">
      <c r="A123" s="9">
        <v>122</v>
      </c>
      <c r="B123" s="19">
        <v>45814.631932870368</v>
      </c>
      <c r="C123" s="20">
        <v>45814</v>
      </c>
      <c r="D123" s="8" t="s">
        <v>394</v>
      </c>
      <c r="E123" s="12">
        <v>500</v>
      </c>
      <c r="F123" s="3">
        <v>0</v>
      </c>
      <c r="G123" s="3">
        <v>22547.35</v>
      </c>
      <c r="H123" s="8" t="s">
        <v>51</v>
      </c>
      <c r="I123" s="8" t="s">
        <v>52</v>
      </c>
      <c r="J123" s="8" t="s">
        <v>32</v>
      </c>
      <c r="K123" s="8" t="s">
        <v>18</v>
      </c>
      <c r="L123" s="8" t="s">
        <v>638</v>
      </c>
    </row>
    <row r="124" spans="1:12" x14ac:dyDescent="0.35">
      <c r="A124" s="11">
        <v>123</v>
      </c>
      <c r="B124" s="17">
        <v>45815.125601851847</v>
      </c>
      <c r="C124" s="18">
        <v>45815</v>
      </c>
      <c r="D124" s="10" t="s">
        <v>2527</v>
      </c>
      <c r="E124" s="5">
        <v>0</v>
      </c>
      <c r="F124" s="15">
        <v>7.76</v>
      </c>
      <c r="G124" s="5">
        <v>22555.11</v>
      </c>
      <c r="H124" s="10" t="s">
        <v>51</v>
      </c>
      <c r="I124" s="10" t="s">
        <v>71</v>
      </c>
      <c r="J124" s="10" t="s">
        <v>32</v>
      </c>
      <c r="K124" s="10" t="s">
        <v>18</v>
      </c>
      <c r="L124" s="10" t="s">
        <v>2568</v>
      </c>
    </row>
    <row r="125" spans="1:12" x14ac:dyDescent="0.35">
      <c r="A125" s="9">
        <v>124</v>
      </c>
      <c r="B125" s="19">
        <v>45815.211377314823</v>
      </c>
      <c r="C125" s="20">
        <v>45815</v>
      </c>
      <c r="D125" s="8" t="s">
        <v>394</v>
      </c>
      <c r="E125" s="12">
        <v>500</v>
      </c>
      <c r="F125" s="3">
        <v>0</v>
      </c>
      <c r="G125" s="3">
        <v>22055.11</v>
      </c>
      <c r="H125" s="8" t="s">
        <v>51</v>
      </c>
      <c r="I125" s="8" t="s">
        <v>52</v>
      </c>
      <c r="J125" s="8" t="s">
        <v>32</v>
      </c>
      <c r="K125" s="8" t="s">
        <v>18</v>
      </c>
      <c r="L125" s="8" t="s">
        <v>639</v>
      </c>
    </row>
    <row r="126" spans="1:12" x14ac:dyDescent="0.35">
      <c r="A126" s="11">
        <v>125</v>
      </c>
      <c r="B126" s="17">
        <v>45815.755601851852</v>
      </c>
      <c r="C126" s="18">
        <v>45815</v>
      </c>
      <c r="D126" s="10" t="s">
        <v>394</v>
      </c>
      <c r="E126" s="14">
        <v>4000</v>
      </c>
      <c r="F126" s="5">
        <v>0</v>
      </c>
      <c r="G126" s="5">
        <v>18055.11</v>
      </c>
      <c r="H126" s="10" t="s">
        <v>51</v>
      </c>
      <c r="I126" s="10" t="s">
        <v>52</v>
      </c>
      <c r="J126" s="10" t="s">
        <v>32</v>
      </c>
      <c r="K126" s="10" t="s">
        <v>18</v>
      </c>
      <c r="L126" s="10" t="s">
        <v>642</v>
      </c>
    </row>
    <row r="127" spans="1:12" x14ac:dyDescent="0.35">
      <c r="A127" s="9">
        <v>126</v>
      </c>
      <c r="B127" s="19">
        <v>45815.802939814806</v>
      </c>
      <c r="C127" s="20">
        <v>45815</v>
      </c>
      <c r="D127" s="8" t="s">
        <v>394</v>
      </c>
      <c r="E127" s="12">
        <v>1000</v>
      </c>
      <c r="F127" s="3">
        <v>0</v>
      </c>
      <c r="G127" s="3">
        <v>17055.11</v>
      </c>
      <c r="H127" s="8" t="s">
        <v>51</v>
      </c>
      <c r="I127" s="8" t="s">
        <v>52</v>
      </c>
      <c r="J127" s="8" t="s">
        <v>32</v>
      </c>
      <c r="K127" s="8" t="s">
        <v>18</v>
      </c>
      <c r="L127" s="8" t="s">
        <v>645</v>
      </c>
    </row>
    <row r="128" spans="1:12" x14ac:dyDescent="0.35">
      <c r="A128" s="11">
        <v>127</v>
      </c>
      <c r="B128" s="17">
        <v>45815.806875000002</v>
      </c>
      <c r="C128" s="18">
        <v>45815</v>
      </c>
      <c r="D128" s="10" t="s">
        <v>394</v>
      </c>
      <c r="E128" s="14">
        <v>1000</v>
      </c>
      <c r="F128" s="5">
        <v>0</v>
      </c>
      <c r="G128" s="5">
        <v>16055.11</v>
      </c>
      <c r="H128" s="10" t="s">
        <v>51</v>
      </c>
      <c r="I128" s="10" t="s">
        <v>52</v>
      </c>
      <c r="J128" s="10" t="s">
        <v>32</v>
      </c>
      <c r="K128" s="10" t="s">
        <v>18</v>
      </c>
      <c r="L128" s="10" t="s">
        <v>648</v>
      </c>
    </row>
    <row r="129" spans="1:12" x14ac:dyDescent="0.35">
      <c r="A129" s="9">
        <v>128</v>
      </c>
      <c r="B129" s="19">
        <v>45815.815706018519</v>
      </c>
      <c r="C129" s="20">
        <v>45815</v>
      </c>
      <c r="D129" s="8" t="s">
        <v>394</v>
      </c>
      <c r="E129" s="12">
        <v>500</v>
      </c>
      <c r="F129" s="3">
        <v>0</v>
      </c>
      <c r="G129" s="3">
        <v>15555.11</v>
      </c>
      <c r="H129" s="8" t="s">
        <v>51</v>
      </c>
      <c r="I129" s="8" t="s">
        <v>52</v>
      </c>
      <c r="J129" s="8" t="s">
        <v>32</v>
      </c>
      <c r="K129" s="8" t="s">
        <v>18</v>
      </c>
      <c r="L129" s="8" t="s">
        <v>651</v>
      </c>
    </row>
    <row r="130" spans="1:12" x14ac:dyDescent="0.35">
      <c r="A130" s="11">
        <v>129</v>
      </c>
      <c r="B130" s="17">
        <v>45815.818148148152</v>
      </c>
      <c r="C130" s="18">
        <v>45815</v>
      </c>
      <c r="D130" s="10" t="s">
        <v>394</v>
      </c>
      <c r="E130" s="14">
        <v>2500</v>
      </c>
      <c r="F130" s="5">
        <v>0</v>
      </c>
      <c r="G130" s="5">
        <v>13055.11</v>
      </c>
      <c r="H130" s="10" t="s">
        <v>51</v>
      </c>
      <c r="I130" s="10" t="s">
        <v>52</v>
      </c>
      <c r="J130" s="10" t="s">
        <v>32</v>
      </c>
      <c r="K130" s="10" t="s">
        <v>18</v>
      </c>
      <c r="L130" s="10" t="s">
        <v>654</v>
      </c>
    </row>
    <row r="131" spans="1:12" x14ac:dyDescent="0.35">
      <c r="A131" s="9">
        <v>130</v>
      </c>
      <c r="B131" s="19">
        <v>45816.128935185188</v>
      </c>
      <c r="C131" s="20">
        <v>45816</v>
      </c>
      <c r="D131" s="8" t="s">
        <v>2527</v>
      </c>
      <c r="E131" s="3">
        <v>0</v>
      </c>
      <c r="F131" s="13">
        <v>4.49</v>
      </c>
      <c r="G131" s="3">
        <v>13059.6</v>
      </c>
      <c r="H131" s="8" t="s">
        <v>51</v>
      </c>
      <c r="I131" s="8" t="s">
        <v>71</v>
      </c>
      <c r="J131" s="8" t="s">
        <v>32</v>
      </c>
      <c r="K131" s="8" t="s">
        <v>18</v>
      </c>
      <c r="L131" s="8" t="s">
        <v>2569</v>
      </c>
    </row>
    <row r="132" spans="1:12" x14ac:dyDescent="0.35">
      <c r="A132" s="11">
        <v>131</v>
      </c>
      <c r="B132" s="17">
        <v>45816.211226851847</v>
      </c>
      <c r="C132" s="18">
        <v>45816</v>
      </c>
      <c r="D132" s="10" t="s">
        <v>394</v>
      </c>
      <c r="E132" s="14">
        <v>500</v>
      </c>
      <c r="F132" s="5">
        <v>0</v>
      </c>
      <c r="G132" s="5">
        <v>12559.6</v>
      </c>
      <c r="H132" s="10" t="s">
        <v>51</v>
      </c>
      <c r="I132" s="10" t="s">
        <v>52</v>
      </c>
      <c r="J132" s="10" t="s">
        <v>32</v>
      </c>
      <c r="K132" s="10" t="s">
        <v>18</v>
      </c>
      <c r="L132" s="10" t="s">
        <v>655</v>
      </c>
    </row>
    <row r="133" spans="1:12" x14ac:dyDescent="0.35">
      <c r="A133" s="9">
        <v>132</v>
      </c>
      <c r="B133" s="19">
        <v>45816.541377314818</v>
      </c>
      <c r="C133" s="20">
        <v>45816</v>
      </c>
      <c r="D133" s="8" t="s">
        <v>394</v>
      </c>
      <c r="E133" s="12">
        <v>1350</v>
      </c>
      <c r="F133" s="3">
        <v>0</v>
      </c>
      <c r="G133" s="3">
        <v>11209.6</v>
      </c>
      <c r="H133" s="8" t="s">
        <v>51</v>
      </c>
      <c r="I133" s="8" t="s">
        <v>52</v>
      </c>
      <c r="J133" s="8" t="s">
        <v>32</v>
      </c>
      <c r="K133" s="8" t="s">
        <v>18</v>
      </c>
      <c r="L133" s="8" t="s">
        <v>659</v>
      </c>
    </row>
    <row r="134" spans="1:12" x14ac:dyDescent="0.35">
      <c r="A134" s="11">
        <v>133</v>
      </c>
      <c r="B134" s="17">
        <v>45817.126585648148</v>
      </c>
      <c r="C134" s="18">
        <v>45817</v>
      </c>
      <c r="D134" s="10" t="s">
        <v>2527</v>
      </c>
      <c r="E134" s="5">
        <v>0</v>
      </c>
      <c r="F134" s="15">
        <v>3.86</v>
      </c>
      <c r="G134" s="5">
        <v>11213.46</v>
      </c>
      <c r="H134" s="10" t="s">
        <v>51</v>
      </c>
      <c r="I134" s="10" t="s">
        <v>71</v>
      </c>
      <c r="J134" s="10" t="s">
        <v>32</v>
      </c>
      <c r="K134" s="10" t="s">
        <v>18</v>
      </c>
      <c r="L134" s="10" t="s">
        <v>2570</v>
      </c>
    </row>
    <row r="135" spans="1:12" x14ac:dyDescent="0.35">
      <c r="A135" s="9">
        <v>134</v>
      </c>
      <c r="B135" s="19">
        <v>45817.211064814823</v>
      </c>
      <c r="C135" s="20">
        <v>45817</v>
      </c>
      <c r="D135" s="8" t="s">
        <v>394</v>
      </c>
      <c r="E135" s="12">
        <v>500</v>
      </c>
      <c r="F135" s="3">
        <v>0</v>
      </c>
      <c r="G135" s="3">
        <v>10713.46</v>
      </c>
      <c r="H135" s="8" t="s">
        <v>51</v>
      </c>
      <c r="I135" s="8" t="s">
        <v>52</v>
      </c>
      <c r="J135" s="8" t="s">
        <v>32</v>
      </c>
      <c r="K135" s="8" t="s">
        <v>18</v>
      </c>
      <c r="L135" s="8" t="s">
        <v>660</v>
      </c>
    </row>
    <row r="136" spans="1:12" x14ac:dyDescent="0.35">
      <c r="A136" s="11">
        <v>135</v>
      </c>
      <c r="B136" s="17">
        <v>45817.928854166668</v>
      </c>
      <c r="C136" s="18">
        <v>45817</v>
      </c>
      <c r="D136" s="10" t="s">
        <v>426</v>
      </c>
      <c r="E136" s="5">
        <v>0</v>
      </c>
      <c r="F136" s="15">
        <v>1890</v>
      </c>
      <c r="G136" s="5">
        <v>12603.46</v>
      </c>
      <c r="H136" s="10" t="s">
        <v>51</v>
      </c>
      <c r="I136" s="10" t="s">
        <v>71</v>
      </c>
      <c r="J136" s="10" t="s">
        <v>32</v>
      </c>
      <c r="K136" s="10" t="s">
        <v>18</v>
      </c>
      <c r="L136" s="10" t="s">
        <v>668</v>
      </c>
    </row>
    <row r="137" spans="1:12" x14ac:dyDescent="0.35">
      <c r="A137" s="9">
        <v>136</v>
      </c>
      <c r="B137" s="19">
        <v>45818.129016203697</v>
      </c>
      <c r="C137" s="20">
        <v>45818</v>
      </c>
      <c r="D137" s="8" t="s">
        <v>2527</v>
      </c>
      <c r="E137" s="3">
        <v>0</v>
      </c>
      <c r="F137" s="13">
        <v>3.69</v>
      </c>
      <c r="G137" s="3">
        <v>12607.15</v>
      </c>
      <c r="H137" s="8" t="s">
        <v>51</v>
      </c>
      <c r="I137" s="8" t="s">
        <v>71</v>
      </c>
      <c r="J137" s="8" t="s">
        <v>32</v>
      </c>
      <c r="K137" s="8" t="s">
        <v>18</v>
      </c>
      <c r="L137" s="8" t="s">
        <v>2571</v>
      </c>
    </row>
    <row r="138" spans="1:12" x14ac:dyDescent="0.35">
      <c r="A138" s="11">
        <v>137</v>
      </c>
      <c r="B138" s="17">
        <v>45818.211018518523</v>
      </c>
      <c r="C138" s="18">
        <v>45818</v>
      </c>
      <c r="D138" s="10" t="s">
        <v>394</v>
      </c>
      <c r="E138" s="14">
        <v>500</v>
      </c>
      <c r="F138" s="5">
        <v>0</v>
      </c>
      <c r="G138" s="5">
        <v>12107.15</v>
      </c>
      <c r="H138" s="10" t="s">
        <v>51</v>
      </c>
      <c r="I138" s="10" t="s">
        <v>52</v>
      </c>
      <c r="J138" s="10" t="s">
        <v>32</v>
      </c>
      <c r="K138" s="10" t="s">
        <v>18</v>
      </c>
      <c r="L138" s="10" t="s">
        <v>670</v>
      </c>
    </row>
    <row r="139" spans="1:12" x14ac:dyDescent="0.35">
      <c r="A139" s="9">
        <v>138</v>
      </c>
      <c r="B139" s="19">
        <v>45818.456493055557</v>
      </c>
      <c r="C139" s="20">
        <v>45818</v>
      </c>
      <c r="D139" s="8" t="s">
        <v>394</v>
      </c>
      <c r="E139" s="12">
        <v>500</v>
      </c>
      <c r="F139" s="3">
        <v>0</v>
      </c>
      <c r="G139" s="3">
        <v>11607.15</v>
      </c>
      <c r="H139" s="8" t="s">
        <v>51</v>
      </c>
      <c r="I139" s="8" t="s">
        <v>52</v>
      </c>
      <c r="J139" s="8" t="s">
        <v>32</v>
      </c>
      <c r="K139" s="8" t="s">
        <v>18</v>
      </c>
      <c r="L139" s="8" t="s">
        <v>673</v>
      </c>
    </row>
    <row r="140" spans="1:12" x14ac:dyDescent="0.35">
      <c r="A140" s="11">
        <v>139</v>
      </c>
      <c r="B140" s="17">
        <v>45818.598182870373</v>
      </c>
      <c r="C140" s="18">
        <v>45818</v>
      </c>
      <c r="D140" s="10" t="s">
        <v>394</v>
      </c>
      <c r="E140" s="14">
        <v>500</v>
      </c>
      <c r="F140" s="5">
        <v>0</v>
      </c>
      <c r="G140" s="5">
        <v>11107.15</v>
      </c>
      <c r="H140" s="10" t="s">
        <v>51</v>
      </c>
      <c r="I140" s="10" t="s">
        <v>52</v>
      </c>
      <c r="J140" s="10" t="s">
        <v>32</v>
      </c>
      <c r="K140" s="10" t="s">
        <v>18</v>
      </c>
      <c r="L140" s="10" t="s">
        <v>676</v>
      </c>
    </row>
    <row r="141" spans="1:12" x14ac:dyDescent="0.35">
      <c r="A141" s="9">
        <v>140</v>
      </c>
      <c r="B141" s="19">
        <v>45818.929560185177</v>
      </c>
      <c r="C141" s="20">
        <v>45818</v>
      </c>
      <c r="D141" s="8" t="s">
        <v>426</v>
      </c>
      <c r="E141" s="3">
        <v>0</v>
      </c>
      <c r="F141" s="13">
        <v>4900</v>
      </c>
      <c r="G141" s="3">
        <v>16007.15</v>
      </c>
      <c r="H141" s="8" t="s">
        <v>51</v>
      </c>
      <c r="I141" s="8" t="s">
        <v>71</v>
      </c>
      <c r="J141" s="8" t="s">
        <v>32</v>
      </c>
      <c r="K141" s="8" t="s">
        <v>18</v>
      </c>
      <c r="L141" s="8" t="s">
        <v>681</v>
      </c>
    </row>
    <row r="142" spans="1:12" x14ac:dyDescent="0.35">
      <c r="A142" s="11">
        <v>141</v>
      </c>
      <c r="B142" s="17">
        <v>45819.129421296297</v>
      </c>
      <c r="C142" s="18">
        <v>45819</v>
      </c>
      <c r="D142" s="10" t="s">
        <v>2527</v>
      </c>
      <c r="E142" s="5">
        <v>0</v>
      </c>
      <c r="F142" s="15">
        <v>3.82</v>
      </c>
      <c r="G142" s="5">
        <v>16010.97</v>
      </c>
      <c r="H142" s="10" t="s">
        <v>51</v>
      </c>
      <c r="I142" s="10" t="s">
        <v>71</v>
      </c>
      <c r="J142" s="10" t="s">
        <v>32</v>
      </c>
      <c r="K142" s="10" t="s">
        <v>18</v>
      </c>
      <c r="L142" s="10" t="s">
        <v>2572</v>
      </c>
    </row>
    <row r="143" spans="1:12" x14ac:dyDescent="0.35">
      <c r="A143" s="9">
        <v>142</v>
      </c>
      <c r="B143" s="19">
        <v>45819.211018518523</v>
      </c>
      <c r="C143" s="20">
        <v>45819</v>
      </c>
      <c r="D143" s="8" t="s">
        <v>394</v>
      </c>
      <c r="E143" s="12">
        <v>500</v>
      </c>
      <c r="F143" s="3">
        <v>0</v>
      </c>
      <c r="G143" s="3">
        <v>15510.97</v>
      </c>
      <c r="H143" s="8" t="s">
        <v>51</v>
      </c>
      <c r="I143" s="8" t="s">
        <v>52</v>
      </c>
      <c r="J143" s="8" t="s">
        <v>32</v>
      </c>
      <c r="K143" s="8" t="s">
        <v>18</v>
      </c>
      <c r="L143" s="8" t="s">
        <v>682</v>
      </c>
    </row>
    <row r="144" spans="1:12" x14ac:dyDescent="0.35">
      <c r="A144" s="11">
        <v>143</v>
      </c>
      <c r="B144" s="17">
        <v>45819.307974537027</v>
      </c>
      <c r="C144" s="18">
        <v>45819</v>
      </c>
      <c r="D144" s="10" t="s">
        <v>394</v>
      </c>
      <c r="E144" s="14">
        <v>10</v>
      </c>
      <c r="F144" s="5">
        <v>0</v>
      </c>
      <c r="G144" s="5">
        <v>15500.97</v>
      </c>
      <c r="H144" s="10" t="s">
        <v>51</v>
      </c>
      <c r="I144" s="10" t="s">
        <v>52</v>
      </c>
      <c r="J144" s="10" t="s">
        <v>32</v>
      </c>
      <c r="K144" s="10" t="s">
        <v>18</v>
      </c>
      <c r="L144" s="10" t="s">
        <v>684</v>
      </c>
    </row>
    <row r="145" spans="1:12" x14ac:dyDescent="0.35">
      <c r="A145" s="9">
        <v>144</v>
      </c>
      <c r="B145" s="19">
        <v>45819.308252314811</v>
      </c>
      <c r="C145" s="20">
        <v>45819</v>
      </c>
      <c r="D145" s="8" t="s">
        <v>394</v>
      </c>
      <c r="E145" s="12">
        <v>1000</v>
      </c>
      <c r="F145" s="3">
        <v>0</v>
      </c>
      <c r="G145" s="3">
        <v>14500.97</v>
      </c>
      <c r="H145" s="8" t="s">
        <v>51</v>
      </c>
      <c r="I145" s="8" t="s">
        <v>52</v>
      </c>
      <c r="J145" s="8" t="s">
        <v>32</v>
      </c>
      <c r="K145" s="8" t="s">
        <v>18</v>
      </c>
      <c r="L145" s="8" t="s">
        <v>687</v>
      </c>
    </row>
    <row r="146" spans="1:12" x14ac:dyDescent="0.35">
      <c r="A146" s="11">
        <v>145</v>
      </c>
      <c r="B146" s="17">
        <v>45819.43990740741</v>
      </c>
      <c r="C146" s="18">
        <v>45819</v>
      </c>
      <c r="D146" s="10" t="s">
        <v>394</v>
      </c>
      <c r="E146" s="14">
        <v>1000</v>
      </c>
      <c r="F146" s="5">
        <v>0</v>
      </c>
      <c r="G146" s="5">
        <v>13500.97</v>
      </c>
      <c r="H146" s="10" t="s">
        <v>51</v>
      </c>
      <c r="I146" s="10" t="s">
        <v>52</v>
      </c>
      <c r="J146" s="10" t="s">
        <v>32</v>
      </c>
      <c r="K146" s="10" t="s">
        <v>18</v>
      </c>
      <c r="L146" s="10" t="s">
        <v>690</v>
      </c>
    </row>
    <row r="147" spans="1:12" x14ac:dyDescent="0.35">
      <c r="A147" s="9">
        <v>146</v>
      </c>
      <c r="B147" s="19">
        <v>45819.617245370369</v>
      </c>
      <c r="C147" s="20">
        <v>45819</v>
      </c>
      <c r="D147" s="8" t="s">
        <v>394</v>
      </c>
      <c r="E147" s="12">
        <v>500</v>
      </c>
      <c r="F147" s="3">
        <v>0</v>
      </c>
      <c r="G147" s="3">
        <v>13000.97</v>
      </c>
      <c r="H147" s="8" t="s">
        <v>51</v>
      </c>
      <c r="I147" s="8" t="s">
        <v>52</v>
      </c>
      <c r="J147" s="8" t="s">
        <v>32</v>
      </c>
      <c r="K147" s="8" t="s">
        <v>18</v>
      </c>
      <c r="L147" s="8" t="s">
        <v>692</v>
      </c>
    </row>
    <row r="148" spans="1:12" x14ac:dyDescent="0.35">
      <c r="A148" s="11">
        <v>147</v>
      </c>
      <c r="B148" s="17">
        <v>45819.620868055557</v>
      </c>
      <c r="C148" s="18">
        <v>45819</v>
      </c>
      <c r="D148" s="10" t="s">
        <v>394</v>
      </c>
      <c r="E148" s="14">
        <v>750</v>
      </c>
      <c r="F148" s="5">
        <v>0</v>
      </c>
      <c r="G148" s="5">
        <v>12250.97</v>
      </c>
      <c r="H148" s="10" t="s">
        <v>51</v>
      </c>
      <c r="I148" s="10" t="s">
        <v>52</v>
      </c>
      <c r="J148" s="10" t="s">
        <v>32</v>
      </c>
      <c r="K148" s="10" t="s">
        <v>18</v>
      </c>
      <c r="L148" s="10" t="s">
        <v>695</v>
      </c>
    </row>
    <row r="149" spans="1:12" x14ac:dyDescent="0.35">
      <c r="A149" s="9">
        <v>148</v>
      </c>
      <c r="B149" s="19">
        <v>45819.653194444443</v>
      </c>
      <c r="C149" s="20">
        <v>45819</v>
      </c>
      <c r="D149" s="8" t="s">
        <v>394</v>
      </c>
      <c r="E149" s="12">
        <v>3540</v>
      </c>
      <c r="F149" s="3">
        <v>0</v>
      </c>
      <c r="G149" s="3">
        <v>8710.9699999999993</v>
      </c>
      <c r="H149" s="8" t="s">
        <v>51</v>
      </c>
      <c r="I149" s="8" t="s">
        <v>52</v>
      </c>
      <c r="J149" s="8" t="s">
        <v>32</v>
      </c>
      <c r="K149" s="8" t="s">
        <v>18</v>
      </c>
      <c r="L149" s="8" t="s">
        <v>698</v>
      </c>
    </row>
    <row r="150" spans="1:12" x14ac:dyDescent="0.35">
      <c r="A150" s="11">
        <v>149</v>
      </c>
      <c r="B150" s="17">
        <v>45819.929212962961</v>
      </c>
      <c r="C150" s="18">
        <v>45819</v>
      </c>
      <c r="D150" s="10" t="s">
        <v>426</v>
      </c>
      <c r="E150" s="5">
        <v>0</v>
      </c>
      <c r="F150" s="15">
        <v>10000</v>
      </c>
      <c r="G150" s="5">
        <v>18710.97</v>
      </c>
      <c r="H150" s="10" t="s">
        <v>51</v>
      </c>
      <c r="I150" s="10" t="s">
        <v>71</v>
      </c>
      <c r="J150" s="10" t="s">
        <v>32</v>
      </c>
      <c r="K150" s="10" t="s">
        <v>18</v>
      </c>
      <c r="L150" s="10" t="s">
        <v>710</v>
      </c>
    </row>
    <row r="151" spans="1:12" x14ac:dyDescent="0.35">
      <c r="A151" s="9">
        <v>150</v>
      </c>
      <c r="B151" s="19">
        <v>45820.1252662037</v>
      </c>
      <c r="C151" s="20">
        <v>45820</v>
      </c>
      <c r="D151" s="8" t="s">
        <v>2527</v>
      </c>
      <c r="E151" s="3">
        <v>0</v>
      </c>
      <c r="F151" s="13">
        <v>2.99</v>
      </c>
      <c r="G151" s="3">
        <v>18713.96</v>
      </c>
      <c r="H151" s="8" t="s">
        <v>51</v>
      </c>
      <c r="I151" s="8" t="s">
        <v>71</v>
      </c>
      <c r="J151" s="8" t="s">
        <v>32</v>
      </c>
      <c r="K151" s="8" t="s">
        <v>18</v>
      </c>
      <c r="L151" s="8" t="s">
        <v>2573</v>
      </c>
    </row>
    <row r="152" spans="1:12" x14ac:dyDescent="0.35">
      <c r="A152" s="11">
        <v>151</v>
      </c>
      <c r="B152" s="17">
        <v>45820.2109375</v>
      </c>
      <c r="C152" s="18">
        <v>45820</v>
      </c>
      <c r="D152" s="10" t="s">
        <v>394</v>
      </c>
      <c r="E152" s="14">
        <v>500</v>
      </c>
      <c r="F152" s="5">
        <v>0</v>
      </c>
      <c r="G152" s="5">
        <v>18213.96</v>
      </c>
      <c r="H152" s="10" t="s">
        <v>51</v>
      </c>
      <c r="I152" s="10" t="s">
        <v>52</v>
      </c>
      <c r="J152" s="10" t="s">
        <v>32</v>
      </c>
      <c r="K152" s="10" t="s">
        <v>18</v>
      </c>
      <c r="L152" s="10" t="s">
        <v>711</v>
      </c>
    </row>
    <row r="153" spans="1:12" x14ac:dyDescent="0.35">
      <c r="A153" s="9">
        <v>152</v>
      </c>
      <c r="B153" s="19">
        <v>45821.133206018523</v>
      </c>
      <c r="C153" s="20">
        <v>45821</v>
      </c>
      <c r="D153" s="8" t="s">
        <v>2527</v>
      </c>
      <c r="E153" s="3">
        <v>0</v>
      </c>
      <c r="F153" s="13">
        <v>6.27</v>
      </c>
      <c r="G153" s="3">
        <v>18220.23</v>
      </c>
      <c r="H153" s="8" t="s">
        <v>51</v>
      </c>
      <c r="I153" s="8" t="s">
        <v>71</v>
      </c>
      <c r="J153" s="8" t="s">
        <v>32</v>
      </c>
      <c r="K153" s="8" t="s">
        <v>18</v>
      </c>
      <c r="L153" s="8" t="s">
        <v>2574</v>
      </c>
    </row>
    <row r="154" spans="1:12" x14ac:dyDescent="0.35">
      <c r="A154" s="11">
        <v>153</v>
      </c>
      <c r="B154" s="17">
        <v>45821.210844907408</v>
      </c>
      <c r="C154" s="18">
        <v>45821</v>
      </c>
      <c r="D154" s="10" t="s">
        <v>394</v>
      </c>
      <c r="E154" s="14">
        <v>500</v>
      </c>
      <c r="F154" s="5">
        <v>0</v>
      </c>
      <c r="G154" s="5">
        <v>17720.23</v>
      </c>
      <c r="H154" s="10" t="s">
        <v>51</v>
      </c>
      <c r="I154" s="10" t="s">
        <v>52</v>
      </c>
      <c r="J154" s="10" t="s">
        <v>32</v>
      </c>
      <c r="K154" s="10" t="s">
        <v>18</v>
      </c>
      <c r="L154" s="10" t="s">
        <v>713</v>
      </c>
    </row>
    <row r="155" spans="1:12" x14ac:dyDescent="0.35">
      <c r="A155" s="9">
        <v>154</v>
      </c>
      <c r="B155" s="19">
        <v>45822.130601851852</v>
      </c>
      <c r="C155" s="20">
        <v>45822</v>
      </c>
      <c r="D155" s="8" t="s">
        <v>2527</v>
      </c>
      <c r="E155" s="3">
        <v>0</v>
      </c>
      <c r="F155" s="13">
        <v>6.1</v>
      </c>
      <c r="G155" s="3">
        <v>17726.330000000002</v>
      </c>
      <c r="H155" s="8" t="s">
        <v>51</v>
      </c>
      <c r="I155" s="8" t="s">
        <v>71</v>
      </c>
      <c r="J155" s="8" t="s">
        <v>32</v>
      </c>
      <c r="K155" s="8" t="s">
        <v>18</v>
      </c>
      <c r="L155" s="8" t="s">
        <v>2575</v>
      </c>
    </row>
    <row r="156" spans="1:12" x14ac:dyDescent="0.35">
      <c r="A156" s="11">
        <v>155</v>
      </c>
      <c r="B156" s="17">
        <v>45822.210844907408</v>
      </c>
      <c r="C156" s="18">
        <v>45822</v>
      </c>
      <c r="D156" s="10" t="s">
        <v>394</v>
      </c>
      <c r="E156" s="14">
        <v>500</v>
      </c>
      <c r="F156" s="5">
        <v>0</v>
      </c>
      <c r="G156" s="5">
        <v>17226.330000000002</v>
      </c>
      <c r="H156" s="10" t="s">
        <v>51</v>
      </c>
      <c r="I156" s="10" t="s">
        <v>52</v>
      </c>
      <c r="J156" s="10" t="s">
        <v>32</v>
      </c>
      <c r="K156" s="10" t="s">
        <v>18</v>
      </c>
      <c r="L156" s="10" t="s">
        <v>716</v>
      </c>
    </row>
    <row r="157" spans="1:12" x14ac:dyDescent="0.35">
      <c r="A157" s="9">
        <v>156</v>
      </c>
      <c r="B157" s="19">
        <v>45822.42864583333</v>
      </c>
      <c r="C157" s="20">
        <v>45822</v>
      </c>
      <c r="D157" s="8" t="s">
        <v>394</v>
      </c>
      <c r="E157" s="12">
        <v>1900</v>
      </c>
      <c r="F157" s="3">
        <v>0</v>
      </c>
      <c r="G157" s="3">
        <v>15326.33</v>
      </c>
      <c r="H157" s="8" t="s">
        <v>51</v>
      </c>
      <c r="I157" s="8" t="s">
        <v>52</v>
      </c>
      <c r="J157" s="8" t="s">
        <v>32</v>
      </c>
      <c r="K157" s="8" t="s">
        <v>18</v>
      </c>
      <c r="L157" s="8" t="s">
        <v>732</v>
      </c>
    </row>
    <row r="158" spans="1:12" x14ac:dyDescent="0.35">
      <c r="A158" s="11">
        <v>157</v>
      </c>
      <c r="B158" s="17">
        <v>45822.452951388892</v>
      </c>
      <c r="C158" s="18">
        <v>45822</v>
      </c>
      <c r="D158" s="10" t="s">
        <v>394</v>
      </c>
      <c r="E158" s="14">
        <v>2100</v>
      </c>
      <c r="F158" s="5">
        <v>0</v>
      </c>
      <c r="G158" s="5">
        <v>13226.33</v>
      </c>
      <c r="H158" s="10" t="s">
        <v>51</v>
      </c>
      <c r="I158" s="10" t="s">
        <v>52</v>
      </c>
      <c r="J158" s="10" t="s">
        <v>32</v>
      </c>
      <c r="K158" s="10" t="s">
        <v>18</v>
      </c>
      <c r="L158" s="10" t="s">
        <v>735</v>
      </c>
    </row>
    <row r="159" spans="1:12" x14ac:dyDescent="0.35">
      <c r="A159" s="9">
        <v>158</v>
      </c>
      <c r="B159" s="19">
        <v>45822.498402777783</v>
      </c>
      <c r="C159" s="20">
        <v>45822</v>
      </c>
      <c r="D159" s="8" t="s">
        <v>394</v>
      </c>
      <c r="E159" s="12">
        <v>3000</v>
      </c>
      <c r="F159" s="3">
        <v>0</v>
      </c>
      <c r="G159" s="3">
        <v>10226.33</v>
      </c>
      <c r="H159" s="8" t="s">
        <v>51</v>
      </c>
      <c r="I159" s="8" t="s">
        <v>52</v>
      </c>
      <c r="J159" s="8" t="s">
        <v>32</v>
      </c>
      <c r="K159" s="8" t="s">
        <v>18</v>
      </c>
      <c r="L159" s="8" t="s">
        <v>738</v>
      </c>
    </row>
    <row r="160" spans="1:12" x14ac:dyDescent="0.35">
      <c r="A160" s="11">
        <v>159</v>
      </c>
      <c r="B160" s="17">
        <v>45822.507349537038</v>
      </c>
      <c r="C160" s="18">
        <v>45822</v>
      </c>
      <c r="D160" s="10" t="s">
        <v>394</v>
      </c>
      <c r="E160" s="14">
        <v>2000</v>
      </c>
      <c r="F160" s="5">
        <v>0</v>
      </c>
      <c r="G160" s="5">
        <v>8226.33</v>
      </c>
      <c r="H160" s="10" t="s">
        <v>51</v>
      </c>
      <c r="I160" s="10" t="s">
        <v>52</v>
      </c>
      <c r="J160" s="10" t="s">
        <v>32</v>
      </c>
      <c r="K160" s="10" t="s">
        <v>18</v>
      </c>
      <c r="L160" s="10" t="s">
        <v>741</v>
      </c>
    </row>
    <row r="161" spans="1:12" x14ac:dyDescent="0.35">
      <c r="A161" s="9">
        <v>160</v>
      </c>
      <c r="B161" s="19">
        <v>45822.536122685182</v>
      </c>
      <c r="C161" s="20">
        <v>45822</v>
      </c>
      <c r="D161" s="8" t="s">
        <v>394</v>
      </c>
      <c r="E161" s="12">
        <v>2100</v>
      </c>
      <c r="F161" s="3">
        <v>0</v>
      </c>
      <c r="G161" s="3">
        <v>6126.33</v>
      </c>
      <c r="H161" s="8" t="s">
        <v>51</v>
      </c>
      <c r="I161" s="8" t="s">
        <v>52</v>
      </c>
      <c r="J161" s="8" t="s">
        <v>32</v>
      </c>
      <c r="K161" s="8" t="s">
        <v>18</v>
      </c>
      <c r="L161" s="8" t="s">
        <v>744</v>
      </c>
    </row>
    <row r="162" spans="1:12" x14ac:dyDescent="0.35">
      <c r="A162" s="11">
        <v>161</v>
      </c>
      <c r="B162" s="17">
        <v>45823.135798611111</v>
      </c>
      <c r="C162" s="18">
        <v>45823</v>
      </c>
      <c r="D162" s="10" t="s">
        <v>2527</v>
      </c>
      <c r="E162" s="5">
        <v>0</v>
      </c>
      <c r="F162" s="15">
        <v>2.1</v>
      </c>
      <c r="G162" s="5">
        <v>6128.43</v>
      </c>
      <c r="H162" s="10" t="s">
        <v>51</v>
      </c>
      <c r="I162" s="10" t="s">
        <v>71</v>
      </c>
      <c r="J162" s="10" t="s">
        <v>32</v>
      </c>
      <c r="K162" s="10" t="s">
        <v>18</v>
      </c>
      <c r="L162" s="10" t="s">
        <v>2576</v>
      </c>
    </row>
    <row r="163" spans="1:12" x14ac:dyDescent="0.35">
      <c r="A163" s="9">
        <v>162</v>
      </c>
      <c r="B163" s="19">
        <v>45823.210821759261</v>
      </c>
      <c r="C163" s="20">
        <v>45823</v>
      </c>
      <c r="D163" s="8" t="s">
        <v>394</v>
      </c>
      <c r="E163" s="12">
        <v>500</v>
      </c>
      <c r="F163" s="3">
        <v>0</v>
      </c>
      <c r="G163" s="3">
        <v>5628.43</v>
      </c>
      <c r="H163" s="8" t="s">
        <v>51</v>
      </c>
      <c r="I163" s="8" t="s">
        <v>52</v>
      </c>
      <c r="J163" s="8" t="s">
        <v>32</v>
      </c>
      <c r="K163" s="8" t="s">
        <v>18</v>
      </c>
      <c r="L163" s="8" t="s">
        <v>745</v>
      </c>
    </row>
    <row r="164" spans="1:12" x14ac:dyDescent="0.35">
      <c r="A164" s="11">
        <v>163</v>
      </c>
      <c r="B164" s="17">
        <v>45824.130856481483</v>
      </c>
      <c r="C164" s="18">
        <v>45824</v>
      </c>
      <c r="D164" s="10" t="s">
        <v>2527</v>
      </c>
      <c r="E164" s="5">
        <v>0</v>
      </c>
      <c r="F164" s="15">
        <v>1.93</v>
      </c>
      <c r="G164" s="5">
        <v>5630.36</v>
      </c>
      <c r="H164" s="10" t="s">
        <v>51</v>
      </c>
      <c r="I164" s="10" t="s">
        <v>71</v>
      </c>
      <c r="J164" s="10" t="s">
        <v>32</v>
      </c>
      <c r="K164" s="10" t="s">
        <v>18</v>
      </c>
      <c r="L164" s="10" t="s">
        <v>2577</v>
      </c>
    </row>
    <row r="165" spans="1:12" x14ac:dyDescent="0.35">
      <c r="A165" s="9">
        <v>164</v>
      </c>
      <c r="B165" s="19">
        <v>45824.210729166669</v>
      </c>
      <c r="C165" s="20">
        <v>45824</v>
      </c>
      <c r="D165" s="8" t="s">
        <v>394</v>
      </c>
      <c r="E165" s="12">
        <v>500</v>
      </c>
      <c r="F165" s="3">
        <v>0</v>
      </c>
      <c r="G165" s="3">
        <v>5130.3599999999997</v>
      </c>
      <c r="H165" s="8" t="s">
        <v>51</v>
      </c>
      <c r="I165" s="8" t="s">
        <v>52</v>
      </c>
      <c r="J165" s="8" t="s">
        <v>32</v>
      </c>
      <c r="K165" s="8" t="s">
        <v>18</v>
      </c>
      <c r="L165" s="8" t="s">
        <v>747</v>
      </c>
    </row>
    <row r="166" spans="1:12" x14ac:dyDescent="0.35">
      <c r="A166" s="11">
        <v>165</v>
      </c>
      <c r="B166" s="17">
        <v>45824.364479166667</v>
      </c>
      <c r="C166" s="18">
        <v>45824</v>
      </c>
      <c r="D166" s="10" t="s">
        <v>394</v>
      </c>
      <c r="E166" s="14">
        <v>357.5</v>
      </c>
      <c r="F166" s="5">
        <v>0</v>
      </c>
      <c r="G166" s="5">
        <v>4772.8599999999997</v>
      </c>
      <c r="H166" s="10" t="s">
        <v>51</v>
      </c>
      <c r="I166" s="10" t="s">
        <v>52</v>
      </c>
      <c r="J166" s="10" t="s">
        <v>32</v>
      </c>
      <c r="K166" s="10" t="s">
        <v>18</v>
      </c>
      <c r="L166" s="10" t="s">
        <v>750</v>
      </c>
    </row>
    <row r="167" spans="1:12" x14ac:dyDescent="0.35">
      <c r="A167" s="9">
        <v>166</v>
      </c>
      <c r="B167" s="19">
        <v>45824.546215277784</v>
      </c>
      <c r="C167" s="20">
        <v>45824</v>
      </c>
      <c r="D167" s="8" t="s">
        <v>394</v>
      </c>
      <c r="E167" s="12">
        <v>750</v>
      </c>
      <c r="F167" s="3">
        <v>0</v>
      </c>
      <c r="G167" s="3">
        <v>4022.86</v>
      </c>
      <c r="H167" s="8" t="s">
        <v>51</v>
      </c>
      <c r="I167" s="8" t="s">
        <v>52</v>
      </c>
      <c r="J167" s="8" t="s">
        <v>32</v>
      </c>
      <c r="K167" s="8" t="s">
        <v>18</v>
      </c>
      <c r="L167" s="8" t="s">
        <v>754</v>
      </c>
    </row>
    <row r="168" spans="1:12" x14ac:dyDescent="0.35">
      <c r="A168" s="11">
        <v>167</v>
      </c>
      <c r="B168" s="17">
        <v>45824.929768518523</v>
      </c>
      <c r="C168" s="18">
        <v>45824</v>
      </c>
      <c r="D168" s="10" t="s">
        <v>426</v>
      </c>
      <c r="E168" s="5">
        <v>0</v>
      </c>
      <c r="F168" s="15">
        <v>10950</v>
      </c>
      <c r="G168" s="5">
        <v>14972.86</v>
      </c>
      <c r="H168" s="10" t="s">
        <v>51</v>
      </c>
      <c r="I168" s="10" t="s">
        <v>71</v>
      </c>
      <c r="J168" s="10" t="s">
        <v>32</v>
      </c>
      <c r="K168" s="10" t="s">
        <v>18</v>
      </c>
      <c r="L168" s="10" t="s">
        <v>760</v>
      </c>
    </row>
    <row r="169" spans="1:12" x14ac:dyDescent="0.35">
      <c r="A169" s="9">
        <v>168</v>
      </c>
      <c r="B169" s="19">
        <v>45825.137233796297</v>
      </c>
      <c r="C169" s="20">
        <v>45825</v>
      </c>
      <c r="D169" s="8" t="s">
        <v>2527</v>
      </c>
      <c r="E169" s="3">
        <v>0</v>
      </c>
      <c r="F169" s="13">
        <v>1.38</v>
      </c>
      <c r="G169" s="3">
        <v>14974.24</v>
      </c>
      <c r="H169" s="8" t="s">
        <v>51</v>
      </c>
      <c r="I169" s="8" t="s">
        <v>71</v>
      </c>
      <c r="J169" s="8" t="s">
        <v>32</v>
      </c>
      <c r="K169" s="8" t="s">
        <v>18</v>
      </c>
      <c r="L169" s="8" t="s">
        <v>2578</v>
      </c>
    </row>
    <row r="170" spans="1:12" x14ac:dyDescent="0.35">
      <c r="A170" s="11">
        <v>169</v>
      </c>
      <c r="B170" s="17">
        <v>45825.210717592592</v>
      </c>
      <c r="C170" s="18">
        <v>45825</v>
      </c>
      <c r="D170" s="10" t="s">
        <v>394</v>
      </c>
      <c r="E170" s="14">
        <v>500</v>
      </c>
      <c r="F170" s="5">
        <v>0</v>
      </c>
      <c r="G170" s="5">
        <v>14474.24</v>
      </c>
      <c r="H170" s="10" t="s">
        <v>51</v>
      </c>
      <c r="I170" s="10" t="s">
        <v>52</v>
      </c>
      <c r="J170" s="10" t="s">
        <v>32</v>
      </c>
      <c r="K170" s="10" t="s">
        <v>18</v>
      </c>
      <c r="L170" s="10" t="s">
        <v>762</v>
      </c>
    </row>
    <row r="171" spans="1:12" x14ac:dyDescent="0.35">
      <c r="A171" s="9">
        <v>170</v>
      </c>
      <c r="B171" s="19">
        <v>45825.490949074083</v>
      </c>
      <c r="C171" s="20">
        <v>45825</v>
      </c>
      <c r="D171" s="8" t="s">
        <v>394</v>
      </c>
      <c r="E171" s="12">
        <v>500</v>
      </c>
      <c r="F171" s="3">
        <v>0</v>
      </c>
      <c r="G171" s="3">
        <v>13974.24</v>
      </c>
      <c r="H171" s="8" t="s">
        <v>51</v>
      </c>
      <c r="I171" s="8" t="s">
        <v>52</v>
      </c>
      <c r="J171" s="8" t="s">
        <v>32</v>
      </c>
      <c r="K171" s="8" t="s">
        <v>18</v>
      </c>
      <c r="L171" s="8" t="s">
        <v>765</v>
      </c>
    </row>
    <row r="172" spans="1:12" x14ac:dyDescent="0.35">
      <c r="A172" s="11">
        <v>171</v>
      </c>
      <c r="B172" s="17">
        <v>45825.563032407408</v>
      </c>
      <c r="C172" s="18">
        <v>45825</v>
      </c>
      <c r="D172" s="10" t="s">
        <v>394</v>
      </c>
      <c r="E172" s="14">
        <v>1000</v>
      </c>
      <c r="F172" s="5">
        <v>0</v>
      </c>
      <c r="G172" s="5">
        <v>12974.24</v>
      </c>
      <c r="H172" s="10" t="s">
        <v>51</v>
      </c>
      <c r="I172" s="10" t="s">
        <v>52</v>
      </c>
      <c r="J172" s="10" t="s">
        <v>32</v>
      </c>
      <c r="K172" s="10" t="s">
        <v>18</v>
      </c>
      <c r="L172" s="10" t="s">
        <v>767</v>
      </c>
    </row>
    <row r="173" spans="1:12" x14ac:dyDescent="0.35">
      <c r="A173" s="9">
        <v>172</v>
      </c>
      <c r="B173" s="19">
        <v>45825.60659722222</v>
      </c>
      <c r="C173" s="20">
        <v>45825</v>
      </c>
      <c r="D173" s="8" t="s">
        <v>394</v>
      </c>
      <c r="E173" s="12">
        <v>500</v>
      </c>
      <c r="F173" s="3">
        <v>0</v>
      </c>
      <c r="G173" s="3">
        <v>12474.24</v>
      </c>
      <c r="H173" s="8" t="s">
        <v>51</v>
      </c>
      <c r="I173" s="8" t="s">
        <v>52</v>
      </c>
      <c r="J173" s="8" t="s">
        <v>32</v>
      </c>
      <c r="K173" s="8" t="s">
        <v>18</v>
      </c>
      <c r="L173" s="8" t="s">
        <v>770</v>
      </c>
    </row>
    <row r="174" spans="1:12" x14ac:dyDescent="0.35">
      <c r="A174" s="11">
        <v>173</v>
      </c>
      <c r="B174" s="17">
        <v>45825.9296875</v>
      </c>
      <c r="C174" s="18">
        <v>45825</v>
      </c>
      <c r="D174" s="10" t="s">
        <v>426</v>
      </c>
      <c r="E174" s="5">
        <v>0</v>
      </c>
      <c r="F174" s="15">
        <v>29250</v>
      </c>
      <c r="G174" s="5">
        <v>41724.239999999998</v>
      </c>
      <c r="H174" s="10" t="s">
        <v>51</v>
      </c>
      <c r="I174" s="10" t="s">
        <v>71</v>
      </c>
      <c r="J174" s="10" t="s">
        <v>32</v>
      </c>
      <c r="K174" s="10" t="s">
        <v>18</v>
      </c>
      <c r="L174" s="10" t="s">
        <v>781</v>
      </c>
    </row>
    <row r="175" spans="1:12" x14ac:dyDescent="0.35">
      <c r="A175" s="9">
        <v>174</v>
      </c>
      <c r="B175" s="19">
        <v>45826.127303240741</v>
      </c>
      <c r="C175" s="20">
        <v>45826</v>
      </c>
      <c r="D175" s="8" t="s">
        <v>2527</v>
      </c>
      <c r="E175" s="3">
        <v>0</v>
      </c>
      <c r="F175" s="13">
        <v>4.29</v>
      </c>
      <c r="G175" s="3">
        <v>41728.53</v>
      </c>
      <c r="H175" s="8" t="s">
        <v>51</v>
      </c>
      <c r="I175" s="8" t="s">
        <v>71</v>
      </c>
      <c r="J175" s="8" t="s">
        <v>32</v>
      </c>
      <c r="K175" s="8" t="s">
        <v>18</v>
      </c>
      <c r="L175" s="8" t="s">
        <v>2579</v>
      </c>
    </row>
    <row r="176" spans="1:12" x14ac:dyDescent="0.35">
      <c r="A176" s="11">
        <v>175</v>
      </c>
      <c r="B176" s="17">
        <v>45826.210787037038</v>
      </c>
      <c r="C176" s="18">
        <v>45826</v>
      </c>
      <c r="D176" s="10" t="s">
        <v>394</v>
      </c>
      <c r="E176" s="14">
        <v>500</v>
      </c>
      <c r="F176" s="5">
        <v>0</v>
      </c>
      <c r="G176" s="5">
        <v>41228.53</v>
      </c>
      <c r="H176" s="10" t="s">
        <v>51</v>
      </c>
      <c r="I176" s="10" t="s">
        <v>52</v>
      </c>
      <c r="J176" s="10" t="s">
        <v>32</v>
      </c>
      <c r="K176" s="10" t="s">
        <v>18</v>
      </c>
      <c r="L176" s="10" t="s">
        <v>783</v>
      </c>
    </row>
    <row r="177" spans="1:12" x14ac:dyDescent="0.35">
      <c r="A177" s="9">
        <v>176</v>
      </c>
      <c r="B177" s="19">
        <v>45826.544027777767</v>
      </c>
      <c r="C177" s="20">
        <v>45826</v>
      </c>
      <c r="D177" s="8" t="s">
        <v>394</v>
      </c>
      <c r="E177" s="12">
        <v>4972.5</v>
      </c>
      <c r="F177" s="3">
        <v>0</v>
      </c>
      <c r="G177" s="3">
        <v>36256.03</v>
      </c>
      <c r="H177" s="8" t="s">
        <v>51</v>
      </c>
      <c r="I177" s="8" t="s">
        <v>52</v>
      </c>
      <c r="J177" s="8" t="s">
        <v>32</v>
      </c>
      <c r="K177" s="8" t="s">
        <v>18</v>
      </c>
      <c r="L177" s="8" t="s">
        <v>786</v>
      </c>
    </row>
    <row r="178" spans="1:12" x14ac:dyDescent="0.35">
      <c r="A178" s="11">
        <v>177</v>
      </c>
      <c r="B178" s="17">
        <v>45826.577314814807</v>
      </c>
      <c r="C178" s="18">
        <v>45826</v>
      </c>
      <c r="D178" s="10" t="s">
        <v>394</v>
      </c>
      <c r="E178" s="14">
        <v>450</v>
      </c>
      <c r="F178" s="5">
        <v>0</v>
      </c>
      <c r="G178" s="5">
        <v>35806.03</v>
      </c>
      <c r="H178" s="10" t="s">
        <v>51</v>
      </c>
      <c r="I178" s="10" t="s">
        <v>52</v>
      </c>
      <c r="J178" s="10" t="s">
        <v>32</v>
      </c>
      <c r="K178" s="10" t="s">
        <v>18</v>
      </c>
      <c r="L178" s="10" t="s">
        <v>788</v>
      </c>
    </row>
    <row r="179" spans="1:12" x14ac:dyDescent="0.35">
      <c r="A179" s="9">
        <v>178</v>
      </c>
      <c r="B179" s="19">
        <v>45826.828622685192</v>
      </c>
      <c r="C179" s="20">
        <v>45826</v>
      </c>
      <c r="D179" s="8" t="s">
        <v>394</v>
      </c>
      <c r="E179" s="12">
        <v>3000</v>
      </c>
      <c r="F179" s="3">
        <v>0</v>
      </c>
      <c r="G179" s="3">
        <v>32806.03</v>
      </c>
      <c r="H179" s="8" t="s">
        <v>51</v>
      </c>
      <c r="I179" s="8" t="s">
        <v>52</v>
      </c>
      <c r="J179" s="8" t="s">
        <v>32</v>
      </c>
      <c r="K179" s="8" t="s">
        <v>18</v>
      </c>
      <c r="L179" s="8" t="s">
        <v>790</v>
      </c>
    </row>
    <row r="180" spans="1:12" x14ac:dyDescent="0.35">
      <c r="A180" s="11">
        <v>179</v>
      </c>
      <c r="B180" s="17">
        <v>45826.918900462973</v>
      </c>
      <c r="C180" s="18">
        <v>45826</v>
      </c>
      <c r="D180" s="10" t="s">
        <v>394</v>
      </c>
      <c r="E180" s="14">
        <v>1500</v>
      </c>
      <c r="F180" s="5">
        <v>0</v>
      </c>
      <c r="G180" s="5">
        <v>31306.03</v>
      </c>
      <c r="H180" s="10" t="s">
        <v>51</v>
      </c>
      <c r="I180" s="10" t="s">
        <v>52</v>
      </c>
      <c r="J180" s="10" t="s">
        <v>32</v>
      </c>
      <c r="K180" s="10" t="s">
        <v>18</v>
      </c>
      <c r="L180" s="10" t="s">
        <v>792</v>
      </c>
    </row>
    <row r="181" spans="1:12" x14ac:dyDescent="0.35">
      <c r="A181" s="9">
        <v>180</v>
      </c>
      <c r="B181" s="19">
        <v>45827.131423611107</v>
      </c>
      <c r="C181" s="20">
        <v>45827</v>
      </c>
      <c r="D181" s="8" t="s">
        <v>2527</v>
      </c>
      <c r="E181" s="3">
        <v>0</v>
      </c>
      <c r="F181" s="13">
        <v>10.78</v>
      </c>
      <c r="G181" s="3">
        <v>31316.81</v>
      </c>
      <c r="H181" s="8" t="s">
        <v>51</v>
      </c>
      <c r="I181" s="8" t="s">
        <v>71</v>
      </c>
      <c r="J181" s="8" t="s">
        <v>32</v>
      </c>
      <c r="K181" s="8" t="s">
        <v>18</v>
      </c>
      <c r="L181" s="8" t="s">
        <v>2580</v>
      </c>
    </row>
    <row r="182" spans="1:12" x14ac:dyDescent="0.35">
      <c r="A182" s="11">
        <v>181</v>
      </c>
      <c r="B182" s="17">
        <v>45827.210682870369</v>
      </c>
      <c r="C182" s="18">
        <v>45827</v>
      </c>
      <c r="D182" s="10" t="s">
        <v>394</v>
      </c>
      <c r="E182" s="14">
        <v>500</v>
      </c>
      <c r="F182" s="5">
        <v>0</v>
      </c>
      <c r="G182" s="5">
        <v>30816.81</v>
      </c>
      <c r="H182" s="10" t="s">
        <v>51</v>
      </c>
      <c r="I182" s="10" t="s">
        <v>52</v>
      </c>
      <c r="J182" s="10" t="s">
        <v>32</v>
      </c>
      <c r="K182" s="10" t="s">
        <v>18</v>
      </c>
      <c r="L182" s="10" t="s">
        <v>794</v>
      </c>
    </row>
    <row r="183" spans="1:12" x14ac:dyDescent="0.35">
      <c r="A183" s="9">
        <v>182</v>
      </c>
      <c r="B183" s="19">
        <v>45827.658252314817</v>
      </c>
      <c r="C183" s="20">
        <v>45827</v>
      </c>
      <c r="D183" s="8" t="s">
        <v>394</v>
      </c>
      <c r="E183" s="12">
        <v>5000</v>
      </c>
      <c r="F183" s="3">
        <v>0</v>
      </c>
      <c r="G183" s="3">
        <v>25816.81</v>
      </c>
      <c r="H183" s="8" t="s">
        <v>51</v>
      </c>
      <c r="I183" s="8" t="s">
        <v>52</v>
      </c>
      <c r="J183" s="8" t="s">
        <v>32</v>
      </c>
      <c r="K183" s="8" t="s">
        <v>18</v>
      </c>
      <c r="L183" s="8" t="s">
        <v>797</v>
      </c>
    </row>
    <row r="184" spans="1:12" x14ac:dyDescent="0.35">
      <c r="A184" s="11">
        <v>183</v>
      </c>
      <c r="B184" s="17">
        <v>45827.661782407413</v>
      </c>
      <c r="C184" s="18">
        <v>45827</v>
      </c>
      <c r="D184" s="10" t="s">
        <v>394</v>
      </c>
      <c r="E184" s="14">
        <v>1000</v>
      </c>
      <c r="F184" s="5">
        <v>0</v>
      </c>
      <c r="G184" s="5">
        <v>24816.81</v>
      </c>
      <c r="H184" s="10" t="s">
        <v>51</v>
      </c>
      <c r="I184" s="10" t="s">
        <v>52</v>
      </c>
      <c r="J184" s="10" t="s">
        <v>32</v>
      </c>
      <c r="K184" s="10" t="s">
        <v>18</v>
      </c>
      <c r="L184" s="10" t="s">
        <v>799</v>
      </c>
    </row>
    <row r="185" spans="1:12" x14ac:dyDescent="0.35">
      <c r="A185" s="9">
        <v>184</v>
      </c>
      <c r="B185" s="19">
        <v>45827.662939814807</v>
      </c>
      <c r="C185" s="20">
        <v>45827</v>
      </c>
      <c r="D185" s="8" t="s">
        <v>394</v>
      </c>
      <c r="E185" s="12">
        <v>1000</v>
      </c>
      <c r="F185" s="3">
        <v>0</v>
      </c>
      <c r="G185" s="3">
        <v>23816.81</v>
      </c>
      <c r="H185" s="8" t="s">
        <v>51</v>
      </c>
      <c r="I185" s="8" t="s">
        <v>52</v>
      </c>
      <c r="J185" s="8" t="s">
        <v>32</v>
      </c>
      <c r="K185" s="8" t="s">
        <v>18</v>
      </c>
      <c r="L185" s="8" t="s">
        <v>801</v>
      </c>
    </row>
    <row r="186" spans="1:12" x14ac:dyDescent="0.35">
      <c r="A186" s="11">
        <v>185</v>
      </c>
      <c r="B186" s="17">
        <v>45827.760937500003</v>
      </c>
      <c r="C186" s="18">
        <v>45827</v>
      </c>
      <c r="D186" s="10" t="s">
        <v>394</v>
      </c>
      <c r="E186" s="14">
        <v>1000</v>
      </c>
      <c r="F186" s="5">
        <v>0</v>
      </c>
      <c r="G186" s="5">
        <v>22816.81</v>
      </c>
      <c r="H186" s="10" t="s">
        <v>51</v>
      </c>
      <c r="I186" s="10" t="s">
        <v>52</v>
      </c>
      <c r="J186" s="10" t="s">
        <v>32</v>
      </c>
      <c r="K186" s="10" t="s">
        <v>18</v>
      </c>
      <c r="L186" s="10" t="s">
        <v>803</v>
      </c>
    </row>
    <row r="187" spans="1:12" x14ac:dyDescent="0.35">
      <c r="A187" s="9">
        <v>186</v>
      </c>
      <c r="B187" s="19">
        <v>45828.132048611107</v>
      </c>
      <c r="C187" s="20">
        <v>45828</v>
      </c>
      <c r="D187" s="8" t="s">
        <v>2527</v>
      </c>
      <c r="E187" s="3">
        <v>0</v>
      </c>
      <c r="F187" s="13">
        <v>7.85</v>
      </c>
      <c r="G187" s="3">
        <v>22824.66</v>
      </c>
      <c r="H187" s="8" t="s">
        <v>51</v>
      </c>
      <c r="I187" s="8" t="s">
        <v>71</v>
      </c>
      <c r="J187" s="8" t="s">
        <v>32</v>
      </c>
      <c r="K187" s="8" t="s">
        <v>18</v>
      </c>
      <c r="L187" s="8" t="s">
        <v>2581</v>
      </c>
    </row>
    <row r="188" spans="1:12" x14ac:dyDescent="0.35">
      <c r="A188" s="11">
        <v>187</v>
      </c>
      <c r="B188" s="17">
        <v>45828.210625</v>
      </c>
      <c r="C188" s="18">
        <v>45828</v>
      </c>
      <c r="D188" s="10" t="s">
        <v>394</v>
      </c>
      <c r="E188" s="14">
        <v>500</v>
      </c>
      <c r="F188" s="5">
        <v>0</v>
      </c>
      <c r="G188" s="5">
        <v>22324.66</v>
      </c>
      <c r="H188" s="10" t="s">
        <v>51</v>
      </c>
      <c r="I188" s="10" t="s">
        <v>52</v>
      </c>
      <c r="J188" s="10" t="s">
        <v>32</v>
      </c>
      <c r="K188" s="10" t="s">
        <v>18</v>
      </c>
      <c r="L188" s="10" t="s">
        <v>804</v>
      </c>
    </row>
    <row r="189" spans="1:12" x14ac:dyDescent="0.35">
      <c r="A189" s="9">
        <v>188</v>
      </c>
      <c r="B189" s="19">
        <v>45828.758344907408</v>
      </c>
      <c r="C189" s="20">
        <v>45828</v>
      </c>
      <c r="D189" s="8" t="s">
        <v>394</v>
      </c>
      <c r="E189" s="12">
        <v>7000</v>
      </c>
      <c r="F189" s="3">
        <v>0</v>
      </c>
      <c r="G189" s="3">
        <v>15324.66</v>
      </c>
      <c r="H189" s="8" t="s">
        <v>51</v>
      </c>
      <c r="I189" s="8" t="s">
        <v>52</v>
      </c>
      <c r="J189" s="8" t="s">
        <v>32</v>
      </c>
      <c r="K189" s="8" t="s">
        <v>18</v>
      </c>
      <c r="L189" s="8" t="s">
        <v>808</v>
      </c>
    </row>
    <row r="190" spans="1:12" x14ac:dyDescent="0.35">
      <c r="A190" s="11">
        <v>189</v>
      </c>
      <c r="B190" s="17">
        <v>45829.134571759263</v>
      </c>
      <c r="C190" s="18">
        <v>45829</v>
      </c>
      <c r="D190" s="10" t="s">
        <v>2527</v>
      </c>
      <c r="E190" s="5">
        <v>0</v>
      </c>
      <c r="F190" s="15">
        <v>5.27</v>
      </c>
      <c r="G190" s="5">
        <v>15329.93</v>
      </c>
      <c r="H190" s="10" t="s">
        <v>51</v>
      </c>
      <c r="I190" s="10" t="s">
        <v>71</v>
      </c>
      <c r="J190" s="10" t="s">
        <v>32</v>
      </c>
      <c r="K190" s="10" t="s">
        <v>18</v>
      </c>
      <c r="L190" s="10" t="s">
        <v>2582</v>
      </c>
    </row>
    <row r="191" spans="1:12" x14ac:dyDescent="0.35">
      <c r="A191" s="9">
        <v>190</v>
      </c>
      <c r="B191" s="19">
        <v>45829.2106712963</v>
      </c>
      <c r="C191" s="20">
        <v>45829</v>
      </c>
      <c r="D191" s="8" t="s">
        <v>394</v>
      </c>
      <c r="E191" s="12">
        <v>500</v>
      </c>
      <c r="F191" s="3">
        <v>0</v>
      </c>
      <c r="G191" s="3">
        <v>14829.93</v>
      </c>
      <c r="H191" s="8" t="s">
        <v>51</v>
      </c>
      <c r="I191" s="8" t="s">
        <v>52</v>
      </c>
      <c r="J191" s="8" t="s">
        <v>32</v>
      </c>
      <c r="K191" s="8" t="s">
        <v>18</v>
      </c>
      <c r="L191" s="8" t="s">
        <v>809</v>
      </c>
    </row>
    <row r="192" spans="1:12" x14ac:dyDescent="0.35">
      <c r="A192" s="11">
        <v>191</v>
      </c>
      <c r="B192" s="17">
        <v>45829.723807870367</v>
      </c>
      <c r="C192" s="18">
        <v>45829</v>
      </c>
      <c r="D192" s="10" t="s">
        <v>394</v>
      </c>
      <c r="E192" s="14">
        <v>500</v>
      </c>
      <c r="F192" s="5">
        <v>0</v>
      </c>
      <c r="G192" s="5">
        <v>14329.93</v>
      </c>
      <c r="H192" s="10" t="s">
        <v>51</v>
      </c>
      <c r="I192" s="10" t="s">
        <v>52</v>
      </c>
      <c r="J192" s="10" t="s">
        <v>32</v>
      </c>
      <c r="K192" s="10" t="s">
        <v>18</v>
      </c>
      <c r="L192" s="10" t="s">
        <v>812</v>
      </c>
    </row>
    <row r="193" spans="1:12" x14ac:dyDescent="0.35">
      <c r="A193" s="9">
        <v>192</v>
      </c>
      <c r="B193" s="19">
        <v>45829.763912037037</v>
      </c>
      <c r="C193" s="20">
        <v>45829</v>
      </c>
      <c r="D193" s="8" t="s">
        <v>394</v>
      </c>
      <c r="E193" s="12">
        <v>2000</v>
      </c>
      <c r="F193" s="3">
        <v>0</v>
      </c>
      <c r="G193" s="3">
        <v>12329.93</v>
      </c>
      <c r="H193" s="8" t="s">
        <v>51</v>
      </c>
      <c r="I193" s="8" t="s">
        <v>52</v>
      </c>
      <c r="J193" s="8" t="s">
        <v>32</v>
      </c>
      <c r="K193" s="8" t="s">
        <v>18</v>
      </c>
      <c r="L193" s="8" t="s">
        <v>814</v>
      </c>
    </row>
    <row r="194" spans="1:12" x14ac:dyDescent="0.35">
      <c r="A194" s="11">
        <v>193</v>
      </c>
      <c r="B194" s="17">
        <v>45830.134363425917</v>
      </c>
      <c r="C194" s="18">
        <v>45830</v>
      </c>
      <c r="D194" s="10" t="s">
        <v>2527</v>
      </c>
      <c r="E194" s="5">
        <v>0</v>
      </c>
      <c r="F194" s="15">
        <v>4.24</v>
      </c>
      <c r="G194" s="5">
        <v>12334.17</v>
      </c>
      <c r="H194" s="10" t="s">
        <v>51</v>
      </c>
      <c r="I194" s="10" t="s">
        <v>71</v>
      </c>
      <c r="J194" s="10" t="s">
        <v>32</v>
      </c>
      <c r="K194" s="10" t="s">
        <v>18</v>
      </c>
      <c r="L194" s="10" t="s">
        <v>2583</v>
      </c>
    </row>
    <row r="195" spans="1:12" x14ac:dyDescent="0.35">
      <c r="A195" s="9">
        <v>194</v>
      </c>
      <c r="B195" s="19">
        <v>45830.210601851853</v>
      </c>
      <c r="C195" s="20">
        <v>45830</v>
      </c>
      <c r="D195" s="8" t="s">
        <v>394</v>
      </c>
      <c r="E195" s="12">
        <v>500</v>
      </c>
      <c r="F195" s="3">
        <v>0</v>
      </c>
      <c r="G195" s="3">
        <v>11834.17</v>
      </c>
      <c r="H195" s="8" t="s">
        <v>51</v>
      </c>
      <c r="I195" s="8" t="s">
        <v>52</v>
      </c>
      <c r="J195" s="8" t="s">
        <v>32</v>
      </c>
      <c r="K195" s="8" t="s">
        <v>18</v>
      </c>
      <c r="L195" s="8" t="s">
        <v>816</v>
      </c>
    </row>
    <row r="196" spans="1:12" x14ac:dyDescent="0.35">
      <c r="A196" s="11">
        <v>195</v>
      </c>
      <c r="B196" s="17">
        <v>45830.612986111111</v>
      </c>
      <c r="C196" s="18">
        <v>45830</v>
      </c>
      <c r="D196" s="10" t="s">
        <v>394</v>
      </c>
      <c r="E196" s="14">
        <v>2000</v>
      </c>
      <c r="F196" s="5">
        <v>0</v>
      </c>
      <c r="G196" s="5">
        <v>9834.17</v>
      </c>
      <c r="H196" s="10" t="s">
        <v>51</v>
      </c>
      <c r="I196" s="10" t="s">
        <v>52</v>
      </c>
      <c r="J196" s="10" t="s">
        <v>32</v>
      </c>
      <c r="K196" s="10" t="s">
        <v>18</v>
      </c>
      <c r="L196" s="10" t="s">
        <v>819</v>
      </c>
    </row>
    <row r="197" spans="1:12" x14ac:dyDescent="0.35">
      <c r="A197" s="9">
        <v>196</v>
      </c>
      <c r="B197" s="19">
        <v>45830.930104166669</v>
      </c>
      <c r="C197" s="20">
        <v>45830</v>
      </c>
      <c r="D197" s="8" t="s">
        <v>426</v>
      </c>
      <c r="E197" s="3">
        <v>0</v>
      </c>
      <c r="F197" s="13">
        <v>2950</v>
      </c>
      <c r="G197" s="3">
        <v>12784.17</v>
      </c>
      <c r="H197" s="8" t="s">
        <v>51</v>
      </c>
      <c r="I197" s="8" t="s">
        <v>71</v>
      </c>
      <c r="J197" s="8" t="s">
        <v>32</v>
      </c>
      <c r="K197" s="8" t="s">
        <v>18</v>
      </c>
      <c r="L197" s="8" t="s">
        <v>825</v>
      </c>
    </row>
    <row r="198" spans="1:12" x14ac:dyDescent="0.35">
      <c r="A198" s="11">
        <v>197</v>
      </c>
      <c r="B198" s="17">
        <v>45831.13994212963</v>
      </c>
      <c r="C198" s="18">
        <v>45831</v>
      </c>
      <c r="D198" s="10" t="s">
        <v>2527</v>
      </c>
      <c r="E198" s="5">
        <v>0</v>
      </c>
      <c r="F198" s="15">
        <v>3.38</v>
      </c>
      <c r="G198" s="5">
        <v>12787.55</v>
      </c>
      <c r="H198" s="10" t="s">
        <v>51</v>
      </c>
      <c r="I198" s="10" t="s">
        <v>71</v>
      </c>
      <c r="J198" s="10" t="s">
        <v>32</v>
      </c>
      <c r="K198" s="10" t="s">
        <v>18</v>
      </c>
      <c r="L198" s="10" t="s">
        <v>2584</v>
      </c>
    </row>
    <row r="199" spans="1:12" x14ac:dyDescent="0.35">
      <c r="A199" s="9">
        <v>198</v>
      </c>
      <c r="B199" s="19">
        <v>45831.414710648147</v>
      </c>
      <c r="C199" s="20">
        <v>45831</v>
      </c>
      <c r="D199" s="8" t="s">
        <v>394</v>
      </c>
      <c r="E199" s="12">
        <v>900</v>
      </c>
      <c r="F199" s="3">
        <v>0</v>
      </c>
      <c r="G199" s="3">
        <v>11887.55</v>
      </c>
      <c r="H199" s="8" t="s">
        <v>51</v>
      </c>
      <c r="I199" s="8" t="s">
        <v>52</v>
      </c>
      <c r="J199" s="8" t="s">
        <v>32</v>
      </c>
      <c r="K199" s="8" t="s">
        <v>18</v>
      </c>
      <c r="L199" s="8" t="s">
        <v>827</v>
      </c>
    </row>
    <row r="200" spans="1:12" x14ac:dyDescent="0.35">
      <c r="A200" s="11">
        <v>199</v>
      </c>
      <c r="B200" s="17">
        <v>45831.443495370368</v>
      </c>
      <c r="C200" s="18">
        <v>45831</v>
      </c>
      <c r="D200" s="10" t="s">
        <v>394</v>
      </c>
      <c r="E200" s="14">
        <v>10</v>
      </c>
      <c r="F200" s="5">
        <v>0</v>
      </c>
      <c r="G200" s="5">
        <v>11877.55</v>
      </c>
      <c r="H200" s="10" t="s">
        <v>51</v>
      </c>
      <c r="I200" s="10" t="s">
        <v>52</v>
      </c>
      <c r="J200" s="10" t="s">
        <v>32</v>
      </c>
      <c r="K200" s="10" t="s">
        <v>18</v>
      </c>
      <c r="L200" s="10" t="s">
        <v>828</v>
      </c>
    </row>
    <row r="201" spans="1:12" x14ac:dyDescent="0.35">
      <c r="A201" s="9">
        <v>200</v>
      </c>
      <c r="B201" s="19">
        <v>45831.449548611112</v>
      </c>
      <c r="C201" s="20">
        <v>45831</v>
      </c>
      <c r="D201" s="8" t="s">
        <v>394</v>
      </c>
      <c r="E201" s="12">
        <v>3500</v>
      </c>
      <c r="F201" s="3">
        <v>0</v>
      </c>
      <c r="G201" s="3">
        <v>8377.5499999999993</v>
      </c>
      <c r="H201" s="8" t="s">
        <v>51</v>
      </c>
      <c r="I201" s="8" t="s">
        <v>52</v>
      </c>
      <c r="J201" s="8" t="s">
        <v>32</v>
      </c>
      <c r="K201" s="8" t="s">
        <v>18</v>
      </c>
      <c r="L201" s="8" t="s">
        <v>832</v>
      </c>
    </row>
    <row r="202" spans="1:12" x14ac:dyDescent="0.35">
      <c r="A202" s="11">
        <v>201</v>
      </c>
      <c r="B202" s="17">
        <v>45831.619537037041</v>
      </c>
      <c r="C202" s="18">
        <v>45831</v>
      </c>
      <c r="D202" s="10" t="s">
        <v>394</v>
      </c>
      <c r="E202" s="14">
        <v>50</v>
      </c>
      <c r="F202" s="5">
        <v>0</v>
      </c>
      <c r="G202" s="5">
        <v>8327.5499999999993</v>
      </c>
      <c r="H202" s="10" t="s">
        <v>51</v>
      </c>
      <c r="I202" s="10" t="s">
        <v>52</v>
      </c>
      <c r="J202" s="10" t="s">
        <v>32</v>
      </c>
      <c r="K202" s="10" t="s">
        <v>18</v>
      </c>
      <c r="L202" s="10" t="s">
        <v>839</v>
      </c>
    </row>
    <row r="203" spans="1:12" x14ac:dyDescent="0.35">
      <c r="A203" s="9">
        <v>202</v>
      </c>
      <c r="B203" s="19">
        <v>45831.815972222219</v>
      </c>
      <c r="C203" s="20">
        <v>45831</v>
      </c>
      <c r="D203" s="8" t="s">
        <v>2525</v>
      </c>
      <c r="E203" s="3">
        <v>0</v>
      </c>
      <c r="F203" s="13">
        <v>240570</v>
      </c>
      <c r="G203" s="3">
        <v>248897.55</v>
      </c>
      <c r="H203" s="8" t="s">
        <v>51</v>
      </c>
      <c r="I203" s="8" t="s">
        <v>71</v>
      </c>
      <c r="J203" s="8" t="s">
        <v>32</v>
      </c>
      <c r="K203" s="8" t="s">
        <v>18</v>
      </c>
      <c r="L203" s="8" t="s">
        <v>2585</v>
      </c>
    </row>
    <row r="204" spans="1:12" x14ac:dyDescent="0.35">
      <c r="A204" s="11">
        <v>203</v>
      </c>
      <c r="B204" s="17">
        <v>45831.83898148148</v>
      </c>
      <c r="C204" s="18">
        <v>45831</v>
      </c>
      <c r="D204" s="10" t="s">
        <v>394</v>
      </c>
      <c r="E204" s="14">
        <v>50</v>
      </c>
      <c r="F204" s="5">
        <v>0</v>
      </c>
      <c r="G204" s="5">
        <v>248847.55</v>
      </c>
      <c r="H204" s="10" t="s">
        <v>51</v>
      </c>
      <c r="I204" s="10" t="s">
        <v>52</v>
      </c>
      <c r="J204" s="10" t="s">
        <v>32</v>
      </c>
      <c r="K204" s="10" t="s">
        <v>18</v>
      </c>
      <c r="L204" s="10" t="s">
        <v>845</v>
      </c>
    </row>
    <row r="205" spans="1:12" x14ac:dyDescent="0.35">
      <c r="A205" s="9">
        <v>204</v>
      </c>
      <c r="B205" s="19">
        <v>45831.867465277777</v>
      </c>
      <c r="C205" s="20">
        <v>45831</v>
      </c>
      <c r="D205" s="8" t="s">
        <v>394</v>
      </c>
      <c r="E205" s="12">
        <v>7150</v>
      </c>
      <c r="F205" s="3">
        <v>0</v>
      </c>
      <c r="G205" s="3">
        <v>241697.55</v>
      </c>
      <c r="H205" s="8" t="s">
        <v>51</v>
      </c>
      <c r="I205" s="8" t="s">
        <v>52</v>
      </c>
      <c r="J205" s="8" t="s">
        <v>32</v>
      </c>
      <c r="K205" s="8" t="s">
        <v>18</v>
      </c>
      <c r="L205" s="8" t="s">
        <v>848</v>
      </c>
    </row>
    <row r="206" spans="1:12" x14ac:dyDescent="0.35">
      <c r="A206" s="11">
        <v>205</v>
      </c>
      <c r="B206" s="17">
        <v>45832.133761574078</v>
      </c>
      <c r="C206" s="18">
        <v>45832</v>
      </c>
      <c r="D206" s="10" t="s">
        <v>2527</v>
      </c>
      <c r="E206" s="5">
        <v>0</v>
      </c>
      <c r="F206" s="15">
        <v>2.86</v>
      </c>
      <c r="G206" s="5">
        <v>241700.41</v>
      </c>
      <c r="H206" s="10" t="s">
        <v>51</v>
      </c>
      <c r="I206" s="10" t="s">
        <v>71</v>
      </c>
      <c r="J206" s="10" t="s">
        <v>32</v>
      </c>
      <c r="K206" s="10" t="s">
        <v>18</v>
      </c>
      <c r="L206" s="10" t="s">
        <v>2586</v>
      </c>
    </row>
    <row r="207" spans="1:12" x14ac:dyDescent="0.35">
      <c r="A207" s="9">
        <v>206</v>
      </c>
      <c r="B207" s="19">
        <v>45832.297662037039</v>
      </c>
      <c r="C207" s="20">
        <v>45832</v>
      </c>
      <c r="D207" s="8" t="s">
        <v>394</v>
      </c>
      <c r="E207" s="12">
        <v>10</v>
      </c>
      <c r="F207" s="3">
        <v>0</v>
      </c>
      <c r="G207" s="3">
        <v>241690.41</v>
      </c>
      <c r="H207" s="8" t="s">
        <v>51</v>
      </c>
      <c r="I207" s="8" t="s">
        <v>52</v>
      </c>
      <c r="J207" s="8" t="s">
        <v>32</v>
      </c>
      <c r="K207" s="8" t="s">
        <v>18</v>
      </c>
      <c r="L207" s="8" t="s">
        <v>849</v>
      </c>
    </row>
    <row r="208" spans="1:12" x14ac:dyDescent="0.35">
      <c r="A208" s="11">
        <v>207</v>
      </c>
      <c r="B208" s="17">
        <v>45832.297986111109</v>
      </c>
      <c r="C208" s="18">
        <v>45832</v>
      </c>
      <c r="D208" s="10" t="s">
        <v>394</v>
      </c>
      <c r="E208" s="14">
        <v>3000</v>
      </c>
      <c r="F208" s="5">
        <v>0</v>
      </c>
      <c r="G208" s="5">
        <v>238690.41</v>
      </c>
      <c r="H208" s="10" t="s">
        <v>51</v>
      </c>
      <c r="I208" s="10" t="s">
        <v>52</v>
      </c>
      <c r="J208" s="10" t="s">
        <v>32</v>
      </c>
      <c r="K208" s="10" t="s">
        <v>18</v>
      </c>
      <c r="L208" s="10" t="s">
        <v>852</v>
      </c>
    </row>
    <row r="209" spans="1:12" x14ac:dyDescent="0.35">
      <c r="A209" s="9">
        <v>208</v>
      </c>
      <c r="B209" s="19">
        <v>45832.3</v>
      </c>
      <c r="C209" s="20">
        <v>45832</v>
      </c>
      <c r="D209" s="8" t="s">
        <v>394</v>
      </c>
      <c r="E209" s="12">
        <v>900</v>
      </c>
      <c r="F209" s="3">
        <v>0</v>
      </c>
      <c r="G209" s="3">
        <v>237790.41</v>
      </c>
      <c r="H209" s="8" t="s">
        <v>51</v>
      </c>
      <c r="I209" s="8" t="s">
        <v>52</v>
      </c>
      <c r="J209" s="8" t="s">
        <v>32</v>
      </c>
      <c r="K209" s="8" t="s">
        <v>18</v>
      </c>
      <c r="L209" s="8" t="s">
        <v>854</v>
      </c>
    </row>
    <row r="210" spans="1:12" x14ac:dyDescent="0.35">
      <c r="A210" s="11">
        <v>209</v>
      </c>
      <c r="B210" s="17">
        <v>45832.344108796293</v>
      </c>
      <c r="C210" s="18">
        <v>45832</v>
      </c>
      <c r="D210" s="10" t="s">
        <v>394</v>
      </c>
      <c r="E210" s="14">
        <v>800</v>
      </c>
      <c r="F210" s="5">
        <v>0</v>
      </c>
      <c r="G210" s="5">
        <v>236990.41</v>
      </c>
      <c r="H210" s="10" t="s">
        <v>51</v>
      </c>
      <c r="I210" s="10" t="s">
        <v>52</v>
      </c>
      <c r="J210" s="10" t="s">
        <v>32</v>
      </c>
      <c r="K210" s="10" t="s">
        <v>18</v>
      </c>
      <c r="L210" s="10" t="s">
        <v>857</v>
      </c>
    </row>
    <row r="211" spans="1:12" x14ac:dyDescent="0.35">
      <c r="A211" s="9">
        <v>210</v>
      </c>
      <c r="B211" s="19">
        <v>45832.398078703707</v>
      </c>
      <c r="C211" s="20">
        <v>45832</v>
      </c>
      <c r="D211" s="8" t="s">
        <v>394</v>
      </c>
      <c r="E211" s="12">
        <v>22000</v>
      </c>
      <c r="F211" s="3">
        <v>0</v>
      </c>
      <c r="G211" s="3">
        <v>214990.41</v>
      </c>
      <c r="H211" s="8" t="s">
        <v>51</v>
      </c>
      <c r="I211" s="8" t="s">
        <v>52</v>
      </c>
      <c r="J211" s="8" t="s">
        <v>32</v>
      </c>
      <c r="K211" s="8" t="s">
        <v>18</v>
      </c>
      <c r="L211" s="8" t="s">
        <v>860</v>
      </c>
    </row>
    <row r="212" spans="1:12" x14ac:dyDescent="0.35">
      <c r="A212" s="11">
        <v>211</v>
      </c>
      <c r="B212" s="17">
        <v>45832.409837962958</v>
      </c>
      <c r="C212" s="18">
        <v>45832</v>
      </c>
      <c r="D212" s="10" t="s">
        <v>394</v>
      </c>
      <c r="E212" s="14">
        <v>1300</v>
      </c>
      <c r="F212" s="5">
        <v>0</v>
      </c>
      <c r="G212" s="5">
        <v>213690.41</v>
      </c>
      <c r="H212" s="10" t="s">
        <v>51</v>
      </c>
      <c r="I212" s="10" t="s">
        <v>52</v>
      </c>
      <c r="J212" s="10" t="s">
        <v>32</v>
      </c>
      <c r="K212" s="10" t="s">
        <v>18</v>
      </c>
      <c r="L212" s="10" t="s">
        <v>862</v>
      </c>
    </row>
    <row r="213" spans="1:12" x14ac:dyDescent="0.35">
      <c r="A213" s="9">
        <v>212</v>
      </c>
      <c r="B213" s="19">
        <v>45832.438831018517</v>
      </c>
      <c r="C213" s="20">
        <v>45832</v>
      </c>
      <c r="D213" s="8" t="s">
        <v>394</v>
      </c>
      <c r="E213" s="12">
        <v>500</v>
      </c>
      <c r="F213" s="3">
        <v>0</v>
      </c>
      <c r="G213" s="3">
        <v>213190.41</v>
      </c>
      <c r="H213" s="8" t="s">
        <v>51</v>
      </c>
      <c r="I213" s="8" t="s">
        <v>52</v>
      </c>
      <c r="J213" s="8" t="s">
        <v>32</v>
      </c>
      <c r="K213" s="8" t="s">
        <v>18</v>
      </c>
      <c r="L213" s="8" t="s">
        <v>865</v>
      </c>
    </row>
    <row r="214" spans="1:12" x14ac:dyDescent="0.35">
      <c r="A214" s="11">
        <v>213</v>
      </c>
      <c r="B214" s="17">
        <v>45832.929456018523</v>
      </c>
      <c r="C214" s="18">
        <v>45832</v>
      </c>
      <c r="D214" s="10" t="s">
        <v>426</v>
      </c>
      <c r="E214" s="5">
        <v>0</v>
      </c>
      <c r="F214" s="15">
        <v>9133</v>
      </c>
      <c r="G214" s="5">
        <v>222323.41</v>
      </c>
      <c r="H214" s="10" t="s">
        <v>51</v>
      </c>
      <c r="I214" s="10" t="s">
        <v>71</v>
      </c>
      <c r="J214" s="10" t="s">
        <v>32</v>
      </c>
      <c r="K214" s="10" t="s">
        <v>18</v>
      </c>
      <c r="L214" s="10" t="s">
        <v>869</v>
      </c>
    </row>
    <row r="215" spans="1:12" x14ac:dyDescent="0.35">
      <c r="A215" s="9">
        <v>214</v>
      </c>
      <c r="B215" s="19">
        <v>45833.141747685193</v>
      </c>
      <c r="C215" s="20">
        <v>45833</v>
      </c>
      <c r="D215" s="8" t="s">
        <v>2527</v>
      </c>
      <c r="E215" s="3">
        <v>0</v>
      </c>
      <c r="F215" s="13">
        <v>48.07</v>
      </c>
      <c r="G215" s="3">
        <v>222371.48</v>
      </c>
      <c r="H215" s="8" t="s">
        <v>51</v>
      </c>
      <c r="I215" s="8" t="s">
        <v>71</v>
      </c>
      <c r="J215" s="8" t="s">
        <v>32</v>
      </c>
      <c r="K215" s="8" t="s">
        <v>18</v>
      </c>
      <c r="L215" s="8" t="s">
        <v>2587</v>
      </c>
    </row>
    <row r="216" spans="1:12" x14ac:dyDescent="0.35">
      <c r="A216" s="11">
        <v>215</v>
      </c>
      <c r="B216" s="17">
        <v>45833.704444444447</v>
      </c>
      <c r="C216" s="18">
        <v>45833</v>
      </c>
      <c r="D216" s="10" t="s">
        <v>394</v>
      </c>
      <c r="E216" s="14">
        <v>4100</v>
      </c>
      <c r="F216" s="5">
        <v>0</v>
      </c>
      <c r="G216" s="5">
        <v>218271.48</v>
      </c>
      <c r="H216" s="10" t="s">
        <v>51</v>
      </c>
      <c r="I216" s="10" t="s">
        <v>52</v>
      </c>
      <c r="J216" s="10" t="s">
        <v>32</v>
      </c>
      <c r="K216" s="10" t="s">
        <v>18</v>
      </c>
      <c r="L216" s="10" t="s">
        <v>872</v>
      </c>
    </row>
    <row r="217" spans="1:12" x14ac:dyDescent="0.35">
      <c r="A217" s="9">
        <v>216</v>
      </c>
      <c r="B217" s="19">
        <v>45834.13621527778</v>
      </c>
      <c r="C217" s="20">
        <v>45834</v>
      </c>
      <c r="D217" s="8" t="s">
        <v>2527</v>
      </c>
      <c r="E217" s="3">
        <v>0</v>
      </c>
      <c r="F217" s="13">
        <v>48.69</v>
      </c>
      <c r="G217" s="3">
        <v>218320.17</v>
      </c>
      <c r="H217" s="8" t="s">
        <v>51</v>
      </c>
      <c r="I217" s="8" t="s">
        <v>71</v>
      </c>
      <c r="J217" s="8" t="s">
        <v>32</v>
      </c>
      <c r="K217" s="8" t="s">
        <v>18</v>
      </c>
      <c r="L217" s="8" t="s">
        <v>2588</v>
      </c>
    </row>
    <row r="218" spans="1:12" x14ac:dyDescent="0.35">
      <c r="A218" s="11">
        <v>217</v>
      </c>
      <c r="B218" s="17">
        <v>45834.363842592589</v>
      </c>
      <c r="C218" s="18">
        <v>45834</v>
      </c>
      <c r="D218" s="10" t="s">
        <v>394</v>
      </c>
      <c r="E218" s="14">
        <v>213750</v>
      </c>
      <c r="F218" s="5">
        <v>0</v>
      </c>
      <c r="G218" s="5">
        <v>4570.17</v>
      </c>
      <c r="H218" s="10" t="s">
        <v>51</v>
      </c>
      <c r="I218" s="10" t="s">
        <v>52</v>
      </c>
      <c r="J218" s="10" t="s">
        <v>32</v>
      </c>
      <c r="K218" s="10" t="s">
        <v>18</v>
      </c>
      <c r="L218" s="10" t="s">
        <v>877</v>
      </c>
    </row>
    <row r="219" spans="1:12" x14ac:dyDescent="0.35">
      <c r="A219" s="9">
        <v>218</v>
      </c>
      <c r="B219" s="19">
        <v>45834.929884259262</v>
      </c>
      <c r="C219" s="20">
        <v>45834</v>
      </c>
      <c r="D219" s="8" t="s">
        <v>426</v>
      </c>
      <c r="E219" s="3">
        <v>0</v>
      </c>
      <c r="F219" s="13">
        <v>15950</v>
      </c>
      <c r="G219" s="3">
        <v>20520.169999999998</v>
      </c>
      <c r="H219" s="8" t="s">
        <v>51</v>
      </c>
      <c r="I219" s="8" t="s">
        <v>71</v>
      </c>
      <c r="J219" s="8" t="s">
        <v>32</v>
      </c>
      <c r="K219" s="8" t="s">
        <v>18</v>
      </c>
      <c r="L219" s="8" t="s">
        <v>886</v>
      </c>
    </row>
    <row r="220" spans="1:12" x14ac:dyDescent="0.35">
      <c r="A220" s="11">
        <v>219</v>
      </c>
      <c r="B220" s="17">
        <v>45835.143321759257</v>
      </c>
      <c r="C220" s="18">
        <v>45835</v>
      </c>
      <c r="D220" s="10" t="s">
        <v>2527</v>
      </c>
      <c r="E220" s="5">
        <v>0</v>
      </c>
      <c r="F220" s="15">
        <v>1.57</v>
      </c>
      <c r="G220" s="5">
        <v>20521.740000000002</v>
      </c>
      <c r="H220" s="10" t="s">
        <v>51</v>
      </c>
      <c r="I220" s="10" t="s">
        <v>71</v>
      </c>
      <c r="J220" s="10" t="s">
        <v>32</v>
      </c>
      <c r="K220" s="10" t="s">
        <v>18</v>
      </c>
      <c r="L220" s="10" t="s">
        <v>2589</v>
      </c>
    </row>
    <row r="221" spans="1:12" x14ac:dyDescent="0.35">
      <c r="A221" s="9">
        <v>220</v>
      </c>
      <c r="B221" s="19">
        <v>45836.133333333331</v>
      </c>
      <c r="C221" s="20">
        <v>45836</v>
      </c>
      <c r="D221" s="8" t="s">
        <v>2527</v>
      </c>
      <c r="E221" s="3">
        <v>0</v>
      </c>
      <c r="F221" s="13">
        <v>7.06</v>
      </c>
      <c r="G221" s="3">
        <v>20528.8</v>
      </c>
      <c r="H221" s="8" t="s">
        <v>51</v>
      </c>
      <c r="I221" s="8" t="s">
        <v>71</v>
      </c>
      <c r="J221" s="8" t="s">
        <v>32</v>
      </c>
      <c r="K221" s="8" t="s">
        <v>18</v>
      </c>
      <c r="L221" s="8" t="s">
        <v>2590</v>
      </c>
    </row>
    <row r="222" spans="1:12" x14ac:dyDescent="0.35">
      <c r="A222" s="11">
        <v>221</v>
      </c>
      <c r="B222" s="17">
        <v>45836.559374999997</v>
      </c>
      <c r="C222" s="18">
        <v>45836</v>
      </c>
      <c r="D222" s="10" t="s">
        <v>394</v>
      </c>
      <c r="E222" s="14">
        <v>8870</v>
      </c>
      <c r="F222" s="5">
        <v>0</v>
      </c>
      <c r="G222" s="5">
        <v>11658.8</v>
      </c>
      <c r="H222" s="10" t="s">
        <v>51</v>
      </c>
      <c r="I222" s="10" t="s">
        <v>52</v>
      </c>
      <c r="J222" s="10" t="s">
        <v>32</v>
      </c>
      <c r="K222" s="10" t="s">
        <v>18</v>
      </c>
      <c r="L222" s="10" t="s">
        <v>889</v>
      </c>
    </row>
    <row r="223" spans="1:12" x14ac:dyDescent="0.35">
      <c r="A223" s="9">
        <v>222</v>
      </c>
      <c r="B223" s="19">
        <v>45836.611516203702</v>
      </c>
      <c r="C223" s="20">
        <v>45836</v>
      </c>
      <c r="D223" s="8" t="s">
        <v>394</v>
      </c>
      <c r="E223" s="12">
        <v>3000</v>
      </c>
      <c r="F223" s="3">
        <v>0</v>
      </c>
      <c r="G223" s="3">
        <v>8658.7999999999993</v>
      </c>
      <c r="H223" s="8" t="s">
        <v>51</v>
      </c>
      <c r="I223" s="8" t="s">
        <v>52</v>
      </c>
      <c r="J223" s="8" t="s">
        <v>32</v>
      </c>
      <c r="K223" s="8" t="s">
        <v>18</v>
      </c>
      <c r="L223" s="8" t="s">
        <v>892</v>
      </c>
    </row>
    <row r="224" spans="1:12" x14ac:dyDescent="0.35">
      <c r="A224" s="11">
        <v>223</v>
      </c>
      <c r="B224" s="17">
        <v>45837.139293981483</v>
      </c>
      <c r="C224" s="18">
        <v>45837</v>
      </c>
      <c r="D224" s="10" t="s">
        <v>2527</v>
      </c>
      <c r="E224" s="5">
        <v>0</v>
      </c>
      <c r="F224" s="15">
        <v>2.97</v>
      </c>
      <c r="G224" s="5">
        <v>8661.77</v>
      </c>
      <c r="H224" s="10" t="s">
        <v>51</v>
      </c>
      <c r="I224" s="10" t="s">
        <v>71</v>
      </c>
      <c r="J224" s="10" t="s">
        <v>32</v>
      </c>
      <c r="K224" s="10" t="s">
        <v>18</v>
      </c>
      <c r="L224" s="10" t="s">
        <v>2591</v>
      </c>
    </row>
    <row r="225" spans="1:12" x14ac:dyDescent="0.35">
      <c r="A225" s="9">
        <v>224</v>
      </c>
      <c r="B225" s="19">
        <v>45837.26226851852</v>
      </c>
      <c r="C225" s="20">
        <v>45837</v>
      </c>
      <c r="D225" s="8" t="s">
        <v>394</v>
      </c>
      <c r="E225" s="12">
        <v>491</v>
      </c>
      <c r="F225" s="3">
        <v>0</v>
      </c>
      <c r="G225" s="3">
        <v>8170.77</v>
      </c>
      <c r="H225" s="8" t="s">
        <v>51</v>
      </c>
      <c r="I225" s="8" t="s">
        <v>52</v>
      </c>
      <c r="J225" s="8" t="s">
        <v>32</v>
      </c>
      <c r="K225" s="8" t="s">
        <v>18</v>
      </c>
      <c r="L225" s="8" t="s">
        <v>894</v>
      </c>
    </row>
    <row r="226" spans="1:12" x14ac:dyDescent="0.35">
      <c r="A226" s="11">
        <v>225</v>
      </c>
      <c r="B226" s="17">
        <v>45838.134074074071</v>
      </c>
      <c r="C226" s="18">
        <v>45838</v>
      </c>
      <c r="D226" s="10" t="s">
        <v>2527</v>
      </c>
      <c r="E226" s="5">
        <v>0</v>
      </c>
      <c r="F226" s="15">
        <v>2.8</v>
      </c>
      <c r="G226" s="5">
        <v>8173.57</v>
      </c>
      <c r="H226" s="10" t="s">
        <v>51</v>
      </c>
      <c r="I226" s="10" t="s">
        <v>71</v>
      </c>
      <c r="J226" s="10" t="s">
        <v>32</v>
      </c>
      <c r="K226" s="10" t="s">
        <v>18</v>
      </c>
      <c r="L226" s="10" t="s">
        <v>2592</v>
      </c>
    </row>
    <row r="227" spans="1:12" x14ac:dyDescent="0.35">
      <c r="A227" s="9">
        <v>226</v>
      </c>
      <c r="B227" s="19">
        <v>45838.468738425923</v>
      </c>
      <c r="C227" s="20">
        <v>45838</v>
      </c>
      <c r="D227" s="8" t="s">
        <v>394</v>
      </c>
      <c r="E227" s="12">
        <v>800</v>
      </c>
      <c r="F227" s="3">
        <v>0</v>
      </c>
      <c r="G227" s="3">
        <v>7373.57</v>
      </c>
      <c r="H227" s="8" t="s">
        <v>51</v>
      </c>
      <c r="I227" s="8" t="s">
        <v>52</v>
      </c>
      <c r="J227" s="8" t="s">
        <v>32</v>
      </c>
      <c r="K227" s="8" t="s">
        <v>18</v>
      </c>
      <c r="L227" s="8" t="s">
        <v>897</v>
      </c>
    </row>
    <row r="228" spans="1:12" x14ac:dyDescent="0.35">
      <c r="A228" s="11">
        <v>227</v>
      </c>
      <c r="B228" s="17">
        <v>45838.470173611109</v>
      </c>
      <c r="C228" s="18">
        <v>45838</v>
      </c>
      <c r="D228" s="10" t="s">
        <v>394</v>
      </c>
      <c r="E228" s="14">
        <v>500</v>
      </c>
      <c r="F228" s="5">
        <v>0</v>
      </c>
      <c r="G228" s="5">
        <v>6873.57</v>
      </c>
      <c r="H228" s="10" t="s">
        <v>51</v>
      </c>
      <c r="I228" s="10" t="s">
        <v>52</v>
      </c>
      <c r="J228" s="10" t="s">
        <v>32</v>
      </c>
      <c r="K228" s="10" t="s">
        <v>18</v>
      </c>
      <c r="L228" s="10" t="s">
        <v>899</v>
      </c>
    </row>
    <row r="229" spans="1:12" x14ac:dyDescent="0.35">
      <c r="A229" s="9">
        <v>228</v>
      </c>
      <c r="B229" s="19">
        <v>45838.474456018521</v>
      </c>
      <c r="C229" s="20">
        <v>45838</v>
      </c>
      <c r="D229" s="8" t="s">
        <v>394</v>
      </c>
      <c r="E229" s="12">
        <v>500</v>
      </c>
      <c r="F229" s="3">
        <v>0</v>
      </c>
      <c r="G229" s="3">
        <v>6373.57</v>
      </c>
      <c r="H229" s="8" t="s">
        <v>51</v>
      </c>
      <c r="I229" s="8" t="s">
        <v>52</v>
      </c>
      <c r="J229" s="8" t="s">
        <v>32</v>
      </c>
      <c r="K229" s="8" t="s">
        <v>18</v>
      </c>
      <c r="L229" s="8" t="s">
        <v>901</v>
      </c>
    </row>
    <row r="230" spans="1:12" x14ac:dyDescent="0.35">
      <c r="A230" s="11">
        <v>229</v>
      </c>
      <c r="B230" s="17">
        <v>45838.676516203697</v>
      </c>
      <c r="C230" s="18">
        <v>45838</v>
      </c>
      <c r="D230" s="10" t="s">
        <v>394</v>
      </c>
      <c r="E230" s="14">
        <v>1480</v>
      </c>
      <c r="F230" s="5">
        <v>0</v>
      </c>
      <c r="G230" s="5">
        <v>4893.57</v>
      </c>
      <c r="H230" s="10" t="s">
        <v>51</v>
      </c>
      <c r="I230" s="10" t="s">
        <v>52</v>
      </c>
      <c r="J230" s="10" t="s">
        <v>32</v>
      </c>
      <c r="K230" s="10" t="s">
        <v>18</v>
      </c>
      <c r="L230" s="10" t="s">
        <v>904</v>
      </c>
    </row>
    <row r="231" spans="1:12" x14ac:dyDescent="0.35">
      <c r="A231" s="9">
        <v>230</v>
      </c>
      <c r="B231" s="19">
        <v>45839.145671296297</v>
      </c>
      <c r="C231" s="20">
        <v>45839</v>
      </c>
      <c r="D231" s="8" t="s">
        <v>2527</v>
      </c>
      <c r="E231" s="3">
        <v>0</v>
      </c>
      <c r="F231" s="13">
        <v>1.68</v>
      </c>
      <c r="G231" s="3">
        <v>4895.25</v>
      </c>
      <c r="H231" s="8" t="s">
        <v>51</v>
      </c>
      <c r="I231" s="8" t="s">
        <v>71</v>
      </c>
      <c r="J231" s="8" t="s">
        <v>32</v>
      </c>
      <c r="K231" s="8" t="s">
        <v>19</v>
      </c>
      <c r="L231" s="8" t="s">
        <v>2593</v>
      </c>
    </row>
    <row r="232" spans="1:12" x14ac:dyDescent="0.35">
      <c r="A232" s="11">
        <v>231</v>
      </c>
      <c r="B232" s="17">
        <v>45840.129421296297</v>
      </c>
      <c r="C232" s="18">
        <v>45840</v>
      </c>
      <c r="D232" s="10" t="s">
        <v>2527</v>
      </c>
      <c r="E232" s="5">
        <v>0</v>
      </c>
      <c r="F232" s="15">
        <v>1.68</v>
      </c>
      <c r="G232" s="5">
        <v>4896.93</v>
      </c>
      <c r="H232" s="10" t="s">
        <v>51</v>
      </c>
      <c r="I232" s="10" t="s">
        <v>71</v>
      </c>
      <c r="J232" s="10" t="s">
        <v>32</v>
      </c>
      <c r="K232" s="10" t="s">
        <v>19</v>
      </c>
      <c r="L232" s="10" t="s">
        <v>2594</v>
      </c>
    </row>
    <row r="233" spans="1:12" x14ac:dyDescent="0.35">
      <c r="A233" s="9">
        <v>232</v>
      </c>
      <c r="B233" s="19">
        <v>45840.597175925926</v>
      </c>
      <c r="C233" s="20">
        <v>45840</v>
      </c>
      <c r="D233" s="8" t="s">
        <v>394</v>
      </c>
      <c r="E233" s="12">
        <v>10</v>
      </c>
      <c r="F233" s="3">
        <v>0</v>
      </c>
      <c r="G233" s="3">
        <v>4886.93</v>
      </c>
      <c r="H233" s="8" t="s">
        <v>51</v>
      </c>
      <c r="I233" s="8" t="s">
        <v>52</v>
      </c>
      <c r="J233" s="8" t="s">
        <v>32</v>
      </c>
      <c r="K233" s="8" t="s">
        <v>19</v>
      </c>
      <c r="L233" s="8" t="s">
        <v>906</v>
      </c>
    </row>
    <row r="234" spans="1:12" x14ac:dyDescent="0.35">
      <c r="A234" s="11">
        <v>233</v>
      </c>
      <c r="B234" s="17">
        <v>45841.137708333343</v>
      </c>
      <c r="C234" s="18">
        <v>45841</v>
      </c>
      <c r="D234" s="10" t="s">
        <v>2527</v>
      </c>
      <c r="E234" s="5">
        <v>0</v>
      </c>
      <c r="F234" s="15">
        <v>1.68</v>
      </c>
      <c r="G234" s="5">
        <v>4888.6099999999997</v>
      </c>
      <c r="H234" s="10" t="s">
        <v>51</v>
      </c>
      <c r="I234" s="10" t="s">
        <v>71</v>
      </c>
      <c r="J234" s="10" t="s">
        <v>32</v>
      </c>
      <c r="K234" s="10" t="s">
        <v>19</v>
      </c>
      <c r="L234" s="10" t="s">
        <v>2595</v>
      </c>
    </row>
    <row r="235" spans="1:12" x14ac:dyDescent="0.35">
      <c r="A235" s="9">
        <v>234</v>
      </c>
      <c r="B235" s="19">
        <v>45842.135509259257</v>
      </c>
      <c r="C235" s="20">
        <v>45842</v>
      </c>
      <c r="D235" s="8" t="s">
        <v>2527</v>
      </c>
      <c r="E235" s="3">
        <v>0</v>
      </c>
      <c r="F235" s="13">
        <v>1.68</v>
      </c>
      <c r="G235" s="3">
        <v>4890.29</v>
      </c>
      <c r="H235" s="8" t="s">
        <v>51</v>
      </c>
      <c r="I235" s="8" t="s">
        <v>71</v>
      </c>
      <c r="J235" s="8" t="s">
        <v>32</v>
      </c>
      <c r="K235" s="8" t="s">
        <v>19</v>
      </c>
      <c r="L235" s="8" t="s">
        <v>2596</v>
      </c>
    </row>
    <row r="236" spans="1:12" x14ac:dyDescent="0.35">
      <c r="A236" s="11">
        <v>235</v>
      </c>
      <c r="B236" s="17">
        <v>45842.603680555563</v>
      </c>
      <c r="C236" s="18">
        <v>45842</v>
      </c>
      <c r="D236" s="10" t="s">
        <v>394</v>
      </c>
      <c r="E236" s="14">
        <v>500</v>
      </c>
      <c r="F236" s="5">
        <v>0</v>
      </c>
      <c r="G236" s="5">
        <v>4390.29</v>
      </c>
      <c r="H236" s="10" t="s">
        <v>51</v>
      </c>
      <c r="I236" s="10" t="s">
        <v>52</v>
      </c>
      <c r="J236" s="10" t="s">
        <v>32</v>
      </c>
      <c r="K236" s="10" t="s">
        <v>19</v>
      </c>
      <c r="L236" s="10" t="s">
        <v>908</v>
      </c>
    </row>
    <row r="237" spans="1:12" x14ac:dyDescent="0.35">
      <c r="A237" s="9">
        <v>236</v>
      </c>
      <c r="B237" s="19">
        <v>45842.704502314817</v>
      </c>
      <c r="C237" s="20">
        <v>45842</v>
      </c>
      <c r="D237" s="8" t="s">
        <v>394</v>
      </c>
      <c r="E237" s="12">
        <v>1700</v>
      </c>
      <c r="F237" s="3">
        <v>0</v>
      </c>
      <c r="G237" s="3">
        <v>2690.29</v>
      </c>
      <c r="H237" s="8" t="s">
        <v>51</v>
      </c>
      <c r="I237" s="8" t="s">
        <v>52</v>
      </c>
      <c r="J237" s="8" t="s">
        <v>32</v>
      </c>
      <c r="K237" s="8" t="s">
        <v>19</v>
      </c>
      <c r="L237" s="8" t="s">
        <v>911</v>
      </c>
    </row>
    <row r="238" spans="1:12" x14ac:dyDescent="0.35">
      <c r="A238" s="11">
        <v>237</v>
      </c>
      <c r="B238" s="17">
        <v>45843.140844907408</v>
      </c>
      <c r="C238" s="18">
        <v>45843</v>
      </c>
      <c r="D238" s="10" t="s">
        <v>2527</v>
      </c>
      <c r="E238" s="5">
        <v>0</v>
      </c>
      <c r="F238" s="15">
        <v>0.92</v>
      </c>
      <c r="G238" s="5">
        <v>2691.21</v>
      </c>
      <c r="H238" s="10" t="s">
        <v>51</v>
      </c>
      <c r="I238" s="10" t="s">
        <v>71</v>
      </c>
      <c r="J238" s="10" t="s">
        <v>32</v>
      </c>
      <c r="K238" s="10" t="s">
        <v>19</v>
      </c>
      <c r="L238" s="10" t="s">
        <v>2597</v>
      </c>
    </row>
    <row r="239" spans="1:12" x14ac:dyDescent="0.35">
      <c r="A239" s="9">
        <v>238</v>
      </c>
      <c r="B239" s="19">
        <v>45844.134155092594</v>
      </c>
      <c r="C239" s="20">
        <v>45844</v>
      </c>
      <c r="D239" s="8" t="s">
        <v>2527</v>
      </c>
      <c r="E239" s="3">
        <v>0</v>
      </c>
      <c r="F239" s="13">
        <v>0.92</v>
      </c>
      <c r="G239" s="3">
        <v>2692.13</v>
      </c>
      <c r="H239" s="8" t="s">
        <v>51</v>
      </c>
      <c r="I239" s="8" t="s">
        <v>71</v>
      </c>
      <c r="J239" s="8" t="s">
        <v>32</v>
      </c>
      <c r="K239" s="8" t="s">
        <v>19</v>
      </c>
      <c r="L239" s="8" t="s">
        <v>2598</v>
      </c>
    </row>
    <row r="240" spans="1:12" x14ac:dyDescent="0.35">
      <c r="A240" s="11">
        <v>239</v>
      </c>
      <c r="B240" s="17">
        <v>45845.151898148149</v>
      </c>
      <c r="C240" s="18">
        <v>45845</v>
      </c>
      <c r="D240" s="10" t="s">
        <v>2527</v>
      </c>
      <c r="E240" s="5">
        <v>0</v>
      </c>
      <c r="F240" s="15">
        <v>0.92</v>
      </c>
      <c r="G240" s="5">
        <v>2693.05</v>
      </c>
      <c r="H240" s="10" t="s">
        <v>51</v>
      </c>
      <c r="I240" s="10" t="s">
        <v>71</v>
      </c>
      <c r="J240" s="10" t="s">
        <v>32</v>
      </c>
      <c r="K240" s="10" t="s">
        <v>19</v>
      </c>
      <c r="L240" s="10" t="s">
        <v>2599</v>
      </c>
    </row>
    <row r="241" spans="1:12" x14ac:dyDescent="0.35">
      <c r="A241" s="9">
        <v>240</v>
      </c>
      <c r="B241" s="19">
        <v>45846.130219907413</v>
      </c>
      <c r="C241" s="20">
        <v>45846</v>
      </c>
      <c r="D241" s="8" t="s">
        <v>2527</v>
      </c>
      <c r="E241" s="3">
        <v>0</v>
      </c>
      <c r="F241" s="13">
        <v>0.92</v>
      </c>
      <c r="G241" s="3">
        <v>2693.97</v>
      </c>
      <c r="H241" s="8" t="s">
        <v>51</v>
      </c>
      <c r="I241" s="8" t="s">
        <v>71</v>
      </c>
      <c r="J241" s="8" t="s">
        <v>32</v>
      </c>
      <c r="K241" s="8" t="s">
        <v>19</v>
      </c>
      <c r="L241" s="8" t="s">
        <v>2600</v>
      </c>
    </row>
    <row r="242" spans="1:12" x14ac:dyDescent="0.35">
      <c r="A242" s="11">
        <v>241</v>
      </c>
      <c r="B242" s="17">
        <v>45847.152824074074</v>
      </c>
      <c r="C242" s="18">
        <v>45847</v>
      </c>
      <c r="D242" s="10" t="s">
        <v>2527</v>
      </c>
      <c r="E242" s="5">
        <v>0</v>
      </c>
      <c r="F242" s="15">
        <v>0.92</v>
      </c>
      <c r="G242" s="5">
        <v>2694.89</v>
      </c>
      <c r="H242" s="10" t="s">
        <v>51</v>
      </c>
      <c r="I242" s="10" t="s">
        <v>71</v>
      </c>
      <c r="J242" s="10" t="s">
        <v>32</v>
      </c>
      <c r="K242" s="10" t="s">
        <v>19</v>
      </c>
      <c r="L242" s="10" t="s">
        <v>2601</v>
      </c>
    </row>
    <row r="243" spans="1:12" x14ac:dyDescent="0.35">
      <c r="A243" s="9">
        <v>242</v>
      </c>
      <c r="B243" s="19">
        <v>45847.405833333331</v>
      </c>
      <c r="C243" s="20">
        <v>45847</v>
      </c>
      <c r="D243" s="8" t="s">
        <v>394</v>
      </c>
      <c r="E243" s="12">
        <v>50</v>
      </c>
      <c r="F243" s="3">
        <v>0</v>
      </c>
      <c r="G243" s="3">
        <v>2644.89</v>
      </c>
      <c r="H243" s="8" t="s">
        <v>51</v>
      </c>
      <c r="I243" s="8" t="s">
        <v>52</v>
      </c>
      <c r="J243" s="8" t="s">
        <v>32</v>
      </c>
      <c r="K243" s="8" t="s">
        <v>19</v>
      </c>
      <c r="L243" s="8" t="s">
        <v>915</v>
      </c>
    </row>
    <row r="244" spans="1:12" x14ac:dyDescent="0.35">
      <c r="A244" s="11">
        <v>243</v>
      </c>
      <c r="B244" s="17">
        <v>45847.688784722217</v>
      </c>
      <c r="C244" s="18">
        <v>45847</v>
      </c>
      <c r="D244" s="10" t="s">
        <v>394</v>
      </c>
      <c r="E244" s="14">
        <v>495</v>
      </c>
      <c r="F244" s="5">
        <v>0</v>
      </c>
      <c r="G244" s="5">
        <v>2149.89</v>
      </c>
      <c r="H244" s="10" t="s">
        <v>51</v>
      </c>
      <c r="I244" s="10" t="s">
        <v>52</v>
      </c>
      <c r="J244" s="10" t="s">
        <v>32</v>
      </c>
      <c r="K244" s="10" t="s">
        <v>19</v>
      </c>
      <c r="L244" s="10" t="s">
        <v>917</v>
      </c>
    </row>
    <row r="245" spans="1:12" x14ac:dyDescent="0.35">
      <c r="A245" s="9">
        <v>244</v>
      </c>
      <c r="B245" s="19">
        <v>45848.131967592592</v>
      </c>
      <c r="C245" s="20">
        <v>45848</v>
      </c>
      <c r="D245" s="8" t="s">
        <v>2527</v>
      </c>
      <c r="E245" s="3">
        <v>0</v>
      </c>
      <c r="F245" s="13">
        <v>0.73</v>
      </c>
      <c r="G245" s="3">
        <v>2150.62</v>
      </c>
      <c r="H245" s="8" t="s">
        <v>51</v>
      </c>
      <c r="I245" s="8" t="s">
        <v>71</v>
      </c>
      <c r="J245" s="8" t="s">
        <v>32</v>
      </c>
      <c r="K245" s="8" t="s">
        <v>19</v>
      </c>
      <c r="L245" s="8" t="s">
        <v>2602</v>
      </c>
    </row>
    <row r="246" spans="1:12" x14ac:dyDescent="0.35">
      <c r="A246" s="11">
        <v>245</v>
      </c>
      <c r="B246" s="17">
        <v>45848.731145833342</v>
      </c>
      <c r="C246" s="18">
        <v>45848</v>
      </c>
      <c r="D246" s="10" t="s">
        <v>394</v>
      </c>
      <c r="E246" s="14">
        <v>500</v>
      </c>
      <c r="F246" s="5">
        <v>0</v>
      </c>
      <c r="G246" s="5">
        <v>1650.62</v>
      </c>
      <c r="H246" s="10" t="s">
        <v>51</v>
      </c>
      <c r="I246" s="10" t="s">
        <v>52</v>
      </c>
      <c r="J246" s="10" t="s">
        <v>32</v>
      </c>
      <c r="K246" s="10" t="s">
        <v>19</v>
      </c>
      <c r="L246" s="10" t="s">
        <v>919</v>
      </c>
    </row>
    <row r="247" spans="1:12" x14ac:dyDescent="0.35">
      <c r="A247" s="9">
        <v>246</v>
      </c>
      <c r="B247" s="19">
        <v>45849.152754629627</v>
      </c>
      <c r="C247" s="20">
        <v>45849</v>
      </c>
      <c r="D247" s="8" t="s">
        <v>2527</v>
      </c>
      <c r="E247" s="3">
        <v>0</v>
      </c>
      <c r="F247" s="13">
        <v>0.56000000000000005</v>
      </c>
      <c r="G247" s="3">
        <v>1651.18</v>
      </c>
      <c r="H247" s="8" t="s">
        <v>51</v>
      </c>
      <c r="I247" s="8" t="s">
        <v>71</v>
      </c>
      <c r="J247" s="8" t="s">
        <v>32</v>
      </c>
      <c r="K247" s="8" t="s">
        <v>19</v>
      </c>
      <c r="L247" s="8" t="s">
        <v>2603</v>
      </c>
    </row>
    <row r="248" spans="1:12" x14ac:dyDescent="0.35">
      <c r="A248" s="11">
        <v>247</v>
      </c>
      <c r="B248" s="17">
        <v>45849.931261574071</v>
      </c>
      <c r="C248" s="18">
        <v>45849</v>
      </c>
      <c r="D248" s="10" t="s">
        <v>426</v>
      </c>
      <c r="E248" s="5">
        <v>0</v>
      </c>
      <c r="F248" s="15">
        <v>54950</v>
      </c>
      <c r="G248" s="5">
        <v>56601.18</v>
      </c>
      <c r="H248" s="10" t="s">
        <v>51</v>
      </c>
      <c r="I248" s="10" t="s">
        <v>71</v>
      </c>
      <c r="J248" s="10" t="s">
        <v>32</v>
      </c>
      <c r="K248" s="10" t="s">
        <v>19</v>
      </c>
      <c r="L248" s="10" t="s">
        <v>923</v>
      </c>
    </row>
    <row r="249" spans="1:12" x14ac:dyDescent="0.35">
      <c r="A249" s="9">
        <v>248</v>
      </c>
      <c r="B249" s="19">
        <v>45850.12605324074</v>
      </c>
      <c r="C249" s="20">
        <v>45850</v>
      </c>
      <c r="D249" s="8" t="s">
        <v>2527</v>
      </c>
      <c r="E249" s="3">
        <v>0</v>
      </c>
      <c r="F249" s="13">
        <v>0.56000000000000005</v>
      </c>
      <c r="G249" s="3">
        <v>56601.74</v>
      </c>
      <c r="H249" s="8" t="s">
        <v>51</v>
      </c>
      <c r="I249" s="8" t="s">
        <v>71</v>
      </c>
      <c r="J249" s="8" t="s">
        <v>32</v>
      </c>
      <c r="K249" s="8" t="s">
        <v>19</v>
      </c>
      <c r="L249" s="8" t="s">
        <v>2604</v>
      </c>
    </row>
    <row r="250" spans="1:12" x14ac:dyDescent="0.35">
      <c r="A250" s="11">
        <v>249</v>
      </c>
      <c r="B250" s="17">
        <v>45850.212754629632</v>
      </c>
      <c r="C250" s="18">
        <v>45850</v>
      </c>
      <c r="D250" s="10" t="s">
        <v>394</v>
      </c>
      <c r="E250" s="14">
        <v>500</v>
      </c>
      <c r="F250" s="5">
        <v>0</v>
      </c>
      <c r="G250" s="5">
        <v>56101.74</v>
      </c>
      <c r="H250" s="10" t="s">
        <v>51</v>
      </c>
      <c r="I250" s="10" t="s">
        <v>52</v>
      </c>
      <c r="J250" s="10" t="s">
        <v>32</v>
      </c>
      <c r="K250" s="10" t="s">
        <v>19</v>
      </c>
      <c r="L250" s="10" t="s">
        <v>924</v>
      </c>
    </row>
    <row r="251" spans="1:12" x14ac:dyDescent="0.35">
      <c r="A251" s="9">
        <v>250</v>
      </c>
      <c r="B251" s="19">
        <v>45851.153680555559</v>
      </c>
      <c r="C251" s="20">
        <v>45851</v>
      </c>
      <c r="D251" s="8" t="s">
        <v>2527</v>
      </c>
      <c r="E251" s="3">
        <v>0</v>
      </c>
      <c r="F251" s="13">
        <v>19.329999999999998</v>
      </c>
      <c r="G251" s="3">
        <v>56121.07</v>
      </c>
      <c r="H251" s="8" t="s">
        <v>51</v>
      </c>
      <c r="I251" s="8" t="s">
        <v>71</v>
      </c>
      <c r="J251" s="8" t="s">
        <v>32</v>
      </c>
      <c r="K251" s="8" t="s">
        <v>19</v>
      </c>
      <c r="L251" s="8" t="s">
        <v>2605</v>
      </c>
    </row>
    <row r="252" spans="1:12" x14ac:dyDescent="0.35">
      <c r="A252" s="11">
        <v>251</v>
      </c>
      <c r="B252" s="17">
        <v>45851.212685185194</v>
      </c>
      <c r="C252" s="18">
        <v>45851</v>
      </c>
      <c r="D252" s="10" t="s">
        <v>394</v>
      </c>
      <c r="E252" s="14">
        <v>500</v>
      </c>
      <c r="F252" s="5">
        <v>0</v>
      </c>
      <c r="G252" s="5">
        <v>55621.07</v>
      </c>
      <c r="H252" s="10" t="s">
        <v>51</v>
      </c>
      <c r="I252" s="10" t="s">
        <v>52</v>
      </c>
      <c r="J252" s="10" t="s">
        <v>32</v>
      </c>
      <c r="K252" s="10" t="s">
        <v>19</v>
      </c>
      <c r="L252" s="10" t="s">
        <v>926</v>
      </c>
    </row>
    <row r="253" spans="1:12" x14ac:dyDescent="0.35">
      <c r="A253" s="9">
        <v>252</v>
      </c>
      <c r="B253" s="19">
        <v>45852.127581018518</v>
      </c>
      <c r="C253" s="20">
        <v>45852</v>
      </c>
      <c r="D253" s="8" t="s">
        <v>2527</v>
      </c>
      <c r="E253" s="3">
        <v>0</v>
      </c>
      <c r="F253" s="13">
        <v>19.170000000000002</v>
      </c>
      <c r="G253" s="3">
        <v>55640.24</v>
      </c>
      <c r="H253" s="8" t="s">
        <v>51</v>
      </c>
      <c r="I253" s="8" t="s">
        <v>71</v>
      </c>
      <c r="J253" s="8" t="s">
        <v>32</v>
      </c>
      <c r="K253" s="8" t="s">
        <v>19</v>
      </c>
      <c r="L253" s="8" t="s">
        <v>2606</v>
      </c>
    </row>
    <row r="254" spans="1:12" x14ac:dyDescent="0.35">
      <c r="A254" s="11">
        <v>253</v>
      </c>
      <c r="B254" s="17">
        <v>45852.212488425917</v>
      </c>
      <c r="C254" s="18">
        <v>45852</v>
      </c>
      <c r="D254" s="10" t="s">
        <v>394</v>
      </c>
      <c r="E254" s="14">
        <v>500</v>
      </c>
      <c r="F254" s="5">
        <v>0</v>
      </c>
      <c r="G254" s="5">
        <v>55140.24</v>
      </c>
      <c r="H254" s="10" t="s">
        <v>51</v>
      </c>
      <c r="I254" s="10" t="s">
        <v>52</v>
      </c>
      <c r="J254" s="10" t="s">
        <v>32</v>
      </c>
      <c r="K254" s="10" t="s">
        <v>19</v>
      </c>
      <c r="L254" s="10" t="s">
        <v>929</v>
      </c>
    </row>
    <row r="255" spans="1:12" x14ac:dyDescent="0.35">
      <c r="A255" s="9">
        <v>254</v>
      </c>
      <c r="B255" s="19">
        <v>45852.472627314812</v>
      </c>
      <c r="C255" s="20">
        <v>45852</v>
      </c>
      <c r="D255" s="8" t="s">
        <v>394</v>
      </c>
      <c r="E255" s="12">
        <v>1050</v>
      </c>
      <c r="F255" s="3">
        <v>0</v>
      </c>
      <c r="G255" s="3">
        <v>54090.239999999998</v>
      </c>
      <c r="H255" s="8" t="s">
        <v>51</v>
      </c>
      <c r="I255" s="8" t="s">
        <v>52</v>
      </c>
      <c r="J255" s="8" t="s">
        <v>32</v>
      </c>
      <c r="K255" s="8" t="s">
        <v>19</v>
      </c>
      <c r="L255" s="8" t="s">
        <v>932</v>
      </c>
    </row>
    <row r="256" spans="1:12" x14ac:dyDescent="0.35">
      <c r="A256" s="11">
        <v>255</v>
      </c>
      <c r="B256" s="17">
        <v>45853.148935185192</v>
      </c>
      <c r="C256" s="18">
        <v>45853</v>
      </c>
      <c r="D256" s="10" t="s">
        <v>2527</v>
      </c>
      <c r="E256" s="5">
        <v>0</v>
      </c>
      <c r="F256" s="15">
        <v>18.63</v>
      </c>
      <c r="G256" s="5">
        <v>54108.87</v>
      </c>
      <c r="H256" s="10" t="s">
        <v>51</v>
      </c>
      <c r="I256" s="10" t="s">
        <v>71</v>
      </c>
      <c r="J256" s="10" t="s">
        <v>32</v>
      </c>
      <c r="K256" s="10" t="s">
        <v>19</v>
      </c>
      <c r="L256" s="10" t="s">
        <v>2607</v>
      </c>
    </row>
    <row r="257" spans="1:12" x14ac:dyDescent="0.35">
      <c r="A257" s="9">
        <v>256</v>
      </c>
      <c r="B257" s="19">
        <v>45853.212442129632</v>
      </c>
      <c r="C257" s="20">
        <v>45853</v>
      </c>
      <c r="D257" s="8" t="s">
        <v>394</v>
      </c>
      <c r="E257" s="12">
        <v>500</v>
      </c>
      <c r="F257" s="3">
        <v>0</v>
      </c>
      <c r="G257" s="3">
        <v>53608.87</v>
      </c>
      <c r="H257" s="8" t="s">
        <v>51</v>
      </c>
      <c r="I257" s="8" t="s">
        <v>52</v>
      </c>
      <c r="J257" s="8" t="s">
        <v>32</v>
      </c>
      <c r="K257" s="8" t="s">
        <v>19</v>
      </c>
      <c r="L257" s="8" t="s">
        <v>933</v>
      </c>
    </row>
    <row r="258" spans="1:12" x14ac:dyDescent="0.35">
      <c r="A258" s="11">
        <v>257</v>
      </c>
      <c r="B258" s="17">
        <v>45853.292488425926</v>
      </c>
      <c r="C258" s="18">
        <v>45853</v>
      </c>
      <c r="D258" s="10" t="s">
        <v>394</v>
      </c>
      <c r="E258" s="14">
        <v>13000</v>
      </c>
      <c r="F258" s="5">
        <v>0</v>
      </c>
      <c r="G258" s="5">
        <v>40608.870000000003</v>
      </c>
      <c r="H258" s="10" t="s">
        <v>51</v>
      </c>
      <c r="I258" s="10" t="s">
        <v>52</v>
      </c>
      <c r="J258" s="10" t="s">
        <v>32</v>
      </c>
      <c r="K258" s="10" t="s">
        <v>19</v>
      </c>
      <c r="L258" s="10" t="s">
        <v>936</v>
      </c>
    </row>
    <row r="259" spans="1:12" x14ac:dyDescent="0.35">
      <c r="A259" s="9">
        <v>258</v>
      </c>
      <c r="B259" s="19">
        <v>45853.293171296304</v>
      </c>
      <c r="C259" s="20">
        <v>45853</v>
      </c>
      <c r="D259" s="8" t="s">
        <v>394</v>
      </c>
      <c r="E259" s="12">
        <v>2000</v>
      </c>
      <c r="F259" s="3">
        <v>0</v>
      </c>
      <c r="G259" s="3">
        <v>38608.870000000003</v>
      </c>
      <c r="H259" s="8" t="s">
        <v>51</v>
      </c>
      <c r="I259" s="8" t="s">
        <v>52</v>
      </c>
      <c r="J259" s="8" t="s">
        <v>32</v>
      </c>
      <c r="K259" s="8" t="s">
        <v>19</v>
      </c>
      <c r="L259" s="8" t="s">
        <v>938</v>
      </c>
    </row>
    <row r="260" spans="1:12" x14ac:dyDescent="0.35">
      <c r="A260" s="11">
        <v>259</v>
      </c>
      <c r="B260" s="17">
        <v>45853.322291666656</v>
      </c>
      <c r="C260" s="18">
        <v>45853</v>
      </c>
      <c r="D260" s="10" t="s">
        <v>394</v>
      </c>
      <c r="E260" s="14">
        <v>300</v>
      </c>
      <c r="F260" s="5">
        <v>0</v>
      </c>
      <c r="G260" s="5">
        <v>38308.870000000003</v>
      </c>
      <c r="H260" s="10" t="s">
        <v>51</v>
      </c>
      <c r="I260" s="10" t="s">
        <v>52</v>
      </c>
      <c r="J260" s="10" t="s">
        <v>32</v>
      </c>
      <c r="K260" s="10" t="s">
        <v>19</v>
      </c>
      <c r="L260" s="10" t="s">
        <v>941</v>
      </c>
    </row>
    <row r="261" spans="1:12" x14ac:dyDescent="0.35">
      <c r="A261" s="9">
        <v>260</v>
      </c>
      <c r="B261" s="19">
        <v>45853.335289351853</v>
      </c>
      <c r="C261" s="20">
        <v>45853</v>
      </c>
      <c r="D261" s="8" t="s">
        <v>394</v>
      </c>
      <c r="E261" s="12">
        <v>1700</v>
      </c>
      <c r="F261" s="3">
        <v>0</v>
      </c>
      <c r="G261" s="3">
        <v>36608.870000000003</v>
      </c>
      <c r="H261" s="8" t="s">
        <v>51</v>
      </c>
      <c r="I261" s="8" t="s">
        <v>52</v>
      </c>
      <c r="J261" s="8" t="s">
        <v>32</v>
      </c>
      <c r="K261" s="8" t="s">
        <v>19</v>
      </c>
      <c r="L261" s="8" t="s">
        <v>944</v>
      </c>
    </row>
    <row r="262" spans="1:12" x14ac:dyDescent="0.35">
      <c r="A262" s="11">
        <v>261</v>
      </c>
      <c r="B262" s="17">
        <v>45853.932002314818</v>
      </c>
      <c r="C262" s="18">
        <v>45853</v>
      </c>
      <c r="D262" s="10" t="s">
        <v>426</v>
      </c>
      <c r="E262" s="5">
        <v>0</v>
      </c>
      <c r="F262" s="15">
        <v>24950</v>
      </c>
      <c r="G262" s="5">
        <v>61558.87</v>
      </c>
      <c r="H262" s="10" t="s">
        <v>51</v>
      </c>
      <c r="I262" s="10" t="s">
        <v>71</v>
      </c>
      <c r="J262" s="10" t="s">
        <v>32</v>
      </c>
      <c r="K262" s="10" t="s">
        <v>19</v>
      </c>
      <c r="L262" s="10" t="s">
        <v>948</v>
      </c>
    </row>
    <row r="263" spans="1:12" x14ac:dyDescent="0.35">
      <c r="A263" s="9">
        <v>262</v>
      </c>
      <c r="B263" s="19">
        <v>45854.132928240739</v>
      </c>
      <c r="C263" s="20">
        <v>45854</v>
      </c>
      <c r="D263" s="8" t="s">
        <v>2527</v>
      </c>
      <c r="E263" s="3">
        <v>0</v>
      </c>
      <c r="F263" s="13">
        <v>12.61</v>
      </c>
      <c r="G263" s="3">
        <v>61571.48</v>
      </c>
      <c r="H263" s="8" t="s">
        <v>51</v>
      </c>
      <c r="I263" s="8" t="s">
        <v>71</v>
      </c>
      <c r="J263" s="8" t="s">
        <v>32</v>
      </c>
      <c r="K263" s="8" t="s">
        <v>19</v>
      </c>
      <c r="L263" s="8" t="s">
        <v>2608</v>
      </c>
    </row>
    <row r="264" spans="1:12" x14ac:dyDescent="0.35">
      <c r="A264" s="11">
        <v>263</v>
      </c>
      <c r="B264" s="17">
        <v>45854.21230324074</v>
      </c>
      <c r="C264" s="18">
        <v>45854</v>
      </c>
      <c r="D264" s="10" t="s">
        <v>394</v>
      </c>
      <c r="E264" s="14">
        <v>500</v>
      </c>
      <c r="F264" s="5">
        <v>0</v>
      </c>
      <c r="G264" s="5">
        <v>61071.48</v>
      </c>
      <c r="H264" s="10" t="s">
        <v>51</v>
      </c>
      <c r="I264" s="10" t="s">
        <v>52</v>
      </c>
      <c r="J264" s="10" t="s">
        <v>32</v>
      </c>
      <c r="K264" s="10" t="s">
        <v>19</v>
      </c>
      <c r="L264" s="10" t="s">
        <v>949</v>
      </c>
    </row>
    <row r="265" spans="1:12" x14ac:dyDescent="0.35">
      <c r="A265" s="9">
        <v>264</v>
      </c>
      <c r="B265" s="19">
        <v>45854.360879629632</v>
      </c>
      <c r="C265" s="20">
        <v>45854</v>
      </c>
      <c r="D265" s="8" t="s">
        <v>394</v>
      </c>
      <c r="E265" s="12">
        <v>2750</v>
      </c>
      <c r="F265" s="3">
        <v>0</v>
      </c>
      <c r="G265" s="3">
        <v>58321.48</v>
      </c>
      <c r="H265" s="8" t="s">
        <v>51</v>
      </c>
      <c r="I265" s="8" t="s">
        <v>52</v>
      </c>
      <c r="J265" s="8" t="s">
        <v>32</v>
      </c>
      <c r="K265" s="8" t="s">
        <v>19</v>
      </c>
      <c r="L265" s="8" t="s">
        <v>953</v>
      </c>
    </row>
    <row r="266" spans="1:12" x14ac:dyDescent="0.35">
      <c r="A266" s="11">
        <v>265</v>
      </c>
      <c r="B266" s="17">
        <v>45854.728078703702</v>
      </c>
      <c r="C266" s="18">
        <v>45854</v>
      </c>
      <c r="D266" s="10" t="s">
        <v>394</v>
      </c>
      <c r="E266" s="14">
        <v>2560</v>
      </c>
      <c r="F266" s="5">
        <v>0</v>
      </c>
      <c r="G266" s="5">
        <v>55761.48</v>
      </c>
      <c r="H266" s="10" t="s">
        <v>51</v>
      </c>
      <c r="I266" s="10" t="s">
        <v>52</v>
      </c>
      <c r="J266" s="10" t="s">
        <v>32</v>
      </c>
      <c r="K266" s="10" t="s">
        <v>19</v>
      </c>
      <c r="L266" s="10" t="s">
        <v>956</v>
      </c>
    </row>
    <row r="267" spans="1:12" x14ac:dyDescent="0.35">
      <c r="A267" s="9">
        <v>266</v>
      </c>
      <c r="B267" s="19">
        <v>45855.153090277781</v>
      </c>
      <c r="C267" s="20">
        <v>45855</v>
      </c>
      <c r="D267" s="8" t="s">
        <v>2527</v>
      </c>
      <c r="E267" s="3">
        <v>0</v>
      </c>
      <c r="F267" s="13">
        <v>19.21</v>
      </c>
      <c r="G267" s="3">
        <v>55780.69</v>
      </c>
      <c r="H267" s="8" t="s">
        <v>51</v>
      </c>
      <c r="I267" s="8" t="s">
        <v>71</v>
      </c>
      <c r="J267" s="8" t="s">
        <v>32</v>
      </c>
      <c r="K267" s="8" t="s">
        <v>19</v>
      </c>
      <c r="L267" s="8" t="s">
        <v>2609</v>
      </c>
    </row>
    <row r="268" spans="1:12" x14ac:dyDescent="0.35">
      <c r="A268" s="11">
        <v>267</v>
      </c>
      <c r="B268" s="17">
        <v>45855.212129629632</v>
      </c>
      <c r="C268" s="18">
        <v>45855</v>
      </c>
      <c r="D268" s="10" t="s">
        <v>394</v>
      </c>
      <c r="E268" s="14">
        <v>500</v>
      </c>
      <c r="F268" s="5">
        <v>0</v>
      </c>
      <c r="G268" s="5">
        <v>55280.69</v>
      </c>
      <c r="H268" s="10" t="s">
        <v>51</v>
      </c>
      <c r="I268" s="10" t="s">
        <v>52</v>
      </c>
      <c r="J268" s="10" t="s">
        <v>32</v>
      </c>
      <c r="K268" s="10" t="s">
        <v>19</v>
      </c>
      <c r="L268" s="10" t="s">
        <v>957</v>
      </c>
    </row>
    <row r="269" spans="1:12" x14ac:dyDescent="0.35">
      <c r="A269" s="9">
        <v>268</v>
      </c>
      <c r="B269" s="19">
        <v>45855.734375</v>
      </c>
      <c r="C269" s="20">
        <v>45855</v>
      </c>
      <c r="D269" s="8" t="s">
        <v>394</v>
      </c>
      <c r="E269" s="12">
        <v>2100</v>
      </c>
      <c r="F269" s="3">
        <v>0</v>
      </c>
      <c r="G269" s="3">
        <v>53180.69</v>
      </c>
      <c r="H269" s="8" t="s">
        <v>51</v>
      </c>
      <c r="I269" s="8" t="s">
        <v>52</v>
      </c>
      <c r="J269" s="8" t="s">
        <v>32</v>
      </c>
      <c r="K269" s="8" t="s">
        <v>19</v>
      </c>
      <c r="L269" s="8" t="s">
        <v>961</v>
      </c>
    </row>
    <row r="270" spans="1:12" x14ac:dyDescent="0.35">
      <c r="A270" s="11">
        <v>269</v>
      </c>
      <c r="B270" s="17">
        <v>45856.125543981478</v>
      </c>
      <c r="C270" s="18">
        <v>45856</v>
      </c>
      <c r="D270" s="10" t="s">
        <v>2527</v>
      </c>
      <c r="E270" s="5">
        <v>0</v>
      </c>
      <c r="F270" s="15">
        <v>18.32</v>
      </c>
      <c r="G270" s="5">
        <v>53199.01</v>
      </c>
      <c r="H270" s="10" t="s">
        <v>51</v>
      </c>
      <c r="I270" s="10" t="s">
        <v>71</v>
      </c>
      <c r="J270" s="10" t="s">
        <v>32</v>
      </c>
      <c r="K270" s="10" t="s">
        <v>19</v>
      </c>
      <c r="L270" s="10" t="s">
        <v>2610</v>
      </c>
    </row>
    <row r="271" spans="1:12" x14ac:dyDescent="0.35">
      <c r="A271" s="9">
        <v>270</v>
      </c>
      <c r="B271" s="19">
        <v>45856.218275462961</v>
      </c>
      <c r="C271" s="20">
        <v>45856</v>
      </c>
      <c r="D271" s="8" t="s">
        <v>394</v>
      </c>
      <c r="E271" s="12">
        <v>500</v>
      </c>
      <c r="F271" s="3">
        <v>0</v>
      </c>
      <c r="G271" s="3">
        <v>52699.01</v>
      </c>
      <c r="H271" s="8" t="s">
        <v>51</v>
      </c>
      <c r="I271" s="8" t="s">
        <v>52</v>
      </c>
      <c r="J271" s="8" t="s">
        <v>32</v>
      </c>
      <c r="K271" s="8" t="s">
        <v>19</v>
      </c>
      <c r="L271" s="8" t="s">
        <v>962</v>
      </c>
    </row>
    <row r="272" spans="1:12" x14ac:dyDescent="0.35">
      <c r="A272" s="11">
        <v>271</v>
      </c>
      <c r="B272" s="17">
        <v>45857.124814814822</v>
      </c>
      <c r="C272" s="18">
        <v>45857</v>
      </c>
      <c r="D272" s="10" t="s">
        <v>2527</v>
      </c>
      <c r="E272" s="5">
        <v>0</v>
      </c>
      <c r="F272" s="15">
        <v>18.16</v>
      </c>
      <c r="G272" s="5">
        <v>52717.17</v>
      </c>
      <c r="H272" s="10" t="s">
        <v>51</v>
      </c>
      <c r="I272" s="10" t="s">
        <v>71</v>
      </c>
      <c r="J272" s="10" t="s">
        <v>32</v>
      </c>
      <c r="K272" s="10" t="s">
        <v>19</v>
      </c>
      <c r="L272" s="10" t="s">
        <v>2611</v>
      </c>
    </row>
    <row r="273" spans="1:12" x14ac:dyDescent="0.35">
      <c r="A273" s="9">
        <v>272</v>
      </c>
      <c r="B273" s="19">
        <v>45857.212141203701</v>
      </c>
      <c r="C273" s="20">
        <v>45857</v>
      </c>
      <c r="D273" s="8" t="s">
        <v>394</v>
      </c>
      <c r="E273" s="12">
        <v>500</v>
      </c>
      <c r="F273" s="3">
        <v>0</v>
      </c>
      <c r="G273" s="3">
        <v>52217.17</v>
      </c>
      <c r="H273" s="8" t="s">
        <v>51</v>
      </c>
      <c r="I273" s="8" t="s">
        <v>52</v>
      </c>
      <c r="J273" s="8" t="s">
        <v>32</v>
      </c>
      <c r="K273" s="8" t="s">
        <v>19</v>
      </c>
      <c r="L273" s="8" t="s">
        <v>964</v>
      </c>
    </row>
    <row r="274" spans="1:12" x14ac:dyDescent="0.35">
      <c r="A274" s="11">
        <v>273</v>
      </c>
      <c r="B274" s="17">
        <v>45857.547465277778</v>
      </c>
      <c r="C274" s="18">
        <v>45857</v>
      </c>
      <c r="D274" s="10" t="s">
        <v>394</v>
      </c>
      <c r="E274" s="14">
        <v>12300</v>
      </c>
      <c r="F274" s="5">
        <v>0</v>
      </c>
      <c r="G274" s="5">
        <v>39917.17</v>
      </c>
      <c r="H274" s="10" t="s">
        <v>51</v>
      </c>
      <c r="I274" s="10" t="s">
        <v>52</v>
      </c>
      <c r="J274" s="10" t="s">
        <v>32</v>
      </c>
      <c r="K274" s="10" t="s">
        <v>19</v>
      </c>
      <c r="L274" s="10" t="s">
        <v>968</v>
      </c>
    </row>
    <row r="275" spans="1:12" x14ac:dyDescent="0.35">
      <c r="A275" s="9">
        <v>274</v>
      </c>
      <c r="B275" s="19">
        <v>45857.563715277778</v>
      </c>
      <c r="C275" s="20">
        <v>45857</v>
      </c>
      <c r="D275" s="8" t="s">
        <v>394</v>
      </c>
      <c r="E275" s="12">
        <v>5600</v>
      </c>
      <c r="F275" s="3">
        <v>0</v>
      </c>
      <c r="G275" s="3">
        <v>34317.17</v>
      </c>
      <c r="H275" s="8" t="s">
        <v>51</v>
      </c>
      <c r="I275" s="8" t="s">
        <v>52</v>
      </c>
      <c r="J275" s="8" t="s">
        <v>32</v>
      </c>
      <c r="K275" s="8" t="s">
        <v>19</v>
      </c>
      <c r="L275" s="8" t="s">
        <v>970</v>
      </c>
    </row>
    <row r="276" spans="1:12" x14ac:dyDescent="0.35">
      <c r="A276" s="11">
        <v>275</v>
      </c>
      <c r="B276" s="17">
        <v>45858.115486111114</v>
      </c>
      <c r="C276" s="18">
        <v>45858</v>
      </c>
      <c r="D276" s="10" t="s">
        <v>2527</v>
      </c>
      <c r="E276" s="5">
        <v>0</v>
      </c>
      <c r="F276" s="15">
        <v>11.82</v>
      </c>
      <c r="G276" s="5">
        <v>34328.99</v>
      </c>
      <c r="H276" s="10" t="s">
        <v>51</v>
      </c>
      <c r="I276" s="10" t="s">
        <v>71</v>
      </c>
      <c r="J276" s="10" t="s">
        <v>32</v>
      </c>
      <c r="K276" s="10" t="s">
        <v>19</v>
      </c>
      <c r="L276" s="10" t="s">
        <v>2612</v>
      </c>
    </row>
    <row r="277" spans="1:12" x14ac:dyDescent="0.35">
      <c r="A277" s="9">
        <v>276</v>
      </c>
      <c r="B277" s="19">
        <v>45858.212141203701</v>
      </c>
      <c r="C277" s="20">
        <v>45858</v>
      </c>
      <c r="D277" s="8" t="s">
        <v>394</v>
      </c>
      <c r="E277" s="12">
        <v>500</v>
      </c>
      <c r="F277" s="3">
        <v>0</v>
      </c>
      <c r="G277" s="3">
        <v>33828.99</v>
      </c>
      <c r="H277" s="8" t="s">
        <v>51</v>
      </c>
      <c r="I277" s="8" t="s">
        <v>52</v>
      </c>
      <c r="J277" s="8" t="s">
        <v>32</v>
      </c>
      <c r="K277" s="8" t="s">
        <v>19</v>
      </c>
      <c r="L277" s="8" t="s">
        <v>971</v>
      </c>
    </row>
    <row r="278" spans="1:12" x14ac:dyDescent="0.35">
      <c r="A278" s="11">
        <v>277</v>
      </c>
      <c r="B278" s="17">
        <v>45859.125405092593</v>
      </c>
      <c r="C278" s="18">
        <v>45859</v>
      </c>
      <c r="D278" s="10" t="s">
        <v>2527</v>
      </c>
      <c r="E278" s="5">
        <v>0</v>
      </c>
      <c r="F278" s="15">
        <v>11.65</v>
      </c>
      <c r="G278" s="5">
        <v>33840.639999999999</v>
      </c>
      <c r="H278" s="10" t="s">
        <v>51</v>
      </c>
      <c r="I278" s="10" t="s">
        <v>71</v>
      </c>
      <c r="J278" s="10" t="s">
        <v>32</v>
      </c>
      <c r="K278" s="10" t="s">
        <v>19</v>
      </c>
      <c r="L278" s="10" t="s">
        <v>2613</v>
      </c>
    </row>
    <row r="279" spans="1:12" x14ac:dyDescent="0.35">
      <c r="A279" s="9">
        <v>278</v>
      </c>
      <c r="B279" s="19">
        <v>45859.218923611108</v>
      </c>
      <c r="C279" s="20">
        <v>45859</v>
      </c>
      <c r="D279" s="8" t="s">
        <v>394</v>
      </c>
      <c r="E279" s="12">
        <v>500</v>
      </c>
      <c r="F279" s="3">
        <v>0</v>
      </c>
      <c r="G279" s="3">
        <v>33340.639999999999</v>
      </c>
      <c r="H279" s="8" t="s">
        <v>51</v>
      </c>
      <c r="I279" s="8" t="s">
        <v>52</v>
      </c>
      <c r="J279" s="8" t="s">
        <v>32</v>
      </c>
      <c r="K279" s="8" t="s">
        <v>19</v>
      </c>
      <c r="L279" s="8" t="s">
        <v>974</v>
      </c>
    </row>
    <row r="280" spans="1:12" x14ac:dyDescent="0.35">
      <c r="A280" s="11">
        <v>279</v>
      </c>
      <c r="B280" s="17">
        <v>45859.543680555558</v>
      </c>
      <c r="C280" s="18">
        <v>45859</v>
      </c>
      <c r="D280" s="10" t="s">
        <v>394</v>
      </c>
      <c r="E280" s="14">
        <v>1800</v>
      </c>
      <c r="F280" s="5">
        <v>0</v>
      </c>
      <c r="G280" s="5">
        <v>31540.639999999999</v>
      </c>
      <c r="H280" s="10" t="s">
        <v>51</v>
      </c>
      <c r="I280" s="10" t="s">
        <v>52</v>
      </c>
      <c r="J280" s="10" t="s">
        <v>32</v>
      </c>
      <c r="K280" s="10" t="s">
        <v>19</v>
      </c>
      <c r="L280" s="10" t="s">
        <v>977</v>
      </c>
    </row>
    <row r="281" spans="1:12" x14ac:dyDescent="0.35">
      <c r="A281" s="9">
        <v>280</v>
      </c>
      <c r="B281" s="19">
        <v>45859.731064814812</v>
      </c>
      <c r="C281" s="20">
        <v>45859</v>
      </c>
      <c r="D281" s="8" t="s">
        <v>394</v>
      </c>
      <c r="E281" s="12">
        <v>2300</v>
      </c>
      <c r="F281" s="3">
        <v>0</v>
      </c>
      <c r="G281" s="3">
        <v>29240.639999999999</v>
      </c>
      <c r="H281" s="8" t="s">
        <v>51</v>
      </c>
      <c r="I281" s="8" t="s">
        <v>52</v>
      </c>
      <c r="J281" s="8" t="s">
        <v>32</v>
      </c>
      <c r="K281" s="8" t="s">
        <v>19</v>
      </c>
      <c r="L281" s="8" t="s">
        <v>980</v>
      </c>
    </row>
    <row r="282" spans="1:12" x14ac:dyDescent="0.35">
      <c r="A282" s="11">
        <v>281</v>
      </c>
      <c r="B282" s="17">
        <v>45859.74895833333</v>
      </c>
      <c r="C282" s="18">
        <v>45859</v>
      </c>
      <c r="D282" s="10" t="s">
        <v>394</v>
      </c>
      <c r="E282" s="14">
        <v>1000</v>
      </c>
      <c r="F282" s="5">
        <v>0</v>
      </c>
      <c r="G282" s="5">
        <v>28240.639999999999</v>
      </c>
      <c r="H282" s="10" t="s">
        <v>51</v>
      </c>
      <c r="I282" s="10" t="s">
        <v>52</v>
      </c>
      <c r="J282" s="10" t="s">
        <v>32</v>
      </c>
      <c r="K282" s="10" t="s">
        <v>19</v>
      </c>
      <c r="L282" s="10" t="s">
        <v>982</v>
      </c>
    </row>
    <row r="283" spans="1:12" x14ac:dyDescent="0.35">
      <c r="A283" s="9">
        <v>282</v>
      </c>
      <c r="B283" s="19">
        <v>45859.753634259258</v>
      </c>
      <c r="C283" s="20">
        <v>45859</v>
      </c>
      <c r="D283" s="8" t="s">
        <v>394</v>
      </c>
      <c r="E283" s="12">
        <v>2500</v>
      </c>
      <c r="F283" s="3">
        <v>0</v>
      </c>
      <c r="G283" s="3">
        <v>25740.639999999999</v>
      </c>
      <c r="H283" s="8" t="s">
        <v>51</v>
      </c>
      <c r="I283" s="8" t="s">
        <v>52</v>
      </c>
      <c r="J283" s="8" t="s">
        <v>32</v>
      </c>
      <c r="K283" s="8" t="s">
        <v>19</v>
      </c>
      <c r="L283" s="8" t="s">
        <v>985</v>
      </c>
    </row>
    <row r="284" spans="1:12" x14ac:dyDescent="0.35">
      <c r="A284" s="11">
        <v>283</v>
      </c>
      <c r="B284" s="17">
        <v>45859.754780092589</v>
      </c>
      <c r="C284" s="18">
        <v>45859</v>
      </c>
      <c r="D284" s="10" t="s">
        <v>394</v>
      </c>
      <c r="E284" s="14">
        <v>2100</v>
      </c>
      <c r="F284" s="5">
        <v>0</v>
      </c>
      <c r="G284" s="5">
        <v>23640.639999999999</v>
      </c>
      <c r="H284" s="10" t="s">
        <v>51</v>
      </c>
      <c r="I284" s="10" t="s">
        <v>52</v>
      </c>
      <c r="J284" s="10" t="s">
        <v>32</v>
      </c>
      <c r="K284" s="10" t="s">
        <v>19</v>
      </c>
      <c r="L284" s="10" t="s">
        <v>988</v>
      </c>
    </row>
    <row r="285" spans="1:12" x14ac:dyDescent="0.35">
      <c r="A285" s="9">
        <v>284</v>
      </c>
      <c r="B285" s="19">
        <v>45860.119745370372</v>
      </c>
      <c r="C285" s="20">
        <v>45860</v>
      </c>
      <c r="D285" s="8" t="s">
        <v>2527</v>
      </c>
      <c r="E285" s="3">
        <v>0</v>
      </c>
      <c r="F285" s="13">
        <v>8.14</v>
      </c>
      <c r="G285" s="3">
        <v>23648.78</v>
      </c>
      <c r="H285" s="8" t="s">
        <v>51</v>
      </c>
      <c r="I285" s="8" t="s">
        <v>71</v>
      </c>
      <c r="J285" s="8" t="s">
        <v>32</v>
      </c>
      <c r="K285" s="8" t="s">
        <v>19</v>
      </c>
      <c r="L285" s="8" t="s">
        <v>2614</v>
      </c>
    </row>
    <row r="286" spans="1:12" x14ac:dyDescent="0.35">
      <c r="A286" s="11">
        <v>285</v>
      </c>
      <c r="B286" s="17">
        <v>45860.211909722217</v>
      </c>
      <c r="C286" s="18">
        <v>45860</v>
      </c>
      <c r="D286" s="10" t="s">
        <v>394</v>
      </c>
      <c r="E286" s="14">
        <v>500</v>
      </c>
      <c r="F286" s="5">
        <v>0</v>
      </c>
      <c r="G286" s="5">
        <v>23148.78</v>
      </c>
      <c r="H286" s="10" t="s">
        <v>51</v>
      </c>
      <c r="I286" s="10" t="s">
        <v>52</v>
      </c>
      <c r="J286" s="10" t="s">
        <v>32</v>
      </c>
      <c r="K286" s="10" t="s">
        <v>19</v>
      </c>
      <c r="L286" s="10" t="s">
        <v>990</v>
      </c>
    </row>
    <row r="287" spans="1:12" x14ac:dyDescent="0.35">
      <c r="A287" s="9">
        <v>286</v>
      </c>
      <c r="B287" s="19">
        <v>45860.526574074072</v>
      </c>
      <c r="C287" s="20">
        <v>45860</v>
      </c>
      <c r="D287" s="8" t="s">
        <v>394</v>
      </c>
      <c r="E287" s="12">
        <v>1100</v>
      </c>
      <c r="F287" s="3">
        <v>0</v>
      </c>
      <c r="G287" s="3">
        <v>22048.78</v>
      </c>
      <c r="H287" s="8" t="s">
        <v>51</v>
      </c>
      <c r="I287" s="8" t="s">
        <v>52</v>
      </c>
      <c r="J287" s="8" t="s">
        <v>32</v>
      </c>
      <c r="K287" s="8" t="s">
        <v>19</v>
      </c>
      <c r="L287" s="8" t="s">
        <v>993</v>
      </c>
    </row>
    <row r="288" spans="1:12" x14ac:dyDescent="0.35">
      <c r="A288" s="11">
        <v>287</v>
      </c>
      <c r="B288" s="17">
        <v>45860.730555555558</v>
      </c>
      <c r="C288" s="18">
        <v>45860</v>
      </c>
      <c r="D288" s="10" t="s">
        <v>394</v>
      </c>
      <c r="E288" s="14">
        <v>2100</v>
      </c>
      <c r="F288" s="5">
        <v>0</v>
      </c>
      <c r="G288" s="5">
        <v>19948.78</v>
      </c>
      <c r="H288" s="10" t="s">
        <v>51</v>
      </c>
      <c r="I288" s="10" t="s">
        <v>52</v>
      </c>
      <c r="J288" s="10" t="s">
        <v>32</v>
      </c>
      <c r="K288" s="10" t="s">
        <v>19</v>
      </c>
      <c r="L288" s="10" t="s">
        <v>996</v>
      </c>
    </row>
    <row r="289" spans="1:12" x14ac:dyDescent="0.35">
      <c r="A289" s="9">
        <v>288</v>
      </c>
      <c r="B289" s="19">
        <v>45861.130601851852</v>
      </c>
      <c r="C289" s="20">
        <v>45861</v>
      </c>
      <c r="D289" s="8" t="s">
        <v>2527</v>
      </c>
      <c r="E289" s="3">
        <v>0</v>
      </c>
      <c r="F289" s="13">
        <v>6.86</v>
      </c>
      <c r="G289" s="3">
        <v>19955.64</v>
      </c>
      <c r="H289" s="8" t="s">
        <v>51</v>
      </c>
      <c r="I289" s="8" t="s">
        <v>71</v>
      </c>
      <c r="J289" s="8" t="s">
        <v>32</v>
      </c>
      <c r="K289" s="8" t="s">
        <v>19</v>
      </c>
      <c r="L289" s="8" t="s">
        <v>2615</v>
      </c>
    </row>
    <row r="290" spans="1:12" x14ac:dyDescent="0.35">
      <c r="A290" s="11">
        <v>289</v>
      </c>
      <c r="B290" s="17">
        <v>45861.211793981478</v>
      </c>
      <c r="C290" s="18">
        <v>45861</v>
      </c>
      <c r="D290" s="10" t="s">
        <v>394</v>
      </c>
      <c r="E290" s="14">
        <v>500</v>
      </c>
      <c r="F290" s="5">
        <v>0</v>
      </c>
      <c r="G290" s="5">
        <v>19455.64</v>
      </c>
      <c r="H290" s="10" t="s">
        <v>51</v>
      </c>
      <c r="I290" s="10" t="s">
        <v>52</v>
      </c>
      <c r="J290" s="10" t="s">
        <v>32</v>
      </c>
      <c r="K290" s="10" t="s">
        <v>19</v>
      </c>
      <c r="L290" s="10" t="s">
        <v>997</v>
      </c>
    </row>
    <row r="291" spans="1:12" x14ac:dyDescent="0.35">
      <c r="A291" s="9">
        <v>290</v>
      </c>
      <c r="B291" s="19">
        <v>45861.37296296296</v>
      </c>
      <c r="C291" s="20">
        <v>45861</v>
      </c>
      <c r="D291" s="8" t="s">
        <v>394</v>
      </c>
      <c r="E291" s="12">
        <v>1000</v>
      </c>
      <c r="F291" s="3">
        <v>0</v>
      </c>
      <c r="G291" s="3">
        <v>18455.64</v>
      </c>
      <c r="H291" s="8" t="s">
        <v>51</v>
      </c>
      <c r="I291" s="8" t="s">
        <v>52</v>
      </c>
      <c r="J291" s="8" t="s">
        <v>32</v>
      </c>
      <c r="K291" s="8" t="s">
        <v>19</v>
      </c>
      <c r="L291" s="8" t="s">
        <v>1001</v>
      </c>
    </row>
    <row r="292" spans="1:12" x14ac:dyDescent="0.35">
      <c r="A292" s="11">
        <v>291</v>
      </c>
      <c r="B292" s="17">
        <v>45862.115659722222</v>
      </c>
      <c r="C292" s="18">
        <v>45862</v>
      </c>
      <c r="D292" s="10" t="s">
        <v>2527</v>
      </c>
      <c r="E292" s="5">
        <v>0</v>
      </c>
      <c r="F292" s="15">
        <v>6.35</v>
      </c>
      <c r="G292" s="5">
        <v>18461.990000000002</v>
      </c>
      <c r="H292" s="10" t="s">
        <v>51</v>
      </c>
      <c r="I292" s="10" t="s">
        <v>71</v>
      </c>
      <c r="J292" s="10" t="s">
        <v>32</v>
      </c>
      <c r="K292" s="10" t="s">
        <v>19</v>
      </c>
      <c r="L292" s="10" t="s">
        <v>2616</v>
      </c>
    </row>
    <row r="293" spans="1:12" x14ac:dyDescent="0.35">
      <c r="A293" s="9">
        <v>292</v>
      </c>
      <c r="B293" s="19">
        <v>45862.211712962962</v>
      </c>
      <c r="C293" s="20">
        <v>45862</v>
      </c>
      <c r="D293" s="8" t="s">
        <v>394</v>
      </c>
      <c r="E293" s="12">
        <v>500</v>
      </c>
      <c r="F293" s="3">
        <v>0</v>
      </c>
      <c r="G293" s="3">
        <v>17961.990000000002</v>
      </c>
      <c r="H293" s="8" t="s">
        <v>51</v>
      </c>
      <c r="I293" s="8" t="s">
        <v>52</v>
      </c>
      <c r="J293" s="8" t="s">
        <v>32</v>
      </c>
      <c r="K293" s="8" t="s">
        <v>19</v>
      </c>
      <c r="L293" s="8" t="s">
        <v>1002</v>
      </c>
    </row>
    <row r="294" spans="1:12" x14ac:dyDescent="0.35">
      <c r="A294" s="11">
        <v>293</v>
      </c>
      <c r="B294" s="17">
        <v>45862.372118055559</v>
      </c>
      <c r="C294" s="18">
        <v>45862</v>
      </c>
      <c r="D294" s="10" t="s">
        <v>394</v>
      </c>
      <c r="E294" s="14">
        <v>17250</v>
      </c>
      <c r="F294" s="5">
        <v>0</v>
      </c>
      <c r="G294" s="5">
        <v>711.99</v>
      </c>
      <c r="H294" s="10" t="s">
        <v>51</v>
      </c>
      <c r="I294" s="10" t="s">
        <v>52</v>
      </c>
      <c r="J294" s="10" t="s">
        <v>32</v>
      </c>
      <c r="K294" s="10" t="s">
        <v>19</v>
      </c>
      <c r="L294" s="10" t="s">
        <v>1008</v>
      </c>
    </row>
    <row r="295" spans="1:12" x14ac:dyDescent="0.35">
      <c r="A295" s="9">
        <v>294</v>
      </c>
      <c r="B295" s="19">
        <v>45862.926076388889</v>
      </c>
      <c r="C295" s="20">
        <v>45862</v>
      </c>
      <c r="D295" s="8" t="s">
        <v>426</v>
      </c>
      <c r="E295" s="3">
        <v>0</v>
      </c>
      <c r="F295" s="13">
        <v>19050</v>
      </c>
      <c r="G295" s="3">
        <v>19761.990000000002</v>
      </c>
      <c r="H295" s="8" t="s">
        <v>51</v>
      </c>
      <c r="I295" s="8" t="s">
        <v>71</v>
      </c>
      <c r="J295" s="8" t="s">
        <v>32</v>
      </c>
      <c r="K295" s="8" t="s">
        <v>19</v>
      </c>
      <c r="L295" s="8" t="s">
        <v>1019</v>
      </c>
    </row>
    <row r="296" spans="1:12" x14ac:dyDescent="0.35">
      <c r="A296" s="11">
        <v>295</v>
      </c>
      <c r="B296" s="17">
        <v>45863.124745370369</v>
      </c>
      <c r="C296" s="18">
        <v>45863</v>
      </c>
      <c r="D296" s="10" t="s">
        <v>2527</v>
      </c>
      <c r="E296" s="5">
        <v>0</v>
      </c>
      <c r="F296" s="15">
        <v>0.24</v>
      </c>
      <c r="G296" s="5">
        <v>19762.23</v>
      </c>
      <c r="H296" s="10" t="s">
        <v>51</v>
      </c>
      <c r="I296" s="10" t="s">
        <v>71</v>
      </c>
      <c r="J296" s="10" t="s">
        <v>32</v>
      </c>
      <c r="K296" s="10" t="s">
        <v>19</v>
      </c>
      <c r="L296" s="10" t="s">
        <v>2617</v>
      </c>
    </row>
    <row r="297" spans="1:12" x14ac:dyDescent="0.35">
      <c r="A297" s="9">
        <v>296</v>
      </c>
      <c r="B297" s="19">
        <v>45863.211597222216</v>
      </c>
      <c r="C297" s="20">
        <v>45863</v>
      </c>
      <c r="D297" s="8" t="s">
        <v>394</v>
      </c>
      <c r="E297" s="12">
        <v>500</v>
      </c>
      <c r="F297" s="3">
        <v>0</v>
      </c>
      <c r="G297" s="3">
        <v>19262.23</v>
      </c>
      <c r="H297" s="8" t="s">
        <v>51</v>
      </c>
      <c r="I297" s="8" t="s">
        <v>52</v>
      </c>
      <c r="J297" s="8" t="s">
        <v>32</v>
      </c>
      <c r="K297" s="8" t="s">
        <v>19</v>
      </c>
      <c r="L297" s="8" t="s">
        <v>1020</v>
      </c>
    </row>
    <row r="298" spans="1:12" x14ac:dyDescent="0.35">
      <c r="A298" s="11">
        <v>297</v>
      </c>
      <c r="B298" s="17">
        <v>45863.355416666673</v>
      </c>
      <c r="C298" s="18">
        <v>45863</v>
      </c>
      <c r="D298" s="10" t="s">
        <v>394</v>
      </c>
      <c r="E298" s="14">
        <v>1000</v>
      </c>
      <c r="F298" s="5">
        <v>0</v>
      </c>
      <c r="G298" s="5">
        <v>18262.23</v>
      </c>
      <c r="H298" s="10" t="s">
        <v>51</v>
      </c>
      <c r="I298" s="10" t="s">
        <v>52</v>
      </c>
      <c r="J298" s="10" t="s">
        <v>32</v>
      </c>
      <c r="K298" s="10" t="s">
        <v>19</v>
      </c>
      <c r="L298" s="10" t="s">
        <v>1024</v>
      </c>
    </row>
    <row r="299" spans="1:12" x14ac:dyDescent="0.35">
      <c r="A299" s="9">
        <v>298</v>
      </c>
      <c r="B299" s="19">
        <v>45863.739398148151</v>
      </c>
      <c r="C299" s="20">
        <v>45863</v>
      </c>
      <c r="D299" s="8" t="s">
        <v>394</v>
      </c>
      <c r="E299" s="12">
        <v>472.5</v>
      </c>
      <c r="F299" s="3">
        <v>0</v>
      </c>
      <c r="G299" s="3">
        <v>17789.73</v>
      </c>
      <c r="H299" s="8" t="s">
        <v>51</v>
      </c>
      <c r="I299" s="8" t="s">
        <v>52</v>
      </c>
      <c r="J299" s="8" t="s">
        <v>32</v>
      </c>
      <c r="K299" s="8" t="s">
        <v>19</v>
      </c>
      <c r="L299" s="8" t="s">
        <v>1026</v>
      </c>
    </row>
    <row r="300" spans="1:12" x14ac:dyDescent="0.35">
      <c r="A300" s="11">
        <v>299</v>
      </c>
      <c r="B300" s="17">
        <v>45863.764513888891</v>
      </c>
      <c r="C300" s="18">
        <v>45863</v>
      </c>
      <c r="D300" s="10" t="s">
        <v>394</v>
      </c>
      <c r="E300" s="14">
        <v>2100</v>
      </c>
      <c r="F300" s="5">
        <v>0</v>
      </c>
      <c r="G300" s="5">
        <v>15689.73</v>
      </c>
      <c r="H300" s="10" t="s">
        <v>51</v>
      </c>
      <c r="I300" s="10" t="s">
        <v>52</v>
      </c>
      <c r="J300" s="10" t="s">
        <v>32</v>
      </c>
      <c r="K300" s="10" t="s">
        <v>19</v>
      </c>
      <c r="L300" s="10" t="s">
        <v>1029</v>
      </c>
    </row>
    <row r="301" spans="1:12" x14ac:dyDescent="0.35">
      <c r="A301" s="9">
        <v>300</v>
      </c>
      <c r="B301" s="19">
        <v>45864.116793981477</v>
      </c>
      <c r="C301" s="20">
        <v>45864</v>
      </c>
      <c r="D301" s="8" t="s">
        <v>2527</v>
      </c>
      <c r="E301" s="3">
        <v>0</v>
      </c>
      <c r="F301" s="13">
        <v>5.4</v>
      </c>
      <c r="G301" s="3">
        <v>15695.13</v>
      </c>
      <c r="H301" s="8" t="s">
        <v>51</v>
      </c>
      <c r="I301" s="8" t="s">
        <v>71</v>
      </c>
      <c r="J301" s="8" t="s">
        <v>32</v>
      </c>
      <c r="K301" s="8" t="s">
        <v>19</v>
      </c>
      <c r="L301" s="8" t="s">
        <v>2618</v>
      </c>
    </row>
    <row r="302" spans="1:12" x14ac:dyDescent="0.35">
      <c r="A302" s="11">
        <v>301</v>
      </c>
      <c r="B302" s="17">
        <v>45864.211388888893</v>
      </c>
      <c r="C302" s="18">
        <v>45864</v>
      </c>
      <c r="D302" s="10" t="s">
        <v>394</v>
      </c>
      <c r="E302" s="14">
        <v>500</v>
      </c>
      <c r="F302" s="5">
        <v>0</v>
      </c>
      <c r="G302" s="5">
        <v>15195.13</v>
      </c>
      <c r="H302" s="10" t="s">
        <v>51</v>
      </c>
      <c r="I302" s="10" t="s">
        <v>52</v>
      </c>
      <c r="J302" s="10" t="s">
        <v>32</v>
      </c>
      <c r="K302" s="10" t="s">
        <v>19</v>
      </c>
      <c r="L302" s="10" t="s">
        <v>1030</v>
      </c>
    </row>
    <row r="303" spans="1:12" x14ac:dyDescent="0.35">
      <c r="A303" s="9">
        <v>302</v>
      </c>
      <c r="B303" s="19">
        <v>45864.571388888893</v>
      </c>
      <c r="C303" s="20">
        <v>45864</v>
      </c>
      <c r="D303" s="8" t="s">
        <v>394</v>
      </c>
      <c r="E303" s="12">
        <v>3000</v>
      </c>
      <c r="F303" s="3">
        <v>0</v>
      </c>
      <c r="G303" s="3">
        <v>12195.13</v>
      </c>
      <c r="H303" s="8" t="s">
        <v>51</v>
      </c>
      <c r="I303" s="8" t="s">
        <v>52</v>
      </c>
      <c r="J303" s="8" t="s">
        <v>32</v>
      </c>
      <c r="K303" s="8" t="s">
        <v>19</v>
      </c>
      <c r="L303" s="8" t="s">
        <v>1034</v>
      </c>
    </row>
    <row r="304" spans="1:12" x14ac:dyDescent="0.35">
      <c r="A304" s="11">
        <v>303</v>
      </c>
      <c r="B304" s="17">
        <v>45864.58792824074</v>
      </c>
      <c r="C304" s="18">
        <v>45864</v>
      </c>
      <c r="D304" s="10" t="s">
        <v>394</v>
      </c>
      <c r="E304" s="14">
        <v>3000</v>
      </c>
      <c r="F304" s="5">
        <v>0</v>
      </c>
      <c r="G304" s="5">
        <v>9195.1299999999992</v>
      </c>
      <c r="H304" s="10" t="s">
        <v>51</v>
      </c>
      <c r="I304" s="10" t="s">
        <v>52</v>
      </c>
      <c r="J304" s="10" t="s">
        <v>32</v>
      </c>
      <c r="K304" s="10" t="s">
        <v>19</v>
      </c>
      <c r="L304" s="10" t="s">
        <v>1037</v>
      </c>
    </row>
    <row r="305" spans="1:12" x14ac:dyDescent="0.35">
      <c r="A305" s="9">
        <v>304</v>
      </c>
      <c r="B305" s="19">
        <v>45864.66814814815</v>
      </c>
      <c r="C305" s="20">
        <v>45864</v>
      </c>
      <c r="D305" s="8" t="s">
        <v>394</v>
      </c>
      <c r="E305" s="12">
        <v>7680</v>
      </c>
      <c r="F305" s="3">
        <v>0</v>
      </c>
      <c r="G305" s="3">
        <v>1515.13</v>
      </c>
      <c r="H305" s="8" t="s">
        <v>51</v>
      </c>
      <c r="I305" s="8" t="s">
        <v>52</v>
      </c>
      <c r="J305" s="8" t="s">
        <v>32</v>
      </c>
      <c r="K305" s="8" t="s">
        <v>19</v>
      </c>
      <c r="L305" s="8" t="s">
        <v>1040</v>
      </c>
    </row>
    <row r="306" spans="1:12" x14ac:dyDescent="0.35">
      <c r="A306" s="11">
        <v>305</v>
      </c>
      <c r="B306" s="17">
        <v>45865.122013888889</v>
      </c>
      <c r="C306" s="18">
        <v>45865</v>
      </c>
      <c r="D306" s="10" t="s">
        <v>2527</v>
      </c>
      <c r="E306" s="5">
        <v>0</v>
      </c>
      <c r="F306" s="15">
        <v>0.52</v>
      </c>
      <c r="G306" s="5">
        <v>1515.65</v>
      </c>
      <c r="H306" s="10" t="s">
        <v>51</v>
      </c>
      <c r="I306" s="10" t="s">
        <v>71</v>
      </c>
      <c r="J306" s="10" t="s">
        <v>32</v>
      </c>
      <c r="K306" s="10" t="s">
        <v>19</v>
      </c>
      <c r="L306" s="10" t="s">
        <v>2619</v>
      </c>
    </row>
    <row r="307" spans="1:12" x14ac:dyDescent="0.35">
      <c r="A307" s="9">
        <v>306</v>
      </c>
      <c r="B307" s="19">
        <v>45865.211423611108</v>
      </c>
      <c r="C307" s="20">
        <v>45865</v>
      </c>
      <c r="D307" s="8" t="s">
        <v>394</v>
      </c>
      <c r="E307" s="12">
        <v>500</v>
      </c>
      <c r="F307" s="3">
        <v>0</v>
      </c>
      <c r="G307" s="3">
        <v>1015.65</v>
      </c>
      <c r="H307" s="8" t="s">
        <v>51</v>
      </c>
      <c r="I307" s="8" t="s">
        <v>52</v>
      </c>
      <c r="J307" s="8" t="s">
        <v>32</v>
      </c>
      <c r="K307" s="8" t="s">
        <v>19</v>
      </c>
      <c r="L307" s="8" t="s">
        <v>1041</v>
      </c>
    </row>
    <row r="308" spans="1:12" x14ac:dyDescent="0.35">
      <c r="A308" s="11">
        <v>307</v>
      </c>
      <c r="B308" s="17">
        <v>45865.925162037027</v>
      </c>
      <c r="C308" s="18">
        <v>45865</v>
      </c>
      <c r="D308" s="10" t="s">
        <v>426</v>
      </c>
      <c r="E308" s="5">
        <v>0</v>
      </c>
      <c r="F308" s="15">
        <v>4850</v>
      </c>
      <c r="G308" s="5">
        <v>5865.65</v>
      </c>
      <c r="H308" s="10" t="s">
        <v>51</v>
      </c>
      <c r="I308" s="10" t="s">
        <v>71</v>
      </c>
      <c r="J308" s="10" t="s">
        <v>32</v>
      </c>
      <c r="K308" s="10" t="s">
        <v>19</v>
      </c>
      <c r="L308" s="10" t="s">
        <v>1048</v>
      </c>
    </row>
    <row r="309" spans="1:12" x14ac:dyDescent="0.35">
      <c r="A309" s="9">
        <v>308</v>
      </c>
      <c r="B309" s="19">
        <v>45866.120300925933</v>
      </c>
      <c r="C309" s="20">
        <v>45866</v>
      </c>
      <c r="D309" s="8" t="s">
        <v>2527</v>
      </c>
      <c r="E309" s="3">
        <v>0</v>
      </c>
      <c r="F309" s="13">
        <v>0.34</v>
      </c>
      <c r="G309" s="3">
        <v>5865.99</v>
      </c>
      <c r="H309" s="8" t="s">
        <v>51</v>
      </c>
      <c r="I309" s="8" t="s">
        <v>71</v>
      </c>
      <c r="J309" s="8" t="s">
        <v>32</v>
      </c>
      <c r="K309" s="8" t="s">
        <v>19</v>
      </c>
      <c r="L309" s="8" t="s">
        <v>2620</v>
      </c>
    </row>
    <row r="310" spans="1:12" x14ac:dyDescent="0.35">
      <c r="A310" s="11">
        <v>309</v>
      </c>
      <c r="B310" s="17">
        <v>45866.211331018523</v>
      </c>
      <c r="C310" s="18">
        <v>45866</v>
      </c>
      <c r="D310" s="10" t="s">
        <v>394</v>
      </c>
      <c r="E310" s="14">
        <v>500</v>
      </c>
      <c r="F310" s="5">
        <v>0</v>
      </c>
      <c r="G310" s="5">
        <v>5365.99</v>
      </c>
      <c r="H310" s="10" t="s">
        <v>51</v>
      </c>
      <c r="I310" s="10" t="s">
        <v>52</v>
      </c>
      <c r="J310" s="10" t="s">
        <v>32</v>
      </c>
      <c r="K310" s="10" t="s">
        <v>19</v>
      </c>
      <c r="L310" s="10" t="s">
        <v>1049</v>
      </c>
    </row>
    <row r="311" spans="1:12" x14ac:dyDescent="0.35">
      <c r="A311" s="9">
        <v>310</v>
      </c>
      <c r="B311" s="19">
        <v>45866.407847222217</v>
      </c>
      <c r="C311" s="20">
        <v>45866</v>
      </c>
      <c r="D311" s="8" t="s">
        <v>394</v>
      </c>
      <c r="E311" s="12">
        <v>490</v>
      </c>
      <c r="F311" s="3">
        <v>0</v>
      </c>
      <c r="G311" s="3">
        <v>4875.99</v>
      </c>
      <c r="H311" s="8" t="s">
        <v>51</v>
      </c>
      <c r="I311" s="8" t="s">
        <v>52</v>
      </c>
      <c r="J311" s="8" t="s">
        <v>32</v>
      </c>
      <c r="K311" s="8" t="s">
        <v>19</v>
      </c>
      <c r="L311" s="8" t="s">
        <v>1052</v>
      </c>
    </row>
    <row r="312" spans="1:12" x14ac:dyDescent="0.35">
      <c r="A312" s="11">
        <v>311</v>
      </c>
      <c r="B312" s="17">
        <v>45866.558437500003</v>
      </c>
      <c r="C312" s="18">
        <v>45866</v>
      </c>
      <c r="D312" s="10" t="s">
        <v>394</v>
      </c>
      <c r="E312" s="14">
        <v>1500</v>
      </c>
      <c r="F312" s="5">
        <v>0</v>
      </c>
      <c r="G312" s="5">
        <v>3375.99</v>
      </c>
      <c r="H312" s="10" t="s">
        <v>51</v>
      </c>
      <c r="I312" s="10" t="s">
        <v>52</v>
      </c>
      <c r="J312" s="10" t="s">
        <v>32</v>
      </c>
      <c r="K312" s="10" t="s">
        <v>19</v>
      </c>
      <c r="L312" s="10" t="s">
        <v>1055</v>
      </c>
    </row>
    <row r="313" spans="1:12" x14ac:dyDescent="0.35">
      <c r="A313" s="9">
        <v>312</v>
      </c>
      <c r="B313" s="19">
        <v>45867.122523148151</v>
      </c>
      <c r="C313" s="20">
        <v>45867</v>
      </c>
      <c r="D313" s="8" t="s">
        <v>2527</v>
      </c>
      <c r="E313" s="3">
        <v>0</v>
      </c>
      <c r="F313" s="13">
        <v>1.1599999999999999</v>
      </c>
      <c r="G313" s="3">
        <v>3377.15</v>
      </c>
      <c r="H313" s="8" t="s">
        <v>51</v>
      </c>
      <c r="I313" s="8" t="s">
        <v>71</v>
      </c>
      <c r="J313" s="8" t="s">
        <v>32</v>
      </c>
      <c r="K313" s="8" t="s">
        <v>19</v>
      </c>
      <c r="L313" s="8" t="s">
        <v>2621</v>
      </c>
    </row>
    <row r="314" spans="1:12" x14ac:dyDescent="0.35">
      <c r="A314" s="11">
        <v>313</v>
      </c>
      <c r="B314" s="17">
        <v>45867.211261574077</v>
      </c>
      <c r="C314" s="18">
        <v>45867</v>
      </c>
      <c r="D314" s="10" t="s">
        <v>394</v>
      </c>
      <c r="E314" s="14">
        <v>500</v>
      </c>
      <c r="F314" s="5">
        <v>0</v>
      </c>
      <c r="G314" s="5">
        <v>2877.15</v>
      </c>
      <c r="H314" s="10" t="s">
        <v>51</v>
      </c>
      <c r="I314" s="10" t="s">
        <v>52</v>
      </c>
      <c r="J314" s="10" t="s">
        <v>32</v>
      </c>
      <c r="K314" s="10" t="s">
        <v>19</v>
      </c>
      <c r="L314" s="10" t="s">
        <v>1056</v>
      </c>
    </row>
    <row r="315" spans="1:12" x14ac:dyDescent="0.35">
      <c r="A315" s="9">
        <v>314</v>
      </c>
      <c r="B315" s="19">
        <v>45867.569560185177</v>
      </c>
      <c r="C315" s="20">
        <v>45867</v>
      </c>
      <c r="D315" s="8" t="s">
        <v>394</v>
      </c>
      <c r="E315" s="12">
        <v>500</v>
      </c>
      <c r="F315" s="3">
        <v>0</v>
      </c>
      <c r="G315" s="3">
        <v>2377.15</v>
      </c>
      <c r="H315" s="8" t="s">
        <v>51</v>
      </c>
      <c r="I315" s="8" t="s">
        <v>52</v>
      </c>
      <c r="J315" s="8" t="s">
        <v>32</v>
      </c>
      <c r="K315" s="8" t="s">
        <v>19</v>
      </c>
      <c r="L315" s="8" t="s">
        <v>1059</v>
      </c>
    </row>
    <row r="316" spans="1:12" x14ac:dyDescent="0.35">
      <c r="A316" s="11">
        <v>315</v>
      </c>
      <c r="B316" s="17">
        <v>45868.124560185177</v>
      </c>
      <c r="C316" s="18">
        <v>45868</v>
      </c>
      <c r="D316" s="10" t="s">
        <v>2527</v>
      </c>
      <c r="E316" s="5">
        <v>0</v>
      </c>
      <c r="F316" s="15">
        <v>0.81</v>
      </c>
      <c r="G316" s="5">
        <v>2377.96</v>
      </c>
      <c r="H316" s="10" t="s">
        <v>51</v>
      </c>
      <c r="I316" s="10" t="s">
        <v>71</v>
      </c>
      <c r="J316" s="10" t="s">
        <v>32</v>
      </c>
      <c r="K316" s="10" t="s">
        <v>19</v>
      </c>
      <c r="L316" s="10" t="s">
        <v>2622</v>
      </c>
    </row>
    <row r="317" spans="1:12" x14ac:dyDescent="0.35">
      <c r="A317" s="9">
        <v>316</v>
      </c>
      <c r="B317" s="19">
        <v>45868.211226851847</v>
      </c>
      <c r="C317" s="20">
        <v>45868</v>
      </c>
      <c r="D317" s="8" t="s">
        <v>394</v>
      </c>
      <c r="E317" s="12">
        <v>500</v>
      </c>
      <c r="F317" s="3">
        <v>0</v>
      </c>
      <c r="G317" s="3">
        <v>1877.96</v>
      </c>
      <c r="H317" s="8" t="s">
        <v>51</v>
      </c>
      <c r="I317" s="8" t="s">
        <v>52</v>
      </c>
      <c r="J317" s="8" t="s">
        <v>32</v>
      </c>
      <c r="K317" s="8" t="s">
        <v>19</v>
      </c>
      <c r="L317" s="8" t="s">
        <v>1060</v>
      </c>
    </row>
    <row r="318" spans="1:12" x14ac:dyDescent="0.35">
      <c r="A318" s="11">
        <v>317</v>
      </c>
      <c r="B318" s="17">
        <v>45869.116863425923</v>
      </c>
      <c r="C318" s="18">
        <v>45869</v>
      </c>
      <c r="D318" s="10" t="s">
        <v>2527</v>
      </c>
      <c r="E318" s="5">
        <v>0</v>
      </c>
      <c r="F318" s="15">
        <v>0.63</v>
      </c>
      <c r="G318" s="5">
        <v>1878.59</v>
      </c>
      <c r="H318" s="10" t="s">
        <v>51</v>
      </c>
      <c r="I318" s="10" t="s">
        <v>71</v>
      </c>
      <c r="J318" s="10" t="s">
        <v>32</v>
      </c>
      <c r="K318" s="10" t="s">
        <v>19</v>
      </c>
      <c r="L318" s="10" t="s">
        <v>2623</v>
      </c>
    </row>
    <row r="319" spans="1:12" x14ac:dyDescent="0.35">
      <c r="A319" s="9">
        <v>318</v>
      </c>
      <c r="B319" s="19">
        <v>45869.210752314822</v>
      </c>
      <c r="C319" s="20">
        <v>45869</v>
      </c>
      <c r="D319" s="8" t="s">
        <v>394</v>
      </c>
      <c r="E319" s="12">
        <v>500</v>
      </c>
      <c r="F319" s="3">
        <v>0</v>
      </c>
      <c r="G319" s="3">
        <v>1378.59</v>
      </c>
      <c r="H319" s="8" t="s">
        <v>51</v>
      </c>
      <c r="I319" s="8" t="s">
        <v>52</v>
      </c>
      <c r="J319" s="8" t="s">
        <v>32</v>
      </c>
      <c r="K319" s="8" t="s">
        <v>19</v>
      </c>
      <c r="L319" s="8" t="s">
        <v>1062</v>
      </c>
    </row>
    <row r="320" spans="1:12" x14ac:dyDescent="0.35">
      <c r="A320" s="11">
        <v>319</v>
      </c>
      <c r="B320" s="17">
        <v>45870.128680555557</v>
      </c>
      <c r="C320" s="18">
        <v>45870</v>
      </c>
      <c r="D320" s="10" t="s">
        <v>2527</v>
      </c>
      <c r="E320" s="5">
        <v>0</v>
      </c>
      <c r="F320" s="15">
        <v>0.46</v>
      </c>
      <c r="G320" s="5">
        <v>1379.05</v>
      </c>
      <c r="H320" s="10" t="s">
        <v>51</v>
      </c>
      <c r="I320" s="10" t="s">
        <v>71</v>
      </c>
      <c r="J320" s="10" t="s">
        <v>32</v>
      </c>
      <c r="K320" s="10" t="s">
        <v>20</v>
      </c>
      <c r="L320" s="10" t="s">
        <v>2624</v>
      </c>
    </row>
    <row r="321" spans="1:12" x14ac:dyDescent="0.35">
      <c r="A321" s="9">
        <v>320</v>
      </c>
      <c r="B321" s="19">
        <v>45870.211215277777</v>
      </c>
      <c r="C321" s="20">
        <v>45870</v>
      </c>
      <c r="D321" s="8" t="s">
        <v>394</v>
      </c>
      <c r="E321" s="12">
        <v>500</v>
      </c>
      <c r="F321" s="3">
        <v>0</v>
      </c>
      <c r="G321" s="3">
        <v>879.05</v>
      </c>
      <c r="H321" s="8" t="s">
        <v>51</v>
      </c>
      <c r="I321" s="8" t="s">
        <v>52</v>
      </c>
      <c r="J321" s="8" t="s">
        <v>32</v>
      </c>
      <c r="K321" s="8" t="s">
        <v>20</v>
      </c>
      <c r="L321" s="8" t="s">
        <v>1064</v>
      </c>
    </row>
    <row r="322" spans="1:12" x14ac:dyDescent="0.35">
      <c r="A322" s="11">
        <v>321</v>
      </c>
      <c r="B322" s="17">
        <v>45871.118113425917</v>
      </c>
      <c r="C322" s="18">
        <v>45871</v>
      </c>
      <c r="D322" s="10" t="s">
        <v>2527</v>
      </c>
      <c r="E322" s="5">
        <v>0</v>
      </c>
      <c r="F322" s="15">
        <v>0.28999999999999998</v>
      </c>
      <c r="G322" s="5">
        <v>879.34</v>
      </c>
      <c r="H322" s="10" t="s">
        <v>51</v>
      </c>
      <c r="I322" s="10" t="s">
        <v>71</v>
      </c>
      <c r="J322" s="10" t="s">
        <v>32</v>
      </c>
      <c r="K322" s="10" t="s">
        <v>20</v>
      </c>
      <c r="L322" s="10" t="s">
        <v>2625</v>
      </c>
    </row>
    <row r="323" spans="1:12" x14ac:dyDescent="0.35">
      <c r="A323" s="9">
        <v>322</v>
      </c>
      <c r="B323" s="19">
        <v>45871.210972222223</v>
      </c>
      <c r="C323" s="20">
        <v>45871</v>
      </c>
      <c r="D323" s="8" t="s">
        <v>394</v>
      </c>
      <c r="E323" s="12">
        <v>500</v>
      </c>
      <c r="F323" s="3">
        <v>0</v>
      </c>
      <c r="G323" s="3">
        <v>379.34</v>
      </c>
      <c r="H323" s="8" t="s">
        <v>51</v>
      </c>
      <c r="I323" s="8" t="s">
        <v>52</v>
      </c>
      <c r="J323" s="8" t="s">
        <v>32</v>
      </c>
      <c r="K323" s="8" t="s">
        <v>20</v>
      </c>
      <c r="L323" s="8" t="s">
        <v>1066</v>
      </c>
    </row>
    <row r="324" spans="1:12" x14ac:dyDescent="0.35">
      <c r="A324" s="11">
        <v>323</v>
      </c>
      <c r="B324" s="17">
        <v>45872.132303240738</v>
      </c>
      <c r="C324" s="18">
        <v>45872</v>
      </c>
      <c r="D324" s="10" t="s">
        <v>2527</v>
      </c>
      <c r="E324" s="5">
        <v>0</v>
      </c>
      <c r="F324" s="15">
        <v>0.12</v>
      </c>
      <c r="G324" s="5">
        <v>379.46</v>
      </c>
      <c r="H324" s="10" t="s">
        <v>51</v>
      </c>
      <c r="I324" s="10" t="s">
        <v>71</v>
      </c>
      <c r="J324" s="10" t="s">
        <v>32</v>
      </c>
      <c r="K324" s="10" t="s">
        <v>20</v>
      </c>
      <c r="L324" s="10" t="s">
        <v>2626</v>
      </c>
    </row>
    <row r="325" spans="1:12" x14ac:dyDescent="0.35">
      <c r="A325" s="9">
        <v>324</v>
      </c>
      <c r="B325" s="19">
        <v>45872.924780092602</v>
      </c>
      <c r="C325" s="20">
        <v>45872</v>
      </c>
      <c r="D325" s="8" t="s">
        <v>426</v>
      </c>
      <c r="E325" s="3">
        <v>0</v>
      </c>
      <c r="F325" s="13">
        <v>5500</v>
      </c>
      <c r="G325" s="3">
        <v>5879.46</v>
      </c>
      <c r="H325" s="8" t="s">
        <v>51</v>
      </c>
      <c r="I325" s="8" t="s">
        <v>71</v>
      </c>
      <c r="J325" s="8" t="s">
        <v>32</v>
      </c>
      <c r="K325" s="8" t="s">
        <v>20</v>
      </c>
      <c r="L325" s="8" t="s">
        <v>1070</v>
      </c>
    </row>
    <row r="326" spans="1:12" x14ac:dyDescent="0.35">
      <c r="A326" s="11">
        <v>325</v>
      </c>
      <c r="B326" s="17">
        <v>45873.113425925927</v>
      </c>
      <c r="C326" s="18">
        <v>45873</v>
      </c>
      <c r="D326" s="10" t="s">
        <v>2527</v>
      </c>
      <c r="E326" s="5">
        <v>0</v>
      </c>
      <c r="F326" s="15">
        <v>0.12</v>
      </c>
      <c r="G326" s="5">
        <v>5879.58</v>
      </c>
      <c r="H326" s="10" t="s">
        <v>51</v>
      </c>
      <c r="I326" s="10" t="s">
        <v>71</v>
      </c>
      <c r="J326" s="10" t="s">
        <v>32</v>
      </c>
      <c r="K326" s="10" t="s">
        <v>20</v>
      </c>
      <c r="L326" s="10" t="s">
        <v>2627</v>
      </c>
    </row>
    <row r="327" spans="1:12" x14ac:dyDescent="0.35">
      <c r="A327" s="9">
        <v>326</v>
      </c>
      <c r="B327" s="19">
        <v>45873.210486111107</v>
      </c>
      <c r="C327" s="20">
        <v>45873</v>
      </c>
      <c r="D327" s="8" t="s">
        <v>394</v>
      </c>
      <c r="E327" s="12">
        <v>500</v>
      </c>
      <c r="F327" s="3">
        <v>0</v>
      </c>
      <c r="G327" s="3">
        <v>5379.58</v>
      </c>
      <c r="H327" s="8" t="s">
        <v>51</v>
      </c>
      <c r="I327" s="8" t="s">
        <v>52</v>
      </c>
      <c r="J327" s="8" t="s">
        <v>32</v>
      </c>
      <c r="K327" s="8" t="s">
        <v>20</v>
      </c>
      <c r="L327" s="8" t="s">
        <v>1071</v>
      </c>
    </row>
    <row r="328" spans="1:12" x14ac:dyDescent="0.35">
      <c r="A328" s="11">
        <v>327</v>
      </c>
      <c r="B328" s="17">
        <v>45874.133761574078</v>
      </c>
      <c r="C328" s="18">
        <v>45874</v>
      </c>
      <c r="D328" s="10" t="s">
        <v>2527</v>
      </c>
      <c r="E328" s="5">
        <v>0</v>
      </c>
      <c r="F328" s="15">
        <v>1.85</v>
      </c>
      <c r="G328" s="5">
        <v>5381.43</v>
      </c>
      <c r="H328" s="10" t="s">
        <v>51</v>
      </c>
      <c r="I328" s="10" t="s">
        <v>71</v>
      </c>
      <c r="J328" s="10" t="s">
        <v>32</v>
      </c>
      <c r="K328" s="10" t="s">
        <v>20</v>
      </c>
      <c r="L328" s="10" t="s">
        <v>2628</v>
      </c>
    </row>
    <row r="329" spans="1:12" x14ac:dyDescent="0.35">
      <c r="A329" s="9">
        <v>328</v>
      </c>
      <c r="B329" s="19">
        <v>45874.210706018523</v>
      </c>
      <c r="C329" s="20">
        <v>45874</v>
      </c>
      <c r="D329" s="8" t="s">
        <v>394</v>
      </c>
      <c r="E329" s="12">
        <v>500</v>
      </c>
      <c r="F329" s="3">
        <v>0</v>
      </c>
      <c r="G329" s="3">
        <v>4881.43</v>
      </c>
      <c r="H329" s="8" t="s">
        <v>51</v>
      </c>
      <c r="I329" s="8" t="s">
        <v>52</v>
      </c>
      <c r="J329" s="8" t="s">
        <v>32</v>
      </c>
      <c r="K329" s="8" t="s">
        <v>20</v>
      </c>
      <c r="L329" s="8" t="s">
        <v>1073</v>
      </c>
    </row>
    <row r="330" spans="1:12" x14ac:dyDescent="0.35">
      <c r="A330" s="11">
        <v>329</v>
      </c>
      <c r="B330" s="17">
        <v>45874.35497685185</v>
      </c>
      <c r="C330" s="18">
        <v>45874</v>
      </c>
      <c r="D330" s="10" t="s">
        <v>394</v>
      </c>
      <c r="E330" s="14">
        <v>900</v>
      </c>
      <c r="F330" s="5">
        <v>0</v>
      </c>
      <c r="G330" s="5">
        <v>3981.43</v>
      </c>
      <c r="H330" s="10" t="s">
        <v>51</v>
      </c>
      <c r="I330" s="10" t="s">
        <v>52</v>
      </c>
      <c r="J330" s="10" t="s">
        <v>32</v>
      </c>
      <c r="K330" s="10" t="s">
        <v>20</v>
      </c>
      <c r="L330" s="10" t="s">
        <v>1076</v>
      </c>
    </row>
    <row r="331" spans="1:12" x14ac:dyDescent="0.35">
      <c r="A331" s="9">
        <v>330</v>
      </c>
      <c r="B331" s="19">
        <v>45874.374039351853</v>
      </c>
      <c r="C331" s="20">
        <v>45874</v>
      </c>
      <c r="D331" s="8" t="s">
        <v>394</v>
      </c>
      <c r="E331" s="12">
        <v>1000</v>
      </c>
      <c r="F331" s="3">
        <v>0</v>
      </c>
      <c r="G331" s="3">
        <v>2981.43</v>
      </c>
      <c r="H331" s="8" t="s">
        <v>51</v>
      </c>
      <c r="I331" s="8" t="s">
        <v>52</v>
      </c>
      <c r="J331" s="8" t="s">
        <v>32</v>
      </c>
      <c r="K331" s="8" t="s">
        <v>20</v>
      </c>
      <c r="L331" s="8" t="s">
        <v>1079</v>
      </c>
    </row>
    <row r="332" spans="1:12" x14ac:dyDescent="0.35">
      <c r="A332" s="11">
        <v>331</v>
      </c>
      <c r="B332" s="17">
        <v>45875.115104166667</v>
      </c>
      <c r="C332" s="18">
        <v>45875</v>
      </c>
      <c r="D332" s="10" t="s">
        <v>2527</v>
      </c>
      <c r="E332" s="5">
        <v>0</v>
      </c>
      <c r="F332" s="15">
        <v>1.02</v>
      </c>
      <c r="G332" s="5">
        <v>2982.45</v>
      </c>
      <c r="H332" s="10" t="s">
        <v>51</v>
      </c>
      <c r="I332" s="10" t="s">
        <v>71</v>
      </c>
      <c r="J332" s="10" t="s">
        <v>32</v>
      </c>
      <c r="K332" s="10" t="s">
        <v>20</v>
      </c>
      <c r="L332" s="10" t="s">
        <v>2629</v>
      </c>
    </row>
    <row r="333" spans="1:12" x14ac:dyDescent="0.35">
      <c r="A333" s="9">
        <v>332</v>
      </c>
      <c r="B333" s="19">
        <v>45875.210416666669</v>
      </c>
      <c r="C333" s="20">
        <v>45875</v>
      </c>
      <c r="D333" s="8" t="s">
        <v>394</v>
      </c>
      <c r="E333" s="12">
        <v>500</v>
      </c>
      <c r="F333" s="3">
        <v>0</v>
      </c>
      <c r="G333" s="3">
        <v>2482.4499999999998</v>
      </c>
      <c r="H333" s="8" t="s">
        <v>51</v>
      </c>
      <c r="I333" s="8" t="s">
        <v>52</v>
      </c>
      <c r="J333" s="8" t="s">
        <v>32</v>
      </c>
      <c r="K333" s="8" t="s">
        <v>20</v>
      </c>
      <c r="L333" s="8" t="s">
        <v>1080</v>
      </c>
    </row>
    <row r="334" spans="1:12" x14ac:dyDescent="0.35">
      <c r="A334" s="11">
        <v>333</v>
      </c>
      <c r="B334" s="17">
        <v>45875.611539351848</v>
      </c>
      <c r="C334" s="18">
        <v>45875</v>
      </c>
      <c r="D334" s="10" t="s">
        <v>394</v>
      </c>
      <c r="E334" s="14">
        <v>500</v>
      </c>
      <c r="F334" s="5">
        <v>0</v>
      </c>
      <c r="G334" s="5">
        <v>1982.45</v>
      </c>
      <c r="H334" s="10" t="s">
        <v>51</v>
      </c>
      <c r="I334" s="10" t="s">
        <v>52</v>
      </c>
      <c r="J334" s="10" t="s">
        <v>32</v>
      </c>
      <c r="K334" s="10" t="s">
        <v>20</v>
      </c>
      <c r="L334" s="10" t="s">
        <v>1083</v>
      </c>
    </row>
    <row r="335" spans="1:12" x14ac:dyDescent="0.35">
      <c r="A335" s="9">
        <v>334</v>
      </c>
      <c r="B335" s="19">
        <v>45875.612534722219</v>
      </c>
      <c r="C335" s="20">
        <v>45875</v>
      </c>
      <c r="D335" s="8" t="s">
        <v>394</v>
      </c>
      <c r="E335" s="12">
        <v>452</v>
      </c>
      <c r="F335" s="3">
        <v>0</v>
      </c>
      <c r="G335" s="3">
        <v>1530.45</v>
      </c>
      <c r="H335" s="8" t="s">
        <v>51</v>
      </c>
      <c r="I335" s="8" t="s">
        <v>52</v>
      </c>
      <c r="J335" s="8" t="s">
        <v>32</v>
      </c>
      <c r="K335" s="8" t="s">
        <v>20</v>
      </c>
      <c r="L335" s="8" t="s">
        <v>1085</v>
      </c>
    </row>
    <row r="336" spans="1:12" x14ac:dyDescent="0.35">
      <c r="A336" s="11">
        <v>335</v>
      </c>
      <c r="B336" s="17">
        <v>45875.613692129627</v>
      </c>
      <c r="C336" s="18">
        <v>45875</v>
      </c>
      <c r="D336" s="10" t="s">
        <v>394</v>
      </c>
      <c r="E336" s="14">
        <v>500</v>
      </c>
      <c r="F336" s="5">
        <v>0</v>
      </c>
      <c r="G336" s="5">
        <v>1030.45</v>
      </c>
      <c r="H336" s="10" t="s">
        <v>51</v>
      </c>
      <c r="I336" s="10" t="s">
        <v>52</v>
      </c>
      <c r="J336" s="10" t="s">
        <v>32</v>
      </c>
      <c r="K336" s="10" t="s">
        <v>20</v>
      </c>
      <c r="L336" s="10" t="s">
        <v>1087</v>
      </c>
    </row>
    <row r="337" spans="1:12" x14ac:dyDescent="0.35">
      <c r="A337" s="9">
        <v>336</v>
      </c>
      <c r="B337" s="19">
        <v>45875.883263888893</v>
      </c>
      <c r="C337" s="20">
        <v>45875</v>
      </c>
      <c r="D337" s="8" t="s">
        <v>394</v>
      </c>
      <c r="E337" s="12">
        <v>900</v>
      </c>
      <c r="F337" s="3">
        <v>0</v>
      </c>
      <c r="G337" s="3">
        <v>130.44999999999999</v>
      </c>
      <c r="H337" s="8" t="s">
        <v>51</v>
      </c>
      <c r="I337" s="8" t="s">
        <v>52</v>
      </c>
      <c r="J337" s="8" t="s">
        <v>32</v>
      </c>
      <c r="K337" s="8" t="s">
        <v>20</v>
      </c>
      <c r="L337" s="8" t="s">
        <v>1089</v>
      </c>
    </row>
    <row r="338" spans="1:12" x14ac:dyDescent="0.35">
      <c r="A338" s="11">
        <v>337</v>
      </c>
      <c r="B338" s="17">
        <v>45876.128067129634</v>
      </c>
      <c r="C338" s="18">
        <v>45876</v>
      </c>
      <c r="D338" s="10" t="s">
        <v>2527</v>
      </c>
      <c r="E338" s="5">
        <v>0</v>
      </c>
      <c r="F338" s="15">
        <v>0.09</v>
      </c>
      <c r="G338" s="5">
        <v>130.54</v>
      </c>
      <c r="H338" s="10" t="s">
        <v>51</v>
      </c>
      <c r="I338" s="10" t="s">
        <v>71</v>
      </c>
      <c r="J338" s="10" t="s">
        <v>32</v>
      </c>
      <c r="K338" s="10" t="s">
        <v>20</v>
      </c>
      <c r="L338" s="10" t="s">
        <v>2630</v>
      </c>
    </row>
    <row r="339" spans="1:12" x14ac:dyDescent="0.35">
      <c r="A339" s="9">
        <v>338</v>
      </c>
      <c r="B339" s="19">
        <v>45876.925949074073</v>
      </c>
      <c r="C339" s="20">
        <v>45876</v>
      </c>
      <c r="D339" s="8" t="s">
        <v>426</v>
      </c>
      <c r="E339" s="3">
        <v>0</v>
      </c>
      <c r="F339" s="13">
        <v>3000</v>
      </c>
      <c r="G339" s="3">
        <v>3130.54</v>
      </c>
      <c r="H339" s="8" t="s">
        <v>51</v>
      </c>
      <c r="I339" s="8" t="s">
        <v>71</v>
      </c>
      <c r="J339" s="8" t="s">
        <v>32</v>
      </c>
      <c r="K339" s="8" t="s">
        <v>20</v>
      </c>
      <c r="L339" s="8" t="s">
        <v>1091</v>
      </c>
    </row>
    <row r="340" spans="1:12" x14ac:dyDescent="0.35">
      <c r="A340" s="11">
        <v>339</v>
      </c>
      <c r="B340" s="17">
        <v>45877.11146990741</v>
      </c>
      <c r="C340" s="18">
        <v>45877</v>
      </c>
      <c r="D340" s="10" t="s">
        <v>2527</v>
      </c>
      <c r="E340" s="5">
        <v>0</v>
      </c>
      <c r="F340" s="15">
        <v>0.09</v>
      </c>
      <c r="G340" s="5">
        <v>3130.63</v>
      </c>
      <c r="H340" s="10" t="s">
        <v>51</v>
      </c>
      <c r="I340" s="10" t="s">
        <v>71</v>
      </c>
      <c r="J340" s="10" t="s">
        <v>32</v>
      </c>
      <c r="K340" s="10" t="s">
        <v>20</v>
      </c>
      <c r="L340" s="10" t="s">
        <v>2631</v>
      </c>
    </row>
    <row r="341" spans="1:12" x14ac:dyDescent="0.35">
      <c r="A341" s="9">
        <v>340</v>
      </c>
      <c r="B341" s="19">
        <v>45877.210428240738</v>
      </c>
      <c r="C341" s="20">
        <v>45877</v>
      </c>
      <c r="D341" s="8" t="s">
        <v>394</v>
      </c>
      <c r="E341" s="12">
        <v>500</v>
      </c>
      <c r="F341" s="3">
        <v>0</v>
      </c>
      <c r="G341" s="3">
        <v>2630.63</v>
      </c>
      <c r="H341" s="8" t="s">
        <v>51</v>
      </c>
      <c r="I341" s="8" t="s">
        <v>52</v>
      </c>
      <c r="J341" s="8" t="s">
        <v>32</v>
      </c>
      <c r="K341" s="8" t="s">
        <v>20</v>
      </c>
      <c r="L341" s="8" t="s">
        <v>1092</v>
      </c>
    </row>
    <row r="342" spans="1:12" x14ac:dyDescent="0.35">
      <c r="A342" s="11">
        <v>341</v>
      </c>
      <c r="B342" s="17">
        <v>45878.128159722219</v>
      </c>
      <c r="C342" s="18">
        <v>45878</v>
      </c>
      <c r="D342" s="10" t="s">
        <v>2527</v>
      </c>
      <c r="E342" s="5">
        <v>0</v>
      </c>
      <c r="F342" s="15">
        <v>0.9</v>
      </c>
      <c r="G342" s="5">
        <v>2631.53</v>
      </c>
      <c r="H342" s="10" t="s">
        <v>51</v>
      </c>
      <c r="I342" s="10" t="s">
        <v>71</v>
      </c>
      <c r="J342" s="10" t="s">
        <v>32</v>
      </c>
      <c r="K342" s="10" t="s">
        <v>20</v>
      </c>
      <c r="L342" s="10" t="s">
        <v>2632</v>
      </c>
    </row>
    <row r="343" spans="1:12" x14ac:dyDescent="0.35">
      <c r="A343" s="9">
        <v>342</v>
      </c>
      <c r="B343" s="19">
        <v>45878.210428240738</v>
      </c>
      <c r="C343" s="20">
        <v>45878</v>
      </c>
      <c r="D343" s="8" t="s">
        <v>394</v>
      </c>
      <c r="E343" s="12">
        <v>500</v>
      </c>
      <c r="F343" s="3">
        <v>0</v>
      </c>
      <c r="G343" s="3">
        <v>2131.5300000000002</v>
      </c>
      <c r="H343" s="8" t="s">
        <v>51</v>
      </c>
      <c r="I343" s="8" t="s">
        <v>52</v>
      </c>
      <c r="J343" s="8" t="s">
        <v>32</v>
      </c>
      <c r="K343" s="8" t="s">
        <v>20</v>
      </c>
      <c r="L343" s="8" t="s">
        <v>1094</v>
      </c>
    </row>
    <row r="344" spans="1:12" x14ac:dyDescent="0.35">
      <c r="A344" s="11">
        <v>343</v>
      </c>
      <c r="B344" s="17">
        <v>45879.109432870369</v>
      </c>
      <c r="C344" s="18">
        <v>45879</v>
      </c>
      <c r="D344" s="10" t="s">
        <v>2527</v>
      </c>
      <c r="E344" s="5">
        <v>0</v>
      </c>
      <c r="F344" s="15">
        <v>0.72</v>
      </c>
      <c r="G344" s="5">
        <v>2132.25</v>
      </c>
      <c r="H344" s="10" t="s">
        <v>51</v>
      </c>
      <c r="I344" s="10" t="s">
        <v>71</v>
      </c>
      <c r="J344" s="10" t="s">
        <v>32</v>
      </c>
      <c r="K344" s="10" t="s">
        <v>20</v>
      </c>
      <c r="L344" s="10" t="s">
        <v>2633</v>
      </c>
    </row>
    <row r="345" spans="1:12" x14ac:dyDescent="0.35">
      <c r="A345" s="9">
        <v>344</v>
      </c>
      <c r="B345" s="19">
        <v>45879.210509259261</v>
      </c>
      <c r="C345" s="20">
        <v>45879</v>
      </c>
      <c r="D345" s="8" t="s">
        <v>394</v>
      </c>
      <c r="E345" s="12">
        <v>500</v>
      </c>
      <c r="F345" s="3">
        <v>0</v>
      </c>
      <c r="G345" s="3">
        <v>1632.25</v>
      </c>
      <c r="H345" s="8" t="s">
        <v>51</v>
      </c>
      <c r="I345" s="8" t="s">
        <v>52</v>
      </c>
      <c r="J345" s="8" t="s">
        <v>32</v>
      </c>
      <c r="K345" s="8" t="s">
        <v>20</v>
      </c>
      <c r="L345" s="8" t="s">
        <v>1097</v>
      </c>
    </row>
    <row r="346" spans="1:12" x14ac:dyDescent="0.35">
      <c r="A346" s="11">
        <v>345</v>
      </c>
      <c r="B346" s="17">
        <v>45880.134722222218</v>
      </c>
      <c r="C346" s="18">
        <v>45880</v>
      </c>
      <c r="D346" s="10" t="s">
        <v>2527</v>
      </c>
      <c r="E346" s="5">
        <v>0</v>
      </c>
      <c r="F346" s="15">
        <v>0.55000000000000004</v>
      </c>
      <c r="G346" s="5">
        <v>1632.8</v>
      </c>
      <c r="H346" s="10" t="s">
        <v>51</v>
      </c>
      <c r="I346" s="10" t="s">
        <v>71</v>
      </c>
      <c r="J346" s="10" t="s">
        <v>32</v>
      </c>
      <c r="K346" s="10" t="s">
        <v>20</v>
      </c>
      <c r="L346" s="10" t="s">
        <v>2634</v>
      </c>
    </row>
    <row r="347" spans="1:12" x14ac:dyDescent="0.35">
      <c r="A347" s="9">
        <v>346</v>
      </c>
      <c r="B347" s="19">
        <v>45880.210428240738</v>
      </c>
      <c r="C347" s="20">
        <v>45880</v>
      </c>
      <c r="D347" s="8" t="s">
        <v>394</v>
      </c>
      <c r="E347" s="12">
        <v>500</v>
      </c>
      <c r="F347" s="3">
        <v>0</v>
      </c>
      <c r="G347" s="3">
        <v>1132.8</v>
      </c>
      <c r="H347" s="8" t="s">
        <v>51</v>
      </c>
      <c r="I347" s="8" t="s">
        <v>52</v>
      </c>
      <c r="J347" s="8" t="s">
        <v>32</v>
      </c>
      <c r="K347" s="8" t="s">
        <v>20</v>
      </c>
      <c r="L347" s="8" t="s">
        <v>1098</v>
      </c>
    </row>
    <row r="348" spans="1:12" x14ac:dyDescent="0.35">
      <c r="A348" s="11">
        <v>347</v>
      </c>
      <c r="B348" s="17">
        <v>45881.110682870371</v>
      </c>
      <c r="C348" s="18">
        <v>45881</v>
      </c>
      <c r="D348" s="10" t="s">
        <v>2527</v>
      </c>
      <c r="E348" s="5">
        <v>0</v>
      </c>
      <c r="F348" s="15">
        <v>0.38</v>
      </c>
      <c r="G348" s="5">
        <v>1133.18</v>
      </c>
      <c r="H348" s="10" t="s">
        <v>51</v>
      </c>
      <c r="I348" s="10" t="s">
        <v>71</v>
      </c>
      <c r="J348" s="10" t="s">
        <v>32</v>
      </c>
      <c r="K348" s="10" t="s">
        <v>20</v>
      </c>
      <c r="L348" s="10" t="s">
        <v>2635</v>
      </c>
    </row>
    <row r="349" spans="1:12" x14ac:dyDescent="0.35">
      <c r="A349" s="9">
        <v>348</v>
      </c>
      <c r="B349" s="19">
        <v>45881.210335648153</v>
      </c>
      <c r="C349" s="20">
        <v>45881</v>
      </c>
      <c r="D349" s="8" t="s">
        <v>394</v>
      </c>
      <c r="E349" s="12">
        <v>500</v>
      </c>
      <c r="F349" s="3">
        <v>0</v>
      </c>
      <c r="G349" s="3">
        <v>633.17999999999995</v>
      </c>
      <c r="H349" s="8" t="s">
        <v>51</v>
      </c>
      <c r="I349" s="8" t="s">
        <v>52</v>
      </c>
      <c r="J349" s="8" t="s">
        <v>32</v>
      </c>
      <c r="K349" s="8" t="s">
        <v>20</v>
      </c>
      <c r="L349" s="8" t="s">
        <v>1100</v>
      </c>
    </row>
    <row r="350" spans="1:12" x14ac:dyDescent="0.35">
      <c r="A350" s="11">
        <v>349</v>
      </c>
      <c r="B350" s="17">
        <v>45881.925833333327</v>
      </c>
      <c r="C350" s="18">
        <v>45881</v>
      </c>
      <c r="D350" s="10" t="s">
        <v>426</v>
      </c>
      <c r="E350" s="5">
        <v>0</v>
      </c>
      <c r="F350" s="15">
        <v>4600</v>
      </c>
      <c r="G350" s="5">
        <v>5233.18</v>
      </c>
      <c r="H350" s="10" t="s">
        <v>51</v>
      </c>
      <c r="I350" s="10" t="s">
        <v>71</v>
      </c>
      <c r="J350" s="10" t="s">
        <v>32</v>
      </c>
      <c r="K350" s="10" t="s">
        <v>20</v>
      </c>
      <c r="L350" s="10" t="s">
        <v>1108</v>
      </c>
    </row>
    <row r="351" spans="1:12" x14ac:dyDescent="0.35">
      <c r="A351" s="9">
        <v>350</v>
      </c>
      <c r="B351" s="19">
        <v>45882.134745370371</v>
      </c>
      <c r="C351" s="20">
        <v>45882</v>
      </c>
      <c r="D351" s="8" t="s">
        <v>2527</v>
      </c>
      <c r="E351" s="3">
        <v>0</v>
      </c>
      <c r="F351" s="13">
        <v>0.21</v>
      </c>
      <c r="G351" s="3">
        <v>5233.3900000000003</v>
      </c>
      <c r="H351" s="8" t="s">
        <v>51</v>
      </c>
      <c r="I351" s="8" t="s">
        <v>71</v>
      </c>
      <c r="J351" s="8" t="s">
        <v>32</v>
      </c>
      <c r="K351" s="8" t="s">
        <v>20</v>
      </c>
      <c r="L351" s="8" t="s">
        <v>2636</v>
      </c>
    </row>
    <row r="352" spans="1:12" x14ac:dyDescent="0.35">
      <c r="A352" s="11">
        <v>351</v>
      </c>
      <c r="B352" s="17">
        <v>45882.210347222222</v>
      </c>
      <c r="C352" s="18">
        <v>45882</v>
      </c>
      <c r="D352" s="10" t="s">
        <v>394</v>
      </c>
      <c r="E352" s="14">
        <v>500</v>
      </c>
      <c r="F352" s="5">
        <v>0</v>
      </c>
      <c r="G352" s="5">
        <v>4733.3900000000003</v>
      </c>
      <c r="H352" s="10" t="s">
        <v>51</v>
      </c>
      <c r="I352" s="10" t="s">
        <v>52</v>
      </c>
      <c r="J352" s="10" t="s">
        <v>32</v>
      </c>
      <c r="K352" s="10" t="s">
        <v>20</v>
      </c>
      <c r="L352" s="10" t="s">
        <v>1109</v>
      </c>
    </row>
    <row r="353" spans="1:12" x14ac:dyDescent="0.35">
      <c r="A353" s="9">
        <v>352</v>
      </c>
      <c r="B353" s="19">
        <v>45882.75984953704</v>
      </c>
      <c r="C353" s="20">
        <v>45882</v>
      </c>
      <c r="D353" s="8" t="s">
        <v>394</v>
      </c>
      <c r="E353" s="12">
        <v>4000</v>
      </c>
      <c r="F353" s="3">
        <v>0</v>
      </c>
      <c r="G353" s="3">
        <v>733.39</v>
      </c>
      <c r="H353" s="8" t="s">
        <v>51</v>
      </c>
      <c r="I353" s="8" t="s">
        <v>52</v>
      </c>
      <c r="J353" s="8" t="s">
        <v>32</v>
      </c>
      <c r="K353" s="8" t="s">
        <v>20</v>
      </c>
      <c r="L353" s="8" t="s">
        <v>1113</v>
      </c>
    </row>
    <row r="354" spans="1:12" x14ac:dyDescent="0.35">
      <c r="A354" s="11">
        <v>353</v>
      </c>
      <c r="B354" s="17">
        <v>45883.108773148153</v>
      </c>
      <c r="C354" s="18">
        <v>45883</v>
      </c>
      <c r="D354" s="10" t="s">
        <v>2527</v>
      </c>
      <c r="E354" s="5">
        <v>0</v>
      </c>
      <c r="F354" s="15">
        <v>0.25</v>
      </c>
      <c r="G354" s="5">
        <v>733.64</v>
      </c>
      <c r="H354" s="10" t="s">
        <v>51</v>
      </c>
      <c r="I354" s="10" t="s">
        <v>71</v>
      </c>
      <c r="J354" s="10" t="s">
        <v>32</v>
      </c>
      <c r="K354" s="10" t="s">
        <v>20</v>
      </c>
      <c r="L354" s="10" t="s">
        <v>2637</v>
      </c>
    </row>
    <row r="355" spans="1:12" x14ac:dyDescent="0.35">
      <c r="A355" s="9">
        <v>354</v>
      </c>
      <c r="B355" s="19">
        <v>45883.210405092592</v>
      </c>
      <c r="C355" s="20">
        <v>45883</v>
      </c>
      <c r="D355" s="8" t="s">
        <v>394</v>
      </c>
      <c r="E355" s="12">
        <v>500</v>
      </c>
      <c r="F355" s="3">
        <v>0</v>
      </c>
      <c r="G355" s="3">
        <v>233.64</v>
      </c>
      <c r="H355" s="8" t="s">
        <v>51</v>
      </c>
      <c r="I355" s="8" t="s">
        <v>52</v>
      </c>
      <c r="J355" s="8" t="s">
        <v>32</v>
      </c>
      <c r="K355" s="8" t="s">
        <v>20</v>
      </c>
      <c r="L355" s="8" t="s">
        <v>1114</v>
      </c>
    </row>
    <row r="356" spans="1:12" x14ac:dyDescent="0.35">
      <c r="A356" s="11">
        <v>355</v>
      </c>
      <c r="B356" s="17">
        <v>45883.926030092603</v>
      </c>
      <c r="C356" s="18">
        <v>45883</v>
      </c>
      <c r="D356" s="10" t="s">
        <v>426</v>
      </c>
      <c r="E356" s="5">
        <v>0</v>
      </c>
      <c r="F356" s="15">
        <v>438</v>
      </c>
      <c r="G356" s="5">
        <v>671.64</v>
      </c>
      <c r="H356" s="10" t="s">
        <v>51</v>
      </c>
      <c r="I356" s="10" t="s">
        <v>71</v>
      </c>
      <c r="J356" s="10" t="s">
        <v>32</v>
      </c>
      <c r="K356" s="10" t="s">
        <v>20</v>
      </c>
      <c r="L356" s="10" t="s">
        <v>1123</v>
      </c>
    </row>
    <row r="357" spans="1:12" x14ac:dyDescent="0.35">
      <c r="A357" s="9">
        <v>356</v>
      </c>
      <c r="B357" s="19">
        <v>45884.131481481483</v>
      </c>
      <c r="C357" s="20">
        <v>45884</v>
      </c>
      <c r="D357" s="8" t="s">
        <v>2527</v>
      </c>
      <c r="E357" s="3">
        <v>0</v>
      </c>
      <c r="F357" s="13">
        <v>0.09</v>
      </c>
      <c r="G357" s="3">
        <v>671.73</v>
      </c>
      <c r="H357" s="8" t="s">
        <v>51</v>
      </c>
      <c r="I357" s="8" t="s">
        <v>71</v>
      </c>
      <c r="J357" s="8" t="s">
        <v>32</v>
      </c>
      <c r="K357" s="8" t="s">
        <v>20</v>
      </c>
      <c r="L357" s="8" t="s">
        <v>2638</v>
      </c>
    </row>
    <row r="358" spans="1:12" x14ac:dyDescent="0.35">
      <c r="A358" s="11">
        <v>357</v>
      </c>
      <c r="B358" s="17">
        <v>45884.210370370369</v>
      </c>
      <c r="C358" s="18">
        <v>45884</v>
      </c>
      <c r="D358" s="10" t="s">
        <v>394</v>
      </c>
      <c r="E358" s="14">
        <v>500</v>
      </c>
      <c r="F358" s="5">
        <v>0</v>
      </c>
      <c r="G358" s="5">
        <v>171.73</v>
      </c>
      <c r="H358" s="10" t="s">
        <v>51</v>
      </c>
      <c r="I358" s="10" t="s">
        <v>52</v>
      </c>
      <c r="J358" s="10" t="s">
        <v>32</v>
      </c>
      <c r="K358" s="10" t="s">
        <v>20</v>
      </c>
      <c r="L358" s="10" t="s">
        <v>1125</v>
      </c>
    </row>
    <row r="359" spans="1:12" x14ac:dyDescent="0.35">
      <c r="A359" s="9">
        <v>358</v>
      </c>
      <c r="B359" s="19">
        <v>45885.105567129627</v>
      </c>
      <c r="C359" s="20">
        <v>45885</v>
      </c>
      <c r="D359" s="8" t="s">
        <v>2527</v>
      </c>
      <c r="E359" s="3">
        <v>0</v>
      </c>
      <c r="F359" s="13">
        <v>0.09</v>
      </c>
      <c r="G359" s="3">
        <v>171.82</v>
      </c>
      <c r="H359" s="8" t="s">
        <v>51</v>
      </c>
      <c r="I359" s="8" t="s">
        <v>71</v>
      </c>
      <c r="J359" s="8" t="s">
        <v>32</v>
      </c>
      <c r="K359" s="8" t="s">
        <v>20</v>
      </c>
      <c r="L359" s="8" t="s">
        <v>2639</v>
      </c>
    </row>
    <row r="360" spans="1:12" x14ac:dyDescent="0.35">
      <c r="A360" s="11">
        <v>359</v>
      </c>
      <c r="B360" s="17">
        <v>45885.926296296297</v>
      </c>
      <c r="C360" s="18">
        <v>45885</v>
      </c>
      <c r="D360" s="10" t="s">
        <v>426</v>
      </c>
      <c r="E360" s="5">
        <v>0</v>
      </c>
      <c r="F360" s="15">
        <v>19040</v>
      </c>
      <c r="G360" s="5">
        <v>19211.82</v>
      </c>
      <c r="H360" s="10" t="s">
        <v>51</v>
      </c>
      <c r="I360" s="10" t="s">
        <v>71</v>
      </c>
      <c r="J360" s="10" t="s">
        <v>32</v>
      </c>
      <c r="K360" s="10" t="s">
        <v>20</v>
      </c>
      <c r="L360" s="10" t="s">
        <v>1149</v>
      </c>
    </row>
    <row r="361" spans="1:12" x14ac:dyDescent="0.35">
      <c r="A361" s="9">
        <v>360</v>
      </c>
      <c r="B361" s="19">
        <v>45886.126562500001</v>
      </c>
      <c r="C361" s="20">
        <v>45886</v>
      </c>
      <c r="D361" s="8" t="s">
        <v>2527</v>
      </c>
      <c r="E361" s="3">
        <v>0</v>
      </c>
      <c r="F361" s="13">
        <v>0.09</v>
      </c>
      <c r="G361" s="3">
        <v>19211.91</v>
      </c>
      <c r="H361" s="8" t="s">
        <v>51</v>
      </c>
      <c r="I361" s="8" t="s">
        <v>71</v>
      </c>
      <c r="J361" s="8" t="s">
        <v>32</v>
      </c>
      <c r="K361" s="8" t="s">
        <v>20</v>
      </c>
      <c r="L361" s="8" t="s">
        <v>2640</v>
      </c>
    </row>
    <row r="362" spans="1:12" x14ac:dyDescent="0.35">
      <c r="A362" s="11">
        <v>361</v>
      </c>
      <c r="B362" s="17">
        <v>45886.210393518522</v>
      </c>
      <c r="C362" s="18">
        <v>45886</v>
      </c>
      <c r="D362" s="10" t="s">
        <v>394</v>
      </c>
      <c r="E362" s="14">
        <v>500</v>
      </c>
      <c r="F362" s="5">
        <v>0</v>
      </c>
      <c r="G362" s="5">
        <v>18711.91</v>
      </c>
      <c r="H362" s="10" t="s">
        <v>51</v>
      </c>
      <c r="I362" s="10" t="s">
        <v>52</v>
      </c>
      <c r="J362" s="10" t="s">
        <v>32</v>
      </c>
      <c r="K362" s="10" t="s">
        <v>20</v>
      </c>
      <c r="L362" s="10" t="s">
        <v>1151</v>
      </c>
    </row>
    <row r="363" spans="1:12" x14ac:dyDescent="0.35">
      <c r="A363" s="9">
        <v>362</v>
      </c>
      <c r="B363" s="19">
        <v>45887.1015162037</v>
      </c>
      <c r="C363" s="20">
        <v>45887</v>
      </c>
      <c r="D363" s="8" t="s">
        <v>2527</v>
      </c>
      <c r="E363" s="3">
        <v>0</v>
      </c>
      <c r="F363" s="13">
        <v>6.44</v>
      </c>
      <c r="G363" s="3">
        <v>18718.349999999999</v>
      </c>
      <c r="H363" s="8" t="s">
        <v>51</v>
      </c>
      <c r="I363" s="8" t="s">
        <v>71</v>
      </c>
      <c r="J363" s="8" t="s">
        <v>32</v>
      </c>
      <c r="K363" s="8" t="s">
        <v>20</v>
      </c>
      <c r="L363" s="8" t="s">
        <v>2641</v>
      </c>
    </row>
    <row r="364" spans="1:12" x14ac:dyDescent="0.35">
      <c r="A364" s="11">
        <v>363</v>
      </c>
      <c r="B364" s="17">
        <v>45887.210324074083</v>
      </c>
      <c r="C364" s="18">
        <v>45887</v>
      </c>
      <c r="D364" s="10" t="s">
        <v>394</v>
      </c>
      <c r="E364" s="14">
        <v>500</v>
      </c>
      <c r="F364" s="5">
        <v>0</v>
      </c>
      <c r="G364" s="5">
        <v>18218.349999999999</v>
      </c>
      <c r="H364" s="10" t="s">
        <v>51</v>
      </c>
      <c r="I364" s="10" t="s">
        <v>52</v>
      </c>
      <c r="J364" s="10" t="s">
        <v>32</v>
      </c>
      <c r="K364" s="10" t="s">
        <v>20</v>
      </c>
      <c r="L364" s="10" t="s">
        <v>1152</v>
      </c>
    </row>
    <row r="365" spans="1:12" x14ac:dyDescent="0.35">
      <c r="A365" s="9">
        <v>364</v>
      </c>
      <c r="B365" s="19">
        <v>45887.551562499997</v>
      </c>
      <c r="C365" s="20">
        <v>45887</v>
      </c>
      <c r="D365" s="8" t="s">
        <v>394</v>
      </c>
      <c r="E365" s="12">
        <v>8100</v>
      </c>
      <c r="F365" s="3">
        <v>0</v>
      </c>
      <c r="G365" s="3">
        <v>10118.35</v>
      </c>
      <c r="H365" s="8" t="s">
        <v>51</v>
      </c>
      <c r="I365" s="8" t="s">
        <v>52</v>
      </c>
      <c r="J365" s="8" t="s">
        <v>32</v>
      </c>
      <c r="K365" s="8" t="s">
        <v>20</v>
      </c>
      <c r="L365" s="8" t="s">
        <v>1156</v>
      </c>
    </row>
    <row r="366" spans="1:12" x14ac:dyDescent="0.35">
      <c r="A366" s="11">
        <v>365</v>
      </c>
      <c r="B366" s="17">
        <v>45887.729768518519</v>
      </c>
      <c r="C366" s="18">
        <v>45887</v>
      </c>
      <c r="D366" s="10" t="s">
        <v>394</v>
      </c>
      <c r="E366" s="14">
        <v>2100</v>
      </c>
      <c r="F366" s="5">
        <v>0</v>
      </c>
      <c r="G366" s="5">
        <v>8018.35</v>
      </c>
      <c r="H366" s="10" t="s">
        <v>51</v>
      </c>
      <c r="I366" s="10" t="s">
        <v>52</v>
      </c>
      <c r="J366" s="10" t="s">
        <v>32</v>
      </c>
      <c r="K366" s="10" t="s">
        <v>20</v>
      </c>
      <c r="L366" s="10" t="s">
        <v>1159</v>
      </c>
    </row>
    <row r="367" spans="1:12" x14ac:dyDescent="0.35">
      <c r="A367" s="9">
        <v>366</v>
      </c>
      <c r="B367" s="19">
        <v>45888.129699074067</v>
      </c>
      <c r="C367" s="20">
        <v>45888</v>
      </c>
      <c r="D367" s="8" t="s">
        <v>2527</v>
      </c>
      <c r="E367" s="3">
        <v>0</v>
      </c>
      <c r="F367" s="13">
        <v>2.76</v>
      </c>
      <c r="G367" s="3">
        <v>8021.11</v>
      </c>
      <c r="H367" s="8" t="s">
        <v>51</v>
      </c>
      <c r="I367" s="8" t="s">
        <v>71</v>
      </c>
      <c r="J367" s="8" t="s">
        <v>32</v>
      </c>
      <c r="K367" s="8" t="s">
        <v>20</v>
      </c>
      <c r="L367" s="8" t="s">
        <v>2642</v>
      </c>
    </row>
    <row r="368" spans="1:12" x14ac:dyDescent="0.35">
      <c r="A368" s="11">
        <v>367</v>
      </c>
      <c r="B368" s="17">
        <v>45888.21025462963</v>
      </c>
      <c r="C368" s="18">
        <v>45888</v>
      </c>
      <c r="D368" s="10" t="s">
        <v>394</v>
      </c>
      <c r="E368" s="14">
        <v>500</v>
      </c>
      <c r="F368" s="5">
        <v>0</v>
      </c>
      <c r="G368" s="5">
        <v>7521.11</v>
      </c>
      <c r="H368" s="10" t="s">
        <v>51</v>
      </c>
      <c r="I368" s="10" t="s">
        <v>52</v>
      </c>
      <c r="J368" s="10" t="s">
        <v>32</v>
      </c>
      <c r="K368" s="10" t="s">
        <v>20</v>
      </c>
      <c r="L368" s="10" t="s">
        <v>1160</v>
      </c>
    </row>
    <row r="369" spans="1:12" x14ac:dyDescent="0.35">
      <c r="A369" s="9">
        <v>368</v>
      </c>
      <c r="B369" s="19">
        <v>45889.100138888891</v>
      </c>
      <c r="C369" s="20">
        <v>45889</v>
      </c>
      <c r="D369" s="8" t="s">
        <v>2527</v>
      </c>
      <c r="E369" s="3">
        <v>0</v>
      </c>
      <c r="F369" s="13">
        <v>2.59</v>
      </c>
      <c r="G369" s="3">
        <v>7523.7</v>
      </c>
      <c r="H369" s="8" t="s">
        <v>51</v>
      </c>
      <c r="I369" s="8" t="s">
        <v>71</v>
      </c>
      <c r="J369" s="8" t="s">
        <v>32</v>
      </c>
      <c r="K369" s="8" t="s">
        <v>20</v>
      </c>
      <c r="L369" s="8" t="s">
        <v>2643</v>
      </c>
    </row>
    <row r="370" spans="1:12" x14ac:dyDescent="0.35">
      <c r="A370" s="11">
        <v>369</v>
      </c>
      <c r="B370" s="17">
        <v>45889.210231481477</v>
      </c>
      <c r="C370" s="18">
        <v>45889</v>
      </c>
      <c r="D370" s="10" t="s">
        <v>394</v>
      </c>
      <c r="E370" s="14">
        <v>500</v>
      </c>
      <c r="F370" s="5">
        <v>0</v>
      </c>
      <c r="G370" s="5">
        <v>7023.7</v>
      </c>
      <c r="H370" s="10" t="s">
        <v>51</v>
      </c>
      <c r="I370" s="10" t="s">
        <v>52</v>
      </c>
      <c r="J370" s="10" t="s">
        <v>32</v>
      </c>
      <c r="K370" s="10" t="s">
        <v>20</v>
      </c>
      <c r="L370" s="10" t="s">
        <v>1162</v>
      </c>
    </row>
    <row r="371" spans="1:12" x14ac:dyDescent="0.35">
      <c r="A371" s="9">
        <v>370</v>
      </c>
      <c r="B371" s="19">
        <v>45889.350451388891</v>
      </c>
      <c r="C371" s="20">
        <v>45889</v>
      </c>
      <c r="D371" s="8" t="s">
        <v>394</v>
      </c>
      <c r="E371" s="12">
        <v>2100</v>
      </c>
      <c r="F371" s="3">
        <v>0</v>
      </c>
      <c r="G371" s="3">
        <v>4923.7</v>
      </c>
      <c r="H371" s="8" t="s">
        <v>51</v>
      </c>
      <c r="I371" s="8" t="s">
        <v>52</v>
      </c>
      <c r="J371" s="8" t="s">
        <v>32</v>
      </c>
      <c r="K371" s="8" t="s">
        <v>20</v>
      </c>
      <c r="L371" s="8" t="s">
        <v>1166</v>
      </c>
    </row>
    <row r="372" spans="1:12" x14ac:dyDescent="0.35">
      <c r="A372" s="11">
        <v>371</v>
      </c>
      <c r="B372" s="17">
        <v>45889.583402777767</v>
      </c>
      <c r="C372" s="18">
        <v>45889</v>
      </c>
      <c r="D372" s="10" t="s">
        <v>394</v>
      </c>
      <c r="E372" s="14">
        <v>1300</v>
      </c>
      <c r="F372" s="5">
        <v>0</v>
      </c>
      <c r="G372" s="5">
        <v>3623.7</v>
      </c>
      <c r="H372" s="10" t="s">
        <v>51</v>
      </c>
      <c r="I372" s="10" t="s">
        <v>52</v>
      </c>
      <c r="J372" s="10" t="s">
        <v>32</v>
      </c>
      <c r="K372" s="10" t="s">
        <v>20</v>
      </c>
      <c r="L372" s="10" t="s">
        <v>1169</v>
      </c>
    </row>
    <row r="373" spans="1:12" x14ac:dyDescent="0.35">
      <c r="A373" s="9">
        <v>372</v>
      </c>
      <c r="B373" s="19">
        <v>45890.124988425923</v>
      </c>
      <c r="C373" s="20">
        <v>45890</v>
      </c>
      <c r="D373" s="8" t="s">
        <v>2527</v>
      </c>
      <c r="E373" s="3">
        <v>0</v>
      </c>
      <c r="F373" s="13">
        <v>1.24</v>
      </c>
      <c r="G373" s="3">
        <v>3624.94</v>
      </c>
      <c r="H373" s="8" t="s">
        <v>51</v>
      </c>
      <c r="I373" s="8" t="s">
        <v>71</v>
      </c>
      <c r="J373" s="8" t="s">
        <v>32</v>
      </c>
      <c r="K373" s="8" t="s">
        <v>20</v>
      </c>
      <c r="L373" s="8" t="s">
        <v>2644</v>
      </c>
    </row>
    <row r="374" spans="1:12" x14ac:dyDescent="0.35">
      <c r="A374" s="11">
        <v>373</v>
      </c>
      <c r="B374" s="17">
        <v>45890.210219907407</v>
      </c>
      <c r="C374" s="18">
        <v>45890</v>
      </c>
      <c r="D374" s="10" t="s">
        <v>394</v>
      </c>
      <c r="E374" s="14">
        <v>500</v>
      </c>
      <c r="F374" s="5">
        <v>0</v>
      </c>
      <c r="G374" s="5">
        <v>3124.94</v>
      </c>
      <c r="H374" s="10" t="s">
        <v>51</v>
      </c>
      <c r="I374" s="10" t="s">
        <v>52</v>
      </c>
      <c r="J374" s="10" t="s">
        <v>32</v>
      </c>
      <c r="K374" s="10" t="s">
        <v>20</v>
      </c>
      <c r="L374" s="10" t="s">
        <v>1170</v>
      </c>
    </row>
    <row r="375" spans="1:12" x14ac:dyDescent="0.35">
      <c r="A375" s="9">
        <v>374</v>
      </c>
      <c r="B375" s="19">
        <v>45890.92597222222</v>
      </c>
      <c r="C375" s="20">
        <v>45890</v>
      </c>
      <c r="D375" s="8" t="s">
        <v>426</v>
      </c>
      <c r="E375" s="3">
        <v>0</v>
      </c>
      <c r="F375" s="13">
        <v>6650</v>
      </c>
      <c r="G375" s="3">
        <v>9774.94</v>
      </c>
      <c r="H375" s="8" t="s">
        <v>51</v>
      </c>
      <c r="I375" s="8" t="s">
        <v>71</v>
      </c>
      <c r="J375" s="8" t="s">
        <v>32</v>
      </c>
      <c r="K375" s="8" t="s">
        <v>20</v>
      </c>
      <c r="L375" s="8" t="s">
        <v>1179</v>
      </c>
    </row>
    <row r="376" spans="1:12" x14ac:dyDescent="0.35">
      <c r="A376" s="11">
        <v>375</v>
      </c>
      <c r="B376" s="17">
        <v>45891.096921296303</v>
      </c>
      <c r="C376" s="18">
        <v>45891</v>
      </c>
      <c r="D376" s="10" t="s">
        <v>2527</v>
      </c>
      <c r="E376" s="5">
        <v>0</v>
      </c>
      <c r="F376" s="15">
        <v>1.07</v>
      </c>
      <c r="G376" s="5">
        <v>9776.01</v>
      </c>
      <c r="H376" s="10" t="s">
        <v>51</v>
      </c>
      <c r="I376" s="10" t="s">
        <v>71</v>
      </c>
      <c r="J376" s="10" t="s">
        <v>32</v>
      </c>
      <c r="K376" s="10" t="s">
        <v>20</v>
      </c>
      <c r="L376" s="10" t="s">
        <v>2645</v>
      </c>
    </row>
    <row r="377" spans="1:12" x14ac:dyDescent="0.35">
      <c r="A377" s="9">
        <v>376</v>
      </c>
      <c r="B377" s="19">
        <v>45891.21020833333</v>
      </c>
      <c r="C377" s="20">
        <v>45891</v>
      </c>
      <c r="D377" s="8" t="s">
        <v>394</v>
      </c>
      <c r="E377" s="12">
        <v>500</v>
      </c>
      <c r="F377" s="3">
        <v>0</v>
      </c>
      <c r="G377" s="3">
        <v>9276.01</v>
      </c>
      <c r="H377" s="8" t="s">
        <v>51</v>
      </c>
      <c r="I377" s="8" t="s">
        <v>52</v>
      </c>
      <c r="J377" s="8" t="s">
        <v>32</v>
      </c>
      <c r="K377" s="8" t="s">
        <v>20</v>
      </c>
      <c r="L377" s="8" t="s">
        <v>1180</v>
      </c>
    </row>
    <row r="378" spans="1:12" x14ac:dyDescent="0.35">
      <c r="A378" s="11">
        <v>377</v>
      </c>
      <c r="B378" s="17">
        <v>45891.998113425929</v>
      </c>
      <c r="C378" s="18">
        <v>45891</v>
      </c>
      <c r="D378" s="10" t="s">
        <v>394</v>
      </c>
      <c r="E378" s="14">
        <v>3000</v>
      </c>
      <c r="F378" s="5">
        <v>0</v>
      </c>
      <c r="G378" s="5">
        <v>6276.01</v>
      </c>
      <c r="H378" s="10" t="s">
        <v>51</v>
      </c>
      <c r="I378" s="10" t="s">
        <v>52</v>
      </c>
      <c r="J378" s="10" t="s">
        <v>32</v>
      </c>
      <c r="K378" s="10" t="s">
        <v>20</v>
      </c>
      <c r="L378" s="10" t="s">
        <v>1184</v>
      </c>
    </row>
    <row r="379" spans="1:12" x14ac:dyDescent="0.35">
      <c r="A379" s="9">
        <v>378</v>
      </c>
      <c r="B379" s="19">
        <v>45892.125671296293</v>
      </c>
      <c r="C379" s="20">
        <v>45892</v>
      </c>
      <c r="D379" s="8" t="s">
        <v>2527</v>
      </c>
      <c r="E379" s="3">
        <v>0</v>
      </c>
      <c r="F379" s="13">
        <v>2.16</v>
      </c>
      <c r="G379" s="3">
        <v>6278.17</v>
      </c>
      <c r="H379" s="8" t="s">
        <v>51</v>
      </c>
      <c r="I379" s="8" t="s">
        <v>71</v>
      </c>
      <c r="J379" s="8" t="s">
        <v>32</v>
      </c>
      <c r="K379" s="8" t="s">
        <v>20</v>
      </c>
      <c r="L379" s="8" t="s">
        <v>2646</v>
      </c>
    </row>
    <row r="380" spans="1:12" x14ac:dyDescent="0.35">
      <c r="A380" s="11">
        <v>379</v>
      </c>
      <c r="B380" s="17">
        <v>45892.210196759261</v>
      </c>
      <c r="C380" s="18">
        <v>45892</v>
      </c>
      <c r="D380" s="10" t="s">
        <v>394</v>
      </c>
      <c r="E380" s="14">
        <v>500</v>
      </c>
      <c r="F380" s="5">
        <v>0</v>
      </c>
      <c r="G380" s="5">
        <v>5778.17</v>
      </c>
      <c r="H380" s="10" t="s">
        <v>51</v>
      </c>
      <c r="I380" s="10" t="s">
        <v>52</v>
      </c>
      <c r="J380" s="10" t="s">
        <v>32</v>
      </c>
      <c r="K380" s="10" t="s">
        <v>20</v>
      </c>
      <c r="L380" s="10" t="s">
        <v>1185</v>
      </c>
    </row>
    <row r="381" spans="1:12" x14ac:dyDescent="0.35">
      <c r="A381" s="9">
        <v>380</v>
      </c>
      <c r="B381" s="19">
        <v>45892.68959490741</v>
      </c>
      <c r="C381" s="20">
        <v>45892</v>
      </c>
      <c r="D381" s="8" t="s">
        <v>394</v>
      </c>
      <c r="E381" s="12">
        <v>1500</v>
      </c>
      <c r="F381" s="3">
        <v>0</v>
      </c>
      <c r="G381" s="3">
        <v>4278.17</v>
      </c>
      <c r="H381" s="8" t="s">
        <v>51</v>
      </c>
      <c r="I381" s="8" t="s">
        <v>52</v>
      </c>
      <c r="J381" s="8" t="s">
        <v>32</v>
      </c>
      <c r="K381" s="8" t="s">
        <v>20</v>
      </c>
      <c r="L381" s="8" t="s">
        <v>1189</v>
      </c>
    </row>
    <row r="382" spans="1:12" x14ac:dyDescent="0.35">
      <c r="A382" s="11">
        <v>381</v>
      </c>
      <c r="B382" s="17">
        <v>45892.711226851847</v>
      </c>
      <c r="C382" s="18">
        <v>45892</v>
      </c>
      <c r="D382" s="10" t="s">
        <v>394</v>
      </c>
      <c r="E382" s="14">
        <v>1500</v>
      </c>
      <c r="F382" s="5">
        <v>0</v>
      </c>
      <c r="G382" s="5">
        <v>2778.17</v>
      </c>
      <c r="H382" s="10" t="s">
        <v>51</v>
      </c>
      <c r="I382" s="10" t="s">
        <v>52</v>
      </c>
      <c r="J382" s="10" t="s">
        <v>32</v>
      </c>
      <c r="K382" s="10" t="s">
        <v>20</v>
      </c>
      <c r="L382" s="10" t="s">
        <v>1192</v>
      </c>
    </row>
    <row r="383" spans="1:12" x14ac:dyDescent="0.35">
      <c r="A383" s="9">
        <v>382</v>
      </c>
      <c r="B383" s="19">
        <v>45893.094004629631</v>
      </c>
      <c r="C383" s="20">
        <v>45893</v>
      </c>
      <c r="D383" s="8" t="s">
        <v>2527</v>
      </c>
      <c r="E383" s="3">
        <v>0</v>
      </c>
      <c r="F383" s="13">
        <v>0.95</v>
      </c>
      <c r="G383" s="3">
        <v>2779.12</v>
      </c>
      <c r="H383" s="8" t="s">
        <v>51</v>
      </c>
      <c r="I383" s="8" t="s">
        <v>71</v>
      </c>
      <c r="J383" s="8" t="s">
        <v>32</v>
      </c>
      <c r="K383" s="8" t="s">
        <v>20</v>
      </c>
      <c r="L383" s="8" t="s">
        <v>2647</v>
      </c>
    </row>
    <row r="384" spans="1:12" x14ac:dyDescent="0.35">
      <c r="A384" s="11">
        <v>383</v>
      </c>
      <c r="B384" s="17">
        <v>45893.210162037038</v>
      </c>
      <c r="C384" s="18">
        <v>45893</v>
      </c>
      <c r="D384" s="10" t="s">
        <v>394</v>
      </c>
      <c r="E384" s="14">
        <v>500</v>
      </c>
      <c r="F384" s="5">
        <v>0</v>
      </c>
      <c r="G384" s="5">
        <v>2279.12</v>
      </c>
      <c r="H384" s="10" t="s">
        <v>51</v>
      </c>
      <c r="I384" s="10" t="s">
        <v>52</v>
      </c>
      <c r="J384" s="10" t="s">
        <v>32</v>
      </c>
      <c r="K384" s="10" t="s">
        <v>20</v>
      </c>
      <c r="L384" s="10" t="s">
        <v>1193</v>
      </c>
    </row>
    <row r="385" spans="1:12" x14ac:dyDescent="0.35">
      <c r="A385" s="9">
        <v>384</v>
      </c>
      <c r="B385" s="19">
        <v>45893.474872685183</v>
      </c>
      <c r="C385" s="20">
        <v>45893</v>
      </c>
      <c r="D385" s="8" t="s">
        <v>394</v>
      </c>
      <c r="E385" s="12">
        <v>1500</v>
      </c>
      <c r="F385" s="3">
        <v>0</v>
      </c>
      <c r="G385" s="3">
        <v>779.12</v>
      </c>
      <c r="H385" s="8" t="s">
        <v>51</v>
      </c>
      <c r="I385" s="8" t="s">
        <v>52</v>
      </c>
      <c r="J385" s="8" t="s">
        <v>32</v>
      </c>
      <c r="K385" s="8" t="s">
        <v>20</v>
      </c>
      <c r="L385" s="8" t="s">
        <v>1197</v>
      </c>
    </row>
    <row r="386" spans="1:12" x14ac:dyDescent="0.35">
      <c r="A386" s="11">
        <v>385</v>
      </c>
      <c r="B386" s="17">
        <v>45894.119780092587</v>
      </c>
      <c r="C386" s="18">
        <v>45894</v>
      </c>
      <c r="D386" s="10" t="s">
        <v>2527</v>
      </c>
      <c r="E386" s="5">
        <v>0</v>
      </c>
      <c r="F386" s="15">
        <v>0.26</v>
      </c>
      <c r="G386" s="5">
        <v>779.38</v>
      </c>
      <c r="H386" s="10" t="s">
        <v>51</v>
      </c>
      <c r="I386" s="10" t="s">
        <v>71</v>
      </c>
      <c r="J386" s="10" t="s">
        <v>32</v>
      </c>
      <c r="K386" s="10" t="s">
        <v>20</v>
      </c>
      <c r="L386" s="10" t="s">
        <v>2648</v>
      </c>
    </row>
    <row r="387" spans="1:12" x14ac:dyDescent="0.35">
      <c r="A387" s="9">
        <v>386</v>
      </c>
      <c r="B387" s="19">
        <v>45894.209861111107</v>
      </c>
      <c r="C387" s="20">
        <v>45894</v>
      </c>
      <c r="D387" s="8" t="s">
        <v>394</v>
      </c>
      <c r="E387" s="12">
        <v>500</v>
      </c>
      <c r="F387" s="3">
        <v>0</v>
      </c>
      <c r="G387" s="3">
        <v>279.38</v>
      </c>
      <c r="H387" s="8" t="s">
        <v>51</v>
      </c>
      <c r="I387" s="8" t="s">
        <v>52</v>
      </c>
      <c r="J387" s="8" t="s">
        <v>32</v>
      </c>
      <c r="K387" s="8" t="s">
        <v>20</v>
      </c>
      <c r="L387" s="8" t="s">
        <v>1199</v>
      </c>
    </row>
    <row r="388" spans="1:12" x14ac:dyDescent="0.35">
      <c r="A388" s="11">
        <v>387</v>
      </c>
      <c r="B388" s="17">
        <v>45894.925995370373</v>
      </c>
      <c r="C388" s="18">
        <v>45894</v>
      </c>
      <c r="D388" s="10" t="s">
        <v>426</v>
      </c>
      <c r="E388" s="5">
        <v>0</v>
      </c>
      <c r="F388" s="15">
        <v>7420</v>
      </c>
      <c r="G388" s="5">
        <v>7699.38</v>
      </c>
      <c r="H388" s="10" t="s">
        <v>51</v>
      </c>
      <c r="I388" s="10" t="s">
        <v>71</v>
      </c>
      <c r="J388" s="10" t="s">
        <v>32</v>
      </c>
      <c r="K388" s="10" t="s">
        <v>20</v>
      </c>
      <c r="L388" s="10" t="s">
        <v>1210</v>
      </c>
    </row>
    <row r="389" spans="1:12" x14ac:dyDescent="0.35">
      <c r="A389" s="9">
        <v>388</v>
      </c>
      <c r="B389" s="19">
        <v>45895.091516203713</v>
      </c>
      <c r="C389" s="20">
        <v>45895</v>
      </c>
      <c r="D389" s="8" t="s">
        <v>2527</v>
      </c>
      <c r="E389" s="3">
        <v>0</v>
      </c>
      <c r="F389" s="13">
        <v>0.09</v>
      </c>
      <c r="G389" s="3">
        <v>7699.47</v>
      </c>
      <c r="H389" s="8" t="s">
        <v>51</v>
      </c>
      <c r="I389" s="8" t="s">
        <v>71</v>
      </c>
      <c r="J389" s="8" t="s">
        <v>32</v>
      </c>
      <c r="K389" s="8" t="s">
        <v>20</v>
      </c>
      <c r="L389" s="8" t="s">
        <v>2649</v>
      </c>
    </row>
    <row r="390" spans="1:12" x14ac:dyDescent="0.35">
      <c r="A390" s="11">
        <v>389</v>
      </c>
      <c r="B390" s="17">
        <v>45895.209768518522</v>
      </c>
      <c r="C390" s="18">
        <v>45895</v>
      </c>
      <c r="D390" s="10" t="s">
        <v>394</v>
      </c>
      <c r="E390" s="14">
        <v>500</v>
      </c>
      <c r="F390" s="5">
        <v>0</v>
      </c>
      <c r="G390" s="5">
        <v>7199.47</v>
      </c>
      <c r="H390" s="10" t="s">
        <v>51</v>
      </c>
      <c r="I390" s="10" t="s">
        <v>52</v>
      </c>
      <c r="J390" s="10" t="s">
        <v>32</v>
      </c>
      <c r="K390" s="10" t="s">
        <v>20</v>
      </c>
      <c r="L390" s="10" t="s">
        <v>1211</v>
      </c>
    </row>
    <row r="391" spans="1:12" x14ac:dyDescent="0.35">
      <c r="A391" s="9">
        <v>390</v>
      </c>
      <c r="B391" s="19">
        <v>45896.116261574083</v>
      </c>
      <c r="C391" s="20">
        <v>45896</v>
      </c>
      <c r="D391" s="8" t="s">
        <v>2527</v>
      </c>
      <c r="E391" s="3">
        <v>0</v>
      </c>
      <c r="F391" s="13">
        <v>2.4700000000000002</v>
      </c>
      <c r="G391" s="3">
        <v>7201.94</v>
      </c>
      <c r="H391" s="8" t="s">
        <v>51</v>
      </c>
      <c r="I391" s="8" t="s">
        <v>71</v>
      </c>
      <c r="J391" s="8" t="s">
        <v>32</v>
      </c>
      <c r="K391" s="8" t="s">
        <v>20</v>
      </c>
      <c r="L391" s="8" t="s">
        <v>2650</v>
      </c>
    </row>
    <row r="392" spans="1:12" x14ac:dyDescent="0.35">
      <c r="A392" s="11">
        <v>391</v>
      </c>
      <c r="B392" s="17">
        <v>45896.210416666669</v>
      </c>
      <c r="C392" s="18">
        <v>45896</v>
      </c>
      <c r="D392" s="10" t="s">
        <v>394</v>
      </c>
      <c r="E392" s="14">
        <v>500</v>
      </c>
      <c r="F392" s="5">
        <v>0</v>
      </c>
      <c r="G392" s="5">
        <v>6701.94</v>
      </c>
      <c r="H392" s="10" t="s">
        <v>51</v>
      </c>
      <c r="I392" s="10" t="s">
        <v>52</v>
      </c>
      <c r="J392" s="10" t="s">
        <v>32</v>
      </c>
      <c r="K392" s="10" t="s">
        <v>20</v>
      </c>
      <c r="L392" s="10" t="s">
        <v>1213</v>
      </c>
    </row>
    <row r="393" spans="1:12" x14ac:dyDescent="0.35">
      <c r="A393" s="9">
        <v>392</v>
      </c>
      <c r="B393" s="19">
        <v>45897.094247685192</v>
      </c>
      <c r="C393" s="20">
        <v>45897</v>
      </c>
      <c r="D393" s="8" t="s">
        <v>2527</v>
      </c>
      <c r="E393" s="3">
        <v>0</v>
      </c>
      <c r="F393" s="13">
        <v>2.2999999999999998</v>
      </c>
      <c r="G393" s="3">
        <v>6704.24</v>
      </c>
      <c r="H393" s="8" t="s">
        <v>51</v>
      </c>
      <c r="I393" s="8" t="s">
        <v>71</v>
      </c>
      <c r="J393" s="8" t="s">
        <v>32</v>
      </c>
      <c r="K393" s="8" t="s">
        <v>20</v>
      </c>
      <c r="L393" s="8" t="s">
        <v>2651</v>
      </c>
    </row>
    <row r="394" spans="1:12" x14ac:dyDescent="0.35">
      <c r="A394" s="11">
        <v>393</v>
      </c>
      <c r="B394" s="17">
        <v>45897.209756944438</v>
      </c>
      <c r="C394" s="18">
        <v>45897</v>
      </c>
      <c r="D394" s="10" t="s">
        <v>394</v>
      </c>
      <c r="E394" s="14">
        <v>500</v>
      </c>
      <c r="F394" s="5">
        <v>0</v>
      </c>
      <c r="G394" s="5">
        <v>6204.24</v>
      </c>
      <c r="H394" s="10" t="s">
        <v>51</v>
      </c>
      <c r="I394" s="10" t="s">
        <v>52</v>
      </c>
      <c r="J394" s="10" t="s">
        <v>32</v>
      </c>
      <c r="K394" s="10" t="s">
        <v>20</v>
      </c>
      <c r="L394" s="10" t="s">
        <v>1216</v>
      </c>
    </row>
    <row r="395" spans="1:12" x14ac:dyDescent="0.35">
      <c r="A395" s="9">
        <v>394</v>
      </c>
      <c r="B395" s="19">
        <v>45897.314039351862</v>
      </c>
      <c r="C395" s="20">
        <v>45897</v>
      </c>
      <c r="D395" s="8" t="s">
        <v>394</v>
      </c>
      <c r="E395" s="12">
        <v>500</v>
      </c>
      <c r="F395" s="3">
        <v>0</v>
      </c>
      <c r="G395" s="3">
        <v>5704.24</v>
      </c>
      <c r="H395" s="8" t="s">
        <v>51</v>
      </c>
      <c r="I395" s="8" t="s">
        <v>52</v>
      </c>
      <c r="J395" s="8" t="s">
        <v>32</v>
      </c>
      <c r="K395" s="8" t="s">
        <v>20</v>
      </c>
      <c r="L395" s="8" t="s">
        <v>1218</v>
      </c>
    </row>
    <row r="396" spans="1:12" x14ac:dyDescent="0.35">
      <c r="A396" s="11">
        <v>395</v>
      </c>
      <c r="B396" s="17">
        <v>45897.758460648147</v>
      </c>
      <c r="C396" s="18">
        <v>45897</v>
      </c>
      <c r="D396" s="10" t="s">
        <v>394</v>
      </c>
      <c r="E396" s="14">
        <v>2000</v>
      </c>
      <c r="F396" s="5">
        <v>0</v>
      </c>
      <c r="G396" s="5">
        <v>3704.24</v>
      </c>
      <c r="H396" s="10" t="s">
        <v>51</v>
      </c>
      <c r="I396" s="10" t="s">
        <v>52</v>
      </c>
      <c r="J396" s="10" t="s">
        <v>32</v>
      </c>
      <c r="K396" s="10" t="s">
        <v>20</v>
      </c>
      <c r="L396" s="10" t="s">
        <v>1220</v>
      </c>
    </row>
    <row r="397" spans="1:12" x14ac:dyDescent="0.35">
      <c r="A397" s="9">
        <v>396</v>
      </c>
      <c r="B397" s="19">
        <v>45898.117222222223</v>
      </c>
      <c r="C397" s="20">
        <v>45898</v>
      </c>
      <c r="D397" s="8" t="s">
        <v>2527</v>
      </c>
      <c r="E397" s="3">
        <v>0</v>
      </c>
      <c r="F397" s="13">
        <v>1.26</v>
      </c>
      <c r="G397" s="3">
        <v>3705.5</v>
      </c>
      <c r="H397" s="8" t="s">
        <v>51</v>
      </c>
      <c r="I397" s="8" t="s">
        <v>71</v>
      </c>
      <c r="J397" s="8" t="s">
        <v>32</v>
      </c>
      <c r="K397" s="8" t="s">
        <v>20</v>
      </c>
      <c r="L397" s="8" t="s">
        <v>2652</v>
      </c>
    </row>
    <row r="398" spans="1:12" x14ac:dyDescent="0.35">
      <c r="A398" s="11">
        <v>397</v>
      </c>
      <c r="B398" s="17">
        <v>45898.210092592592</v>
      </c>
      <c r="C398" s="18">
        <v>45898</v>
      </c>
      <c r="D398" s="10" t="s">
        <v>394</v>
      </c>
      <c r="E398" s="14">
        <v>500</v>
      </c>
      <c r="F398" s="5">
        <v>0</v>
      </c>
      <c r="G398" s="5">
        <v>3205.5</v>
      </c>
      <c r="H398" s="10" t="s">
        <v>51</v>
      </c>
      <c r="I398" s="10" t="s">
        <v>52</v>
      </c>
      <c r="J398" s="10" t="s">
        <v>32</v>
      </c>
      <c r="K398" s="10" t="s">
        <v>20</v>
      </c>
      <c r="L398" s="10" t="s">
        <v>1222</v>
      </c>
    </row>
    <row r="399" spans="1:12" x14ac:dyDescent="0.35">
      <c r="A399" s="9">
        <v>398</v>
      </c>
      <c r="B399" s="19">
        <v>45899.099374999998</v>
      </c>
      <c r="C399" s="20">
        <v>45899</v>
      </c>
      <c r="D399" s="8" t="s">
        <v>2527</v>
      </c>
      <c r="E399" s="3">
        <v>0</v>
      </c>
      <c r="F399" s="13">
        <v>1.0900000000000001</v>
      </c>
      <c r="G399" s="3">
        <v>3206.59</v>
      </c>
      <c r="H399" s="8" t="s">
        <v>51</v>
      </c>
      <c r="I399" s="8" t="s">
        <v>71</v>
      </c>
      <c r="J399" s="8" t="s">
        <v>32</v>
      </c>
      <c r="K399" s="8" t="s">
        <v>20</v>
      </c>
      <c r="L399" s="8" t="s">
        <v>2653</v>
      </c>
    </row>
    <row r="400" spans="1:12" x14ac:dyDescent="0.35">
      <c r="A400" s="11">
        <v>399</v>
      </c>
      <c r="B400" s="17">
        <v>45899.210092592592</v>
      </c>
      <c r="C400" s="18">
        <v>45899</v>
      </c>
      <c r="D400" s="10" t="s">
        <v>394</v>
      </c>
      <c r="E400" s="14">
        <v>500</v>
      </c>
      <c r="F400" s="5">
        <v>0</v>
      </c>
      <c r="G400" s="5">
        <v>2706.59</v>
      </c>
      <c r="H400" s="10" t="s">
        <v>51</v>
      </c>
      <c r="I400" s="10" t="s">
        <v>52</v>
      </c>
      <c r="J400" s="10" t="s">
        <v>32</v>
      </c>
      <c r="K400" s="10" t="s">
        <v>20</v>
      </c>
      <c r="L400" s="10" t="s">
        <v>1223</v>
      </c>
    </row>
    <row r="401" spans="1:12" x14ac:dyDescent="0.35">
      <c r="A401" s="9">
        <v>400</v>
      </c>
      <c r="B401" s="19">
        <v>45900.122523148151</v>
      </c>
      <c r="C401" s="20">
        <v>45900</v>
      </c>
      <c r="D401" s="8" t="s">
        <v>2527</v>
      </c>
      <c r="E401" s="3">
        <v>0</v>
      </c>
      <c r="F401" s="13">
        <v>0.92</v>
      </c>
      <c r="G401" s="3">
        <v>2707.51</v>
      </c>
      <c r="H401" s="8" t="s">
        <v>51</v>
      </c>
      <c r="I401" s="8" t="s">
        <v>71</v>
      </c>
      <c r="J401" s="8" t="s">
        <v>32</v>
      </c>
      <c r="K401" s="8" t="s">
        <v>20</v>
      </c>
      <c r="L401" s="8" t="s">
        <v>2654</v>
      </c>
    </row>
    <row r="402" spans="1:12" x14ac:dyDescent="0.35">
      <c r="A402" s="11">
        <v>401</v>
      </c>
      <c r="B402" s="17">
        <v>45900.20994212963</v>
      </c>
      <c r="C402" s="18">
        <v>45900</v>
      </c>
      <c r="D402" s="10" t="s">
        <v>394</v>
      </c>
      <c r="E402" s="14">
        <v>500</v>
      </c>
      <c r="F402" s="5">
        <v>0</v>
      </c>
      <c r="G402" s="5">
        <v>2207.5100000000002</v>
      </c>
      <c r="H402" s="10" t="s">
        <v>51</v>
      </c>
      <c r="I402" s="10" t="s">
        <v>52</v>
      </c>
      <c r="J402" s="10" t="s">
        <v>32</v>
      </c>
      <c r="K402" s="10" t="s">
        <v>20</v>
      </c>
      <c r="L402" s="10" t="s">
        <v>1225</v>
      </c>
    </row>
    <row r="403" spans="1:12" x14ac:dyDescent="0.35">
      <c r="A403" s="9">
        <v>402</v>
      </c>
      <c r="B403" s="19">
        <v>45901.100717592592</v>
      </c>
      <c r="C403" s="20">
        <v>45901</v>
      </c>
      <c r="D403" s="8" t="s">
        <v>2527</v>
      </c>
      <c r="E403" s="3">
        <v>0</v>
      </c>
      <c r="F403" s="13">
        <v>0.75</v>
      </c>
      <c r="G403" s="3">
        <v>2208.2600000000002</v>
      </c>
      <c r="H403" s="8" t="s">
        <v>51</v>
      </c>
      <c r="I403" s="8" t="s">
        <v>71</v>
      </c>
      <c r="J403" s="8" t="s">
        <v>32</v>
      </c>
      <c r="K403" s="8" t="s">
        <v>21</v>
      </c>
      <c r="L403" s="8" t="s">
        <v>2655</v>
      </c>
    </row>
    <row r="404" spans="1:12" x14ac:dyDescent="0.35">
      <c r="A404" s="11">
        <v>403</v>
      </c>
      <c r="B404" s="17">
        <v>45901.210138888891</v>
      </c>
      <c r="C404" s="18">
        <v>45901</v>
      </c>
      <c r="D404" s="10" t="s">
        <v>394</v>
      </c>
      <c r="E404" s="14">
        <v>500</v>
      </c>
      <c r="F404" s="5">
        <v>0</v>
      </c>
      <c r="G404" s="5">
        <v>1708.26</v>
      </c>
      <c r="H404" s="10" t="s">
        <v>51</v>
      </c>
      <c r="I404" s="10" t="s">
        <v>52</v>
      </c>
      <c r="J404" s="10" t="s">
        <v>32</v>
      </c>
      <c r="K404" s="10" t="s">
        <v>21</v>
      </c>
      <c r="L404" s="10" t="s">
        <v>1228</v>
      </c>
    </row>
    <row r="405" spans="1:12" x14ac:dyDescent="0.35">
      <c r="A405" s="9">
        <v>404</v>
      </c>
      <c r="B405" s="19">
        <v>45902.124479166669</v>
      </c>
      <c r="C405" s="20">
        <v>45902</v>
      </c>
      <c r="D405" s="8" t="s">
        <v>2527</v>
      </c>
      <c r="E405" s="3">
        <v>0</v>
      </c>
      <c r="F405" s="13">
        <v>0.57999999999999996</v>
      </c>
      <c r="G405" s="3">
        <v>1708.84</v>
      </c>
      <c r="H405" s="8" t="s">
        <v>51</v>
      </c>
      <c r="I405" s="8" t="s">
        <v>71</v>
      </c>
      <c r="J405" s="8" t="s">
        <v>32</v>
      </c>
      <c r="K405" s="8" t="s">
        <v>21</v>
      </c>
      <c r="L405" s="8" t="s">
        <v>2656</v>
      </c>
    </row>
    <row r="406" spans="1:12" x14ac:dyDescent="0.35">
      <c r="A406" s="11">
        <v>405</v>
      </c>
      <c r="B406" s="17">
        <v>45902.209965277783</v>
      </c>
      <c r="C406" s="18">
        <v>45902</v>
      </c>
      <c r="D406" s="10" t="s">
        <v>394</v>
      </c>
      <c r="E406" s="14">
        <v>500</v>
      </c>
      <c r="F406" s="5">
        <v>0</v>
      </c>
      <c r="G406" s="5">
        <v>1208.8399999999999</v>
      </c>
      <c r="H406" s="10" t="s">
        <v>51</v>
      </c>
      <c r="I406" s="10" t="s">
        <v>52</v>
      </c>
      <c r="J406" s="10" t="s">
        <v>32</v>
      </c>
      <c r="K406" s="10" t="s">
        <v>21</v>
      </c>
      <c r="L406" s="10" t="s">
        <v>1229</v>
      </c>
    </row>
    <row r="407" spans="1:12" x14ac:dyDescent="0.35">
      <c r="A407" s="9">
        <v>406</v>
      </c>
      <c r="B407" s="19">
        <v>45902.927106481482</v>
      </c>
      <c r="C407" s="20">
        <v>45902</v>
      </c>
      <c r="D407" s="8" t="s">
        <v>426</v>
      </c>
      <c r="E407" s="3">
        <v>0</v>
      </c>
      <c r="F407" s="13">
        <v>5950</v>
      </c>
      <c r="G407" s="3">
        <v>7158.84</v>
      </c>
      <c r="H407" s="8" t="s">
        <v>51</v>
      </c>
      <c r="I407" s="8" t="s">
        <v>71</v>
      </c>
      <c r="J407" s="8" t="s">
        <v>32</v>
      </c>
      <c r="K407" s="8" t="s">
        <v>21</v>
      </c>
      <c r="L407" s="8" t="s">
        <v>1237</v>
      </c>
    </row>
    <row r="408" spans="1:12" x14ac:dyDescent="0.35">
      <c r="A408" s="11">
        <v>407</v>
      </c>
      <c r="B408" s="17">
        <v>45903.097546296303</v>
      </c>
      <c r="C408" s="18">
        <v>45903</v>
      </c>
      <c r="D408" s="10" t="s">
        <v>2527</v>
      </c>
      <c r="E408" s="5">
        <v>0</v>
      </c>
      <c r="F408" s="15">
        <v>0.41</v>
      </c>
      <c r="G408" s="5">
        <v>7159.25</v>
      </c>
      <c r="H408" s="10" t="s">
        <v>51</v>
      </c>
      <c r="I408" s="10" t="s">
        <v>71</v>
      </c>
      <c r="J408" s="10" t="s">
        <v>32</v>
      </c>
      <c r="K408" s="10" t="s">
        <v>21</v>
      </c>
      <c r="L408" s="10" t="s">
        <v>2657</v>
      </c>
    </row>
    <row r="409" spans="1:12" x14ac:dyDescent="0.35">
      <c r="A409" s="9">
        <v>408</v>
      </c>
      <c r="B409" s="19">
        <v>45903.210011574083</v>
      </c>
      <c r="C409" s="20">
        <v>45903</v>
      </c>
      <c r="D409" s="8" t="s">
        <v>394</v>
      </c>
      <c r="E409" s="12">
        <v>500</v>
      </c>
      <c r="F409" s="3">
        <v>0</v>
      </c>
      <c r="G409" s="3">
        <v>6659.25</v>
      </c>
      <c r="H409" s="8" t="s">
        <v>51</v>
      </c>
      <c r="I409" s="8" t="s">
        <v>52</v>
      </c>
      <c r="J409" s="8" t="s">
        <v>32</v>
      </c>
      <c r="K409" s="8" t="s">
        <v>21</v>
      </c>
      <c r="L409" s="8" t="s">
        <v>1238</v>
      </c>
    </row>
    <row r="410" spans="1:12" x14ac:dyDescent="0.35">
      <c r="A410" s="11">
        <v>409</v>
      </c>
      <c r="B410" s="17">
        <v>45903.36986111111</v>
      </c>
      <c r="C410" s="18">
        <v>45903</v>
      </c>
      <c r="D410" s="10" t="s">
        <v>394</v>
      </c>
      <c r="E410" s="14">
        <v>1000</v>
      </c>
      <c r="F410" s="5">
        <v>0</v>
      </c>
      <c r="G410" s="5">
        <v>5659.25</v>
      </c>
      <c r="H410" s="10" t="s">
        <v>51</v>
      </c>
      <c r="I410" s="10" t="s">
        <v>52</v>
      </c>
      <c r="J410" s="10" t="s">
        <v>32</v>
      </c>
      <c r="K410" s="10" t="s">
        <v>21</v>
      </c>
      <c r="L410" s="10" t="s">
        <v>1241</v>
      </c>
    </row>
    <row r="411" spans="1:12" x14ac:dyDescent="0.35">
      <c r="A411" s="9">
        <v>410</v>
      </c>
      <c r="B411" s="19">
        <v>45903.576956018522</v>
      </c>
      <c r="C411" s="20">
        <v>45903</v>
      </c>
      <c r="D411" s="8" t="s">
        <v>394</v>
      </c>
      <c r="E411" s="12">
        <v>1300</v>
      </c>
      <c r="F411" s="3">
        <v>0</v>
      </c>
      <c r="G411" s="3">
        <v>4359.25</v>
      </c>
      <c r="H411" s="8" t="s">
        <v>51</v>
      </c>
      <c r="I411" s="8" t="s">
        <v>52</v>
      </c>
      <c r="J411" s="8" t="s">
        <v>32</v>
      </c>
      <c r="K411" s="8" t="s">
        <v>21</v>
      </c>
      <c r="L411" s="8" t="s">
        <v>1243</v>
      </c>
    </row>
    <row r="412" spans="1:12" x14ac:dyDescent="0.35">
      <c r="A412" s="11">
        <v>411</v>
      </c>
      <c r="B412" s="17">
        <v>45903.926493055558</v>
      </c>
      <c r="C412" s="18">
        <v>45903</v>
      </c>
      <c r="D412" s="10" t="s">
        <v>426</v>
      </c>
      <c r="E412" s="5">
        <v>0</v>
      </c>
      <c r="F412" s="15">
        <v>79950</v>
      </c>
      <c r="G412" s="5">
        <v>84309.25</v>
      </c>
      <c r="H412" s="10" t="s">
        <v>51</v>
      </c>
      <c r="I412" s="10" t="s">
        <v>71</v>
      </c>
      <c r="J412" s="10" t="s">
        <v>32</v>
      </c>
      <c r="K412" s="10" t="s">
        <v>21</v>
      </c>
      <c r="L412" s="10" t="s">
        <v>1247</v>
      </c>
    </row>
    <row r="413" spans="1:12" x14ac:dyDescent="0.35">
      <c r="A413" s="9">
        <v>412</v>
      </c>
      <c r="B413" s="19">
        <v>45904.11954861111</v>
      </c>
      <c r="C413" s="20">
        <v>45904</v>
      </c>
      <c r="D413" s="8" t="s">
        <v>2527</v>
      </c>
      <c r="E413" s="3">
        <v>0</v>
      </c>
      <c r="F413" s="13">
        <v>1.49</v>
      </c>
      <c r="G413" s="3">
        <v>84310.74</v>
      </c>
      <c r="H413" s="8" t="s">
        <v>51</v>
      </c>
      <c r="I413" s="8" t="s">
        <v>71</v>
      </c>
      <c r="J413" s="8" t="s">
        <v>32</v>
      </c>
      <c r="K413" s="8" t="s">
        <v>21</v>
      </c>
      <c r="L413" s="8" t="s">
        <v>2658</v>
      </c>
    </row>
    <row r="414" spans="1:12" x14ac:dyDescent="0.35">
      <c r="A414" s="11">
        <v>413</v>
      </c>
      <c r="B414" s="17">
        <v>45904.209849537037</v>
      </c>
      <c r="C414" s="18">
        <v>45904</v>
      </c>
      <c r="D414" s="10" t="s">
        <v>394</v>
      </c>
      <c r="E414" s="14">
        <v>500</v>
      </c>
      <c r="F414" s="5">
        <v>0</v>
      </c>
      <c r="G414" s="5">
        <v>83810.740000000005</v>
      </c>
      <c r="H414" s="10" t="s">
        <v>51</v>
      </c>
      <c r="I414" s="10" t="s">
        <v>52</v>
      </c>
      <c r="J414" s="10" t="s">
        <v>32</v>
      </c>
      <c r="K414" s="10" t="s">
        <v>21</v>
      </c>
      <c r="L414" s="10" t="s">
        <v>1248</v>
      </c>
    </row>
    <row r="415" spans="1:12" x14ac:dyDescent="0.35">
      <c r="A415" s="9">
        <v>414</v>
      </c>
      <c r="B415" s="19">
        <v>45904.399965277778</v>
      </c>
      <c r="C415" s="20">
        <v>45904</v>
      </c>
      <c r="D415" s="8" t="s">
        <v>394</v>
      </c>
      <c r="E415" s="12">
        <v>10000</v>
      </c>
      <c r="F415" s="3">
        <v>0</v>
      </c>
      <c r="G415" s="3">
        <v>73810.740000000005</v>
      </c>
      <c r="H415" s="8" t="s">
        <v>51</v>
      </c>
      <c r="I415" s="8" t="s">
        <v>52</v>
      </c>
      <c r="J415" s="8" t="s">
        <v>32</v>
      </c>
      <c r="K415" s="8" t="s">
        <v>21</v>
      </c>
      <c r="L415" s="8" t="s">
        <v>1251</v>
      </c>
    </row>
    <row r="416" spans="1:12" x14ac:dyDescent="0.35">
      <c r="A416" s="11">
        <v>415</v>
      </c>
      <c r="B416" s="17">
        <v>45904.542615740742</v>
      </c>
      <c r="C416" s="18">
        <v>45904</v>
      </c>
      <c r="D416" s="10" t="s">
        <v>394</v>
      </c>
      <c r="E416" s="14">
        <v>30000</v>
      </c>
      <c r="F416" s="5">
        <v>0</v>
      </c>
      <c r="G416" s="5">
        <v>43810.74</v>
      </c>
      <c r="H416" s="10" t="s">
        <v>51</v>
      </c>
      <c r="I416" s="10" t="s">
        <v>52</v>
      </c>
      <c r="J416" s="10" t="s">
        <v>32</v>
      </c>
      <c r="K416" s="10" t="s">
        <v>21</v>
      </c>
      <c r="L416" s="10" t="s">
        <v>1253</v>
      </c>
    </row>
    <row r="417" spans="1:12" x14ac:dyDescent="0.35">
      <c r="A417" s="9">
        <v>416</v>
      </c>
      <c r="B417" s="19">
        <v>45904.700520833343</v>
      </c>
      <c r="C417" s="20">
        <v>45904</v>
      </c>
      <c r="D417" s="8" t="s">
        <v>394</v>
      </c>
      <c r="E417" s="12">
        <v>842</v>
      </c>
      <c r="F417" s="3">
        <v>0</v>
      </c>
      <c r="G417" s="3">
        <v>42968.74</v>
      </c>
      <c r="H417" s="8" t="s">
        <v>51</v>
      </c>
      <c r="I417" s="8" t="s">
        <v>52</v>
      </c>
      <c r="J417" s="8" t="s">
        <v>32</v>
      </c>
      <c r="K417" s="8" t="s">
        <v>21</v>
      </c>
      <c r="L417" s="8" t="s">
        <v>1255</v>
      </c>
    </row>
    <row r="418" spans="1:12" x14ac:dyDescent="0.35">
      <c r="A418" s="11">
        <v>417</v>
      </c>
      <c r="B418" s="17">
        <v>45904.714756944442</v>
      </c>
      <c r="C418" s="18">
        <v>45904</v>
      </c>
      <c r="D418" s="10" t="s">
        <v>394</v>
      </c>
      <c r="E418" s="14">
        <v>4000</v>
      </c>
      <c r="F418" s="5">
        <v>0</v>
      </c>
      <c r="G418" s="5">
        <v>38968.74</v>
      </c>
      <c r="H418" s="10" t="s">
        <v>51</v>
      </c>
      <c r="I418" s="10" t="s">
        <v>52</v>
      </c>
      <c r="J418" s="10" t="s">
        <v>32</v>
      </c>
      <c r="K418" s="10" t="s">
        <v>21</v>
      </c>
      <c r="L418" s="10" t="s">
        <v>1258</v>
      </c>
    </row>
    <row r="419" spans="1:12" x14ac:dyDescent="0.35">
      <c r="A419" s="9">
        <v>418</v>
      </c>
      <c r="B419" s="19">
        <v>45904.739340277767</v>
      </c>
      <c r="C419" s="20">
        <v>45904</v>
      </c>
      <c r="D419" s="8" t="s">
        <v>394</v>
      </c>
      <c r="E419" s="12">
        <v>1500</v>
      </c>
      <c r="F419" s="3">
        <v>0</v>
      </c>
      <c r="G419" s="3">
        <v>37468.74</v>
      </c>
      <c r="H419" s="8" t="s">
        <v>51</v>
      </c>
      <c r="I419" s="8" t="s">
        <v>52</v>
      </c>
      <c r="J419" s="8" t="s">
        <v>32</v>
      </c>
      <c r="K419" s="8" t="s">
        <v>21</v>
      </c>
      <c r="L419" s="8" t="s">
        <v>1261</v>
      </c>
    </row>
    <row r="420" spans="1:12" x14ac:dyDescent="0.35">
      <c r="A420" s="11">
        <v>419</v>
      </c>
      <c r="B420" s="17">
        <v>45904.92695601852</v>
      </c>
      <c r="C420" s="18">
        <v>45904</v>
      </c>
      <c r="D420" s="10" t="s">
        <v>426</v>
      </c>
      <c r="E420" s="5">
        <v>0</v>
      </c>
      <c r="F420" s="15">
        <v>49950</v>
      </c>
      <c r="G420" s="5">
        <v>87418.74</v>
      </c>
      <c r="H420" s="10" t="s">
        <v>51</v>
      </c>
      <c r="I420" s="10" t="s">
        <v>71</v>
      </c>
      <c r="J420" s="10" t="s">
        <v>32</v>
      </c>
      <c r="K420" s="10" t="s">
        <v>21</v>
      </c>
      <c r="L420" s="10" t="s">
        <v>1264</v>
      </c>
    </row>
    <row r="421" spans="1:12" x14ac:dyDescent="0.35">
      <c r="A421" s="9">
        <v>420</v>
      </c>
      <c r="B421" s="19">
        <v>45905.098726851851</v>
      </c>
      <c r="C421" s="20">
        <v>45905</v>
      </c>
      <c r="D421" s="8" t="s">
        <v>2527</v>
      </c>
      <c r="E421" s="3">
        <v>0</v>
      </c>
      <c r="F421" s="13">
        <v>12.9</v>
      </c>
      <c r="G421" s="3">
        <v>87431.64</v>
      </c>
      <c r="H421" s="8" t="s">
        <v>51</v>
      </c>
      <c r="I421" s="8" t="s">
        <v>71</v>
      </c>
      <c r="J421" s="8" t="s">
        <v>32</v>
      </c>
      <c r="K421" s="8" t="s">
        <v>21</v>
      </c>
      <c r="L421" s="8" t="s">
        <v>2659</v>
      </c>
    </row>
    <row r="422" spans="1:12" x14ac:dyDescent="0.35">
      <c r="A422" s="11">
        <v>421</v>
      </c>
      <c r="B422" s="17">
        <v>45905.209872685176</v>
      </c>
      <c r="C422" s="18">
        <v>45905</v>
      </c>
      <c r="D422" s="10" t="s">
        <v>394</v>
      </c>
      <c r="E422" s="14">
        <v>500</v>
      </c>
      <c r="F422" s="5">
        <v>0</v>
      </c>
      <c r="G422" s="5">
        <v>86931.64</v>
      </c>
      <c r="H422" s="10" t="s">
        <v>51</v>
      </c>
      <c r="I422" s="10" t="s">
        <v>52</v>
      </c>
      <c r="J422" s="10" t="s">
        <v>32</v>
      </c>
      <c r="K422" s="10" t="s">
        <v>21</v>
      </c>
      <c r="L422" s="10" t="s">
        <v>1265</v>
      </c>
    </row>
    <row r="423" spans="1:12" x14ac:dyDescent="0.35">
      <c r="A423" s="9">
        <v>422</v>
      </c>
      <c r="B423" s="19">
        <v>45905.342418981483</v>
      </c>
      <c r="C423" s="20">
        <v>45905</v>
      </c>
      <c r="D423" s="8" t="s">
        <v>394</v>
      </c>
      <c r="E423" s="12">
        <v>900</v>
      </c>
      <c r="F423" s="3">
        <v>0</v>
      </c>
      <c r="G423" s="3">
        <v>86031.64</v>
      </c>
      <c r="H423" s="8" t="s">
        <v>51</v>
      </c>
      <c r="I423" s="8" t="s">
        <v>52</v>
      </c>
      <c r="J423" s="8" t="s">
        <v>32</v>
      </c>
      <c r="K423" s="8" t="s">
        <v>21</v>
      </c>
      <c r="L423" s="8" t="s">
        <v>1268</v>
      </c>
    </row>
    <row r="424" spans="1:12" x14ac:dyDescent="0.35">
      <c r="A424" s="11">
        <v>423</v>
      </c>
      <c r="B424" s="17">
        <v>45905.664340277777</v>
      </c>
      <c r="C424" s="18">
        <v>45905</v>
      </c>
      <c r="D424" s="10" t="s">
        <v>394</v>
      </c>
      <c r="E424" s="14">
        <v>2000</v>
      </c>
      <c r="F424" s="5">
        <v>0</v>
      </c>
      <c r="G424" s="5">
        <v>84031.64</v>
      </c>
      <c r="H424" s="10" t="s">
        <v>51</v>
      </c>
      <c r="I424" s="10" t="s">
        <v>52</v>
      </c>
      <c r="J424" s="10" t="s">
        <v>32</v>
      </c>
      <c r="K424" s="10" t="s">
        <v>21</v>
      </c>
      <c r="L424" s="10" t="s">
        <v>1271</v>
      </c>
    </row>
    <row r="425" spans="1:12" x14ac:dyDescent="0.35">
      <c r="A425" s="9">
        <v>424</v>
      </c>
      <c r="B425" s="19">
        <v>45906.112974537027</v>
      </c>
      <c r="C425" s="20">
        <v>45906</v>
      </c>
      <c r="D425" s="8" t="s">
        <v>2527</v>
      </c>
      <c r="E425" s="3">
        <v>0</v>
      </c>
      <c r="F425" s="13">
        <v>28.96</v>
      </c>
      <c r="G425" s="3">
        <v>84060.6</v>
      </c>
      <c r="H425" s="8" t="s">
        <v>51</v>
      </c>
      <c r="I425" s="8" t="s">
        <v>71</v>
      </c>
      <c r="J425" s="8" t="s">
        <v>32</v>
      </c>
      <c r="K425" s="8" t="s">
        <v>21</v>
      </c>
      <c r="L425" s="8" t="s">
        <v>2660</v>
      </c>
    </row>
    <row r="426" spans="1:12" x14ac:dyDescent="0.35">
      <c r="A426" s="11">
        <v>425</v>
      </c>
      <c r="B426" s="17">
        <v>45906.209872685176</v>
      </c>
      <c r="C426" s="18">
        <v>45906</v>
      </c>
      <c r="D426" s="10" t="s">
        <v>394</v>
      </c>
      <c r="E426" s="14">
        <v>500</v>
      </c>
      <c r="F426" s="5">
        <v>0</v>
      </c>
      <c r="G426" s="5">
        <v>83560.600000000006</v>
      </c>
      <c r="H426" s="10" t="s">
        <v>51</v>
      </c>
      <c r="I426" s="10" t="s">
        <v>52</v>
      </c>
      <c r="J426" s="10" t="s">
        <v>32</v>
      </c>
      <c r="K426" s="10" t="s">
        <v>21</v>
      </c>
      <c r="L426" s="10" t="s">
        <v>1272</v>
      </c>
    </row>
    <row r="427" spans="1:12" x14ac:dyDescent="0.35">
      <c r="A427" s="9">
        <v>426</v>
      </c>
      <c r="B427" s="19">
        <v>45906.872314814813</v>
      </c>
      <c r="C427" s="20">
        <v>45906</v>
      </c>
      <c r="D427" s="8" t="s">
        <v>394</v>
      </c>
      <c r="E427" s="12">
        <v>40000</v>
      </c>
      <c r="F427" s="3">
        <v>0</v>
      </c>
      <c r="G427" s="3">
        <v>43560.6</v>
      </c>
      <c r="H427" s="8" t="s">
        <v>51</v>
      </c>
      <c r="I427" s="8" t="s">
        <v>52</v>
      </c>
      <c r="J427" s="8" t="s">
        <v>32</v>
      </c>
      <c r="K427" s="8" t="s">
        <v>21</v>
      </c>
      <c r="L427" s="8" t="s">
        <v>1276</v>
      </c>
    </row>
    <row r="428" spans="1:12" x14ac:dyDescent="0.35">
      <c r="A428" s="11">
        <v>427</v>
      </c>
      <c r="B428" s="17">
        <v>45907.102199074077</v>
      </c>
      <c r="C428" s="18">
        <v>45907</v>
      </c>
      <c r="D428" s="10" t="s">
        <v>2527</v>
      </c>
      <c r="E428" s="5">
        <v>0</v>
      </c>
      <c r="F428" s="15">
        <v>15.01</v>
      </c>
      <c r="G428" s="5">
        <v>43575.61</v>
      </c>
      <c r="H428" s="10" t="s">
        <v>51</v>
      </c>
      <c r="I428" s="10" t="s">
        <v>71</v>
      </c>
      <c r="J428" s="10" t="s">
        <v>32</v>
      </c>
      <c r="K428" s="10" t="s">
        <v>21</v>
      </c>
      <c r="L428" s="10" t="s">
        <v>2661</v>
      </c>
    </row>
    <row r="429" spans="1:12" x14ac:dyDescent="0.35">
      <c r="A429" s="9">
        <v>428</v>
      </c>
      <c r="B429" s="19">
        <v>45907.209988425922</v>
      </c>
      <c r="C429" s="20">
        <v>45907</v>
      </c>
      <c r="D429" s="8" t="s">
        <v>394</v>
      </c>
      <c r="E429" s="12">
        <v>500</v>
      </c>
      <c r="F429" s="3">
        <v>0</v>
      </c>
      <c r="G429" s="3">
        <v>43075.61</v>
      </c>
      <c r="H429" s="8" t="s">
        <v>51</v>
      </c>
      <c r="I429" s="8" t="s">
        <v>52</v>
      </c>
      <c r="J429" s="8" t="s">
        <v>32</v>
      </c>
      <c r="K429" s="8" t="s">
        <v>21</v>
      </c>
      <c r="L429" s="8" t="s">
        <v>1277</v>
      </c>
    </row>
    <row r="430" spans="1:12" x14ac:dyDescent="0.35">
      <c r="A430" s="11">
        <v>429</v>
      </c>
      <c r="B430" s="17">
        <v>45908.115648148138</v>
      </c>
      <c r="C430" s="18">
        <v>45908</v>
      </c>
      <c r="D430" s="10" t="s">
        <v>2527</v>
      </c>
      <c r="E430" s="5">
        <v>0</v>
      </c>
      <c r="F430" s="15">
        <v>14.84</v>
      </c>
      <c r="G430" s="5">
        <v>43090.45</v>
      </c>
      <c r="H430" s="10" t="s">
        <v>51</v>
      </c>
      <c r="I430" s="10" t="s">
        <v>71</v>
      </c>
      <c r="J430" s="10" t="s">
        <v>32</v>
      </c>
      <c r="K430" s="10" t="s">
        <v>21</v>
      </c>
      <c r="L430" s="10" t="s">
        <v>2662</v>
      </c>
    </row>
    <row r="431" spans="1:12" x14ac:dyDescent="0.35">
      <c r="A431" s="9">
        <v>430</v>
      </c>
      <c r="B431" s="19">
        <v>45908.209872685176</v>
      </c>
      <c r="C431" s="20">
        <v>45908</v>
      </c>
      <c r="D431" s="8" t="s">
        <v>394</v>
      </c>
      <c r="E431" s="12">
        <v>500</v>
      </c>
      <c r="F431" s="3">
        <v>0</v>
      </c>
      <c r="G431" s="3">
        <v>42590.45</v>
      </c>
      <c r="H431" s="8" t="s">
        <v>51</v>
      </c>
      <c r="I431" s="8" t="s">
        <v>52</v>
      </c>
      <c r="J431" s="8" t="s">
        <v>32</v>
      </c>
      <c r="K431" s="8" t="s">
        <v>21</v>
      </c>
      <c r="L431" s="8" t="s">
        <v>1279</v>
      </c>
    </row>
    <row r="432" spans="1:12" x14ac:dyDescent="0.35">
      <c r="A432" s="11">
        <v>431</v>
      </c>
      <c r="B432" s="17">
        <v>45908.315115740741</v>
      </c>
      <c r="C432" s="18">
        <v>45908</v>
      </c>
      <c r="D432" s="10" t="s">
        <v>394</v>
      </c>
      <c r="E432" s="14">
        <v>900</v>
      </c>
      <c r="F432" s="5">
        <v>0</v>
      </c>
      <c r="G432" s="5">
        <v>41690.449999999997</v>
      </c>
      <c r="H432" s="10" t="s">
        <v>51</v>
      </c>
      <c r="I432" s="10" t="s">
        <v>52</v>
      </c>
      <c r="J432" s="10" t="s">
        <v>32</v>
      </c>
      <c r="K432" s="10" t="s">
        <v>21</v>
      </c>
      <c r="L432" s="10" t="s">
        <v>1282</v>
      </c>
    </row>
    <row r="433" spans="1:12" x14ac:dyDescent="0.35">
      <c r="A433" s="9">
        <v>432</v>
      </c>
      <c r="B433" s="19">
        <v>45908.331747685188</v>
      </c>
      <c r="C433" s="20">
        <v>45908</v>
      </c>
      <c r="D433" s="8" t="s">
        <v>394</v>
      </c>
      <c r="E433" s="12">
        <v>2100</v>
      </c>
      <c r="F433" s="3">
        <v>0</v>
      </c>
      <c r="G433" s="3">
        <v>39590.449999999997</v>
      </c>
      <c r="H433" s="8" t="s">
        <v>51</v>
      </c>
      <c r="I433" s="8" t="s">
        <v>52</v>
      </c>
      <c r="J433" s="8" t="s">
        <v>32</v>
      </c>
      <c r="K433" s="8" t="s">
        <v>21</v>
      </c>
      <c r="L433" s="8" t="s">
        <v>1285</v>
      </c>
    </row>
    <row r="434" spans="1:12" x14ac:dyDescent="0.35">
      <c r="A434" s="11">
        <v>433</v>
      </c>
      <c r="B434" s="17">
        <v>45908.500104166669</v>
      </c>
      <c r="C434" s="18">
        <v>45908</v>
      </c>
      <c r="D434" s="10" t="s">
        <v>394</v>
      </c>
      <c r="E434" s="14">
        <v>2000</v>
      </c>
      <c r="F434" s="5">
        <v>0</v>
      </c>
      <c r="G434" s="5">
        <v>37590.449999999997</v>
      </c>
      <c r="H434" s="10" t="s">
        <v>51</v>
      </c>
      <c r="I434" s="10" t="s">
        <v>52</v>
      </c>
      <c r="J434" s="10" t="s">
        <v>32</v>
      </c>
      <c r="K434" s="10" t="s">
        <v>21</v>
      </c>
      <c r="L434" s="10" t="s">
        <v>1288</v>
      </c>
    </row>
    <row r="435" spans="1:12" x14ac:dyDescent="0.35">
      <c r="A435" s="9">
        <v>434</v>
      </c>
      <c r="B435" s="19">
        <v>45908.926539351851</v>
      </c>
      <c r="C435" s="20">
        <v>45908</v>
      </c>
      <c r="D435" s="8" t="s">
        <v>426</v>
      </c>
      <c r="E435" s="3">
        <v>0</v>
      </c>
      <c r="F435" s="13">
        <v>4000</v>
      </c>
      <c r="G435" s="3">
        <v>41590.449999999997</v>
      </c>
      <c r="H435" s="8" t="s">
        <v>51</v>
      </c>
      <c r="I435" s="8" t="s">
        <v>71</v>
      </c>
      <c r="J435" s="8" t="s">
        <v>32</v>
      </c>
      <c r="K435" s="8" t="s">
        <v>21</v>
      </c>
      <c r="L435" s="8" t="s">
        <v>1291</v>
      </c>
    </row>
    <row r="436" spans="1:12" x14ac:dyDescent="0.35">
      <c r="A436" s="11">
        <v>435</v>
      </c>
      <c r="B436" s="17">
        <v>45909.098194444443</v>
      </c>
      <c r="C436" s="18">
        <v>45909</v>
      </c>
      <c r="D436" s="10" t="s">
        <v>2527</v>
      </c>
      <c r="E436" s="5">
        <v>0</v>
      </c>
      <c r="F436" s="15">
        <v>12.95</v>
      </c>
      <c r="G436" s="5">
        <v>41603.4</v>
      </c>
      <c r="H436" s="10" t="s">
        <v>51</v>
      </c>
      <c r="I436" s="10" t="s">
        <v>71</v>
      </c>
      <c r="J436" s="10" t="s">
        <v>32</v>
      </c>
      <c r="K436" s="10" t="s">
        <v>21</v>
      </c>
      <c r="L436" s="10" t="s">
        <v>2663</v>
      </c>
    </row>
    <row r="437" spans="1:12" x14ac:dyDescent="0.35">
      <c r="A437" s="9">
        <v>436</v>
      </c>
      <c r="B437" s="19">
        <v>45909.20988425926</v>
      </c>
      <c r="C437" s="20">
        <v>45909</v>
      </c>
      <c r="D437" s="8" t="s">
        <v>394</v>
      </c>
      <c r="E437" s="12">
        <v>500</v>
      </c>
      <c r="F437" s="3">
        <v>0</v>
      </c>
      <c r="G437" s="3">
        <v>41103.4</v>
      </c>
      <c r="H437" s="8" t="s">
        <v>51</v>
      </c>
      <c r="I437" s="8" t="s">
        <v>52</v>
      </c>
      <c r="J437" s="8" t="s">
        <v>32</v>
      </c>
      <c r="K437" s="8" t="s">
        <v>21</v>
      </c>
      <c r="L437" s="8" t="s">
        <v>1292</v>
      </c>
    </row>
    <row r="438" spans="1:12" x14ac:dyDescent="0.35">
      <c r="A438" s="11">
        <v>437</v>
      </c>
      <c r="B438" s="17">
        <v>45909.413935185177</v>
      </c>
      <c r="C438" s="18">
        <v>45909</v>
      </c>
      <c r="D438" s="10" t="s">
        <v>394</v>
      </c>
      <c r="E438" s="14">
        <v>4000</v>
      </c>
      <c r="F438" s="5">
        <v>0</v>
      </c>
      <c r="G438" s="5">
        <v>37103.4</v>
      </c>
      <c r="H438" s="10" t="s">
        <v>51</v>
      </c>
      <c r="I438" s="10" t="s">
        <v>52</v>
      </c>
      <c r="J438" s="10" t="s">
        <v>32</v>
      </c>
      <c r="K438" s="10" t="s">
        <v>21</v>
      </c>
      <c r="L438" s="10" t="s">
        <v>1296</v>
      </c>
    </row>
    <row r="439" spans="1:12" x14ac:dyDescent="0.35">
      <c r="A439" s="9">
        <v>438</v>
      </c>
      <c r="B439" s="19">
        <v>45909.557847222219</v>
      </c>
      <c r="C439" s="20">
        <v>45909</v>
      </c>
      <c r="D439" s="8" t="s">
        <v>394</v>
      </c>
      <c r="E439" s="12">
        <v>846</v>
      </c>
      <c r="F439" s="3">
        <v>0</v>
      </c>
      <c r="G439" s="3">
        <v>36257.4</v>
      </c>
      <c r="H439" s="8" t="s">
        <v>51</v>
      </c>
      <c r="I439" s="8" t="s">
        <v>52</v>
      </c>
      <c r="J439" s="8" t="s">
        <v>32</v>
      </c>
      <c r="K439" s="8" t="s">
        <v>21</v>
      </c>
      <c r="L439" s="8" t="s">
        <v>1298</v>
      </c>
    </row>
    <row r="440" spans="1:12" x14ac:dyDescent="0.35">
      <c r="A440" s="11">
        <v>439</v>
      </c>
      <c r="B440" s="17">
        <v>45909.569652777784</v>
      </c>
      <c r="C440" s="18">
        <v>45909</v>
      </c>
      <c r="D440" s="10" t="s">
        <v>394</v>
      </c>
      <c r="E440" s="14">
        <v>1400</v>
      </c>
      <c r="F440" s="5">
        <v>0</v>
      </c>
      <c r="G440" s="5">
        <v>34857.4</v>
      </c>
      <c r="H440" s="10" t="s">
        <v>51</v>
      </c>
      <c r="I440" s="10" t="s">
        <v>52</v>
      </c>
      <c r="J440" s="10" t="s">
        <v>32</v>
      </c>
      <c r="K440" s="10" t="s">
        <v>21</v>
      </c>
      <c r="L440" s="10" t="s">
        <v>1301</v>
      </c>
    </row>
    <row r="441" spans="1:12" x14ac:dyDescent="0.35">
      <c r="A441" s="9">
        <v>440</v>
      </c>
      <c r="B441" s="19">
        <v>45909.60429398148</v>
      </c>
      <c r="C441" s="20">
        <v>45909</v>
      </c>
      <c r="D441" s="8" t="s">
        <v>394</v>
      </c>
      <c r="E441" s="12">
        <v>1500</v>
      </c>
      <c r="F441" s="3">
        <v>0</v>
      </c>
      <c r="G441" s="3">
        <v>33357.4</v>
      </c>
      <c r="H441" s="8" t="s">
        <v>51</v>
      </c>
      <c r="I441" s="8" t="s">
        <v>52</v>
      </c>
      <c r="J441" s="8" t="s">
        <v>32</v>
      </c>
      <c r="K441" s="8" t="s">
        <v>21</v>
      </c>
      <c r="L441" s="8" t="s">
        <v>1304</v>
      </c>
    </row>
    <row r="442" spans="1:12" x14ac:dyDescent="0.35">
      <c r="A442" s="11">
        <v>441</v>
      </c>
      <c r="B442" s="17">
        <v>45910.120625000003</v>
      </c>
      <c r="C442" s="18">
        <v>45910</v>
      </c>
      <c r="D442" s="10" t="s">
        <v>2527</v>
      </c>
      <c r="E442" s="5">
        <v>0</v>
      </c>
      <c r="F442" s="15">
        <v>11.49</v>
      </c>
      <c r="G442" s="5">
        <v>33368.89</v>
      </c>
      <c r="H442" s="10" t="s">
        <v>51</v>
      </c>
      <c r="I442" s="10" t="s">
        <v>71</v>
      </c>
      <c r="J442" s="10" t="s">
        <v>32</v>
      </c>
      <c r="K442" s="10" t="s">
        <v>21</v>
      </c>
      <c r="L442" s="10" t="s">
        <v>2664</v>
      </c>
    </row>
    <row r="443" spans="1:12" x14ac:dyDescent="0.35">
      <c r="A443" s="9">
        <v>442</v>
      </c>
      <c r="B443" s="19">
        <v>45910.209849537037</v>
      </c>
      <c r="C443" s="20">
        <v>45910</v>
      </c>
      <c r="D443" s="8" t="s">
        <v>394</v>
      </c>
      <c r="E443" s="12">
        <v>500</v>
      </c>
      <c r="F443" s="3">
        <v>0</v>
      </c>
      <c r="G443" s="3">
        <v>32868.89</v>
      </c>
      <c r="H443" s="8" t="s">
        <v>51</v>
      </c>
      <c r="I443" s="8" t="s">
        <v>52</v>
      </c>
      <c r="J443" s="8" t="s">
        <v>32</v>
      </c>
      <c r="K443" s="8" t="s">
        <v>21</v>
      </c>
      <c r="L443" s="8" t="s">
        <v>1306</v>
      </c>
    </row>
    <row r="444" spans="1:12" x14ac:dyDescent="0.35">
      <c r="A444" s="11">
        <v>443</v>
      </c>
      <c r="B444" s="17">
        <v>45910.316932870373</v>
      </c>
      <c r="C444" s="18">
        <v>45910</v>
      </c>
      <c r="D444" s="10" t="s">
        <v>394</v>
      </c>
      <c r="E444" s="14">
        <v>1991</v>
      </c>
      <c r="F444" s="5">
        <v>0</v>
      </c>
      <c r="G444" s="5">
        <v>30877.89</v>
      </c>
      <c r="H444" s="10" t="s">
        <v>51</v>
      </c>
      <c r="I444" s="10" t="s">
        <v>52</v>
      </c>
      <c r="J444" s="10" t="s">
        <v>32</v>
      </c>
      <c r="K444" s="10" t="s">
        <v>21</v>
      </c>
      <c r="L444" s="10" t="s">
        <v>1308</v>
      </c>
    </row>
    <row r="445" spans="1:12" x14ac:dyDescent="0.35">
      <c r="A445" s="9">
        <v>444</v>
      </c>
      <c r="B445" s="19">
        <v>45910.588703703703</v>
      </c>
      <c r="C445" s="20">
        <v>45910</v>
      </c>
      <c r="D445" s="8" t="s">
        <v>394</v>
      </c>
      <c r="E445" s="12">
        <v>3664</v>
      </c>
      <c r="F445" s="3">
        <v>0</v>
      </c>
      <c r="G445" s="3">
        <v>27213.89</v>
      </c>
      <c r="H445" s="8" t="s">
        <v>51</v>
      </c>
      <c r="I445" s="8" t="s">
        <v>52</v>
      </c>
      <c r="J445" s="8" t="s">
        <v>32</v>
      </c>
      <c r="K445" s="8" t="s">
        <v>21</v>
      </c>
      <c r="L445" s="8" t="s">
        <v>1311</v>
      </c>
    </row>
    <row r="446" spans="1:12" x14ac:dyDescent="0.35">
      <c r="A446" s="11">
        <v>445</v>
      </c>
      <c r="B446" s="17">
        <v>45910.730995370373</v>
      </c>
      <c r="C446" s="18">
        <v>45910</v>
      </c>
      <c r="D446" s="10" t="s">
        <v>394</v>
      </c>
      <c r="E446" s="14">
        <v>3000</v>
      </c>
      <c r="F446" s="5">
        <v>0</v>
      </c>
      <c r="G446" s="5">
        <v>24213.89</v>
      </c>
      <c r="H446" s="10" t="s">
        <v>51</v>
      </c>
      <c r="I446" s="10" t="s">
        <v>52</v>
      </c>
      <c r="J446" s="10" t="s">
        <v>32</v>
      </c>
      <c r="K446" s="10" t="s">
        <v>21</v>
      </c>
      <c r="L446" s="10" t="s">
        <v>1314</v>
      </c>
    </row>
    <row r="447" spans="1:12" x14ac:dyDescent="0.35">
      <c r="A447" s="9">
        <v>446</v>
      </c>
      <c r="B447" s="19">
        <v>45911.100624999999</v>
      </c>
      <c r="C447" s="20">
        <v>45911</v>
      </c>
      <c r="D447" s="8" t="s">
        <v>2527</v>
      </c>
      <c r="E447" s="3">
        <v>0</v>
      </c>
      <c r="F447" s="13">
        <v>8.34</v>
      </c>
      <c r="G447" s="3">
        <v>24222.23</v>
      </c>
      <c r="H447" s="8" t="s">
        <v>51</v>
      </c>
      <c r="I447" s="8" t="s">
        <v>71</v>
      </c>
      <c r="J447" s="8" t="s">
        <v>32</v>
      </c>
      <c r="K447" s="8" t="s">
        <v>21</v>
      </c>
      <c r="L447" s="8" t="s">
        <v>2665</v>
      </c>
    </row>
    <row r="448" spans="1:12" x14ac:dyDescent="0.35">
      <c r="A448" s="11">
        <v>447</v>
      </c>
      <c r="B448" s="17">
        <v>45911.20989583333</v>
      </c>
      <c r="C448" s="18">
        <v>45911</v>
      </c>
      <c r="D448" s="10" t="s">
        <v>394</v>
      </c>
      <c r="E448" s="14">
        <v>500</v>
      </c>
      <c r="F448" s="5">
        <v>0</v>
      </c>
      <c r="G448" s="5">
        <v>23722.23</v>
      </c>
      <c r="H448" s="10" t="s">
        <v>51</v>
      </c>
      <c r="I448" s="10" t="s">
        <v>52</v>
      </c>
      <c r="J448" s="10" t="s">
        <v>32</v>
      </c>
      <c r="K448" s="10" t="s">
        <v>21</v>
      </c>
      <c r="L448" s="10" t="s">
        <v>1315</v>
      </c>
    </row>
    <row r="449" spans="1:12" x14ac:dyDescent="0.35">
      <c r="A449" s="9">
        <v>448</v>
      </c>
      <c r="B449" s="19">
        <v>45911.86515046296</v>
      </c>
      <c r="C449" s="20">
        <v>45911</v>
      </c>
      <c r="D449" s="8" t="s">
        <v>394</v>
      </c>
      <c r="E449" s="12">
        <v>1000</v>
      </c>
      <c r="F449" s="3">
        <v>0</v>
      </c>
      <c r="G449" s="3">
        <v>22722.23</v>
      </c>
      <c r="H449" s="8" t="s">
        <v>51</v>
      </c>
      <c r="I449" s="8" t="s">
        <v>52</v>
      </c>
      <c r="J449" s="8" t="s">
        <v>32</v>
      </c>
      <c r="K449" s="8" t="s">
        <v>21</v>
      </c>
      <c r="L449" s="8" t="s">
        <v>1319</v>
      </c>
    </row>
    <row r="450" spans="1:12" x14ac:dyDescent="0.35">
      <c r="A450" s="11">
        <v>449</v>
      </c>
      <c r="B450" s="17">
        <v>45912.124768518523</v>
      </c>
      <c r="C450" s="18">
        <v>45912</v>
      </c>
      <c r="D450" s="10" t="s">
        <v>2527</v>
      </c>
      <c r="E450" s="5">
        <v>0</v>
      </c>
      <c r="F450" s="15">
        <v>7.83</v>
      </c>
      <c r="G450" s="5">
        <v>22730.06</v>
      </c>
      <c r="H450" s="10" t="s">
        <v>51</v>
      </c>
      <c r="I450" s="10" t="s">
        <v>71</v>
      </c>
      <c r="J450" s="10" t="s">
        <v>32</v>
      </c>
      <c r="K450" s="10" t="s">
        <v>21</v>
      </c>
      <c r="L450" s="10" t="s">
        <v>2666</v>
      </c>
    </row>
    <row r="451" spans="1:12" x14ac:dyDescent="0.35">
      <c r="A451" s="9">
        <v>450</v>
      </c>
      <c r="B451" s="19">
        <v>45912.209872685176</v>
      </c>
      <c r="C451" s="20">
        <v>45912</v>
      </c>
      <c r="D451" s="8" t="s">
        <v>394</v>
      </c>
      <c r="E451" s="12">
        <v>500</v>
      </c>
      <c r="F451" s="3">
        <v>0</v>
      </c>
      <c r="G451" s="3">
        <v>22230.06</v>
      </c>
      <c r="H451" s="8" t="s">
        <v>51</v>
      </c>
      <c r="I451" s="8" t="s">
        <v>52</v>
      </c>
      <c r="J451" s="8" t="s">
        <v>32</v>
      </c>
      <c r="K451" s="8" t="s">
        <v>21</v>
      </c>
      <c r="L451" s="8" t="s">
        <v>1320</v>
      </c>
    </row>
    <row r="452" spans="1:12" x14ac:dyDescent="0.35">
      <c r="A452" s="11">
        <v>451</v>
      </c>
      <c r="B452" s="17">
        <v>45912.926099537042</v>
      </c>
      <c r="C452" s="18">
        <v>45912</v>
      </c>
      <c r="D452" s="10" t="s">
        <v>426</v>
      </c>
      <c r="E452" s="5">
        <v>0</v>
      </c>
      <c r="F452" s="15">
        <v>19950</v>
      </c>
      <c r="G452" s="5">
        <v>42180.06</v>
      </c>
      <c r="H452" s="10" t="s">
        <v>51</v>
      </c>
      <c r="I452" s="10" t="s">
        <v>71</v>
      </c>
      <c r="J452" s="10" t="s">
        <v>32</v>
      </c>
      <c r="K452" s="10" t="s">
        <v>21</v>
      </c>
      <c r="L452" s="10" t="s">
        <v>1325</v>
      </c>
    </row>
    <row r="453" spans="1:12" x14ac:dyDescent="0.35">
      <c r="A453" s="9">
        <v>452</v>
      </c>
      <c r="B453" s="19">
        <v>45913.103414351863</v>
      </c>
      <c r="C453" s="20">
        <v>45913</v>
      </c>
      <c r="D453" s="8" t="s">
        <v>2527</v>
      </c>
      <c r="E453" s="3">
        <v>0</v>
      </c>
      <c r="F453" s="13">
        <v>7.65</v>
      </c>
      <c r="G453" s="3">
        <v>42187.71</v>
      </c>
      <c r="H453" s="8" t="s">
        <v>51</v>
      </c>
      <c r="I453" s="8" t="s">
        <v>71</v>
      </c>
      <c r="J453" s="8" t="s">
        <v>32</v>
      </c>
      <c r="K453" s="8" t="s">
        <v>21</v>
      </c>
      <c r="L453" s="8" t="s">
        <v>2667</v>
      </c>
    </row>
    <row r="454" spans="1:12" x14ac:dyDescent="0.35">
      <c r="A454" s="11">
        <v>453</v>
      </c>
      <c r="B454" s="17">
        <v>45913.209849537037</v>
      </c>
      <c r="C454" s="18">
        <v>45913</v>
      </c>
      <c r="D454" s="10" t="s">
        <v>394</v>
      </c>
      <c r="E454" s="14">
        <v>500</v>
      </c>
      <c r="F454" s="5">
        <v>0</v>
      </c>
      <c r="G454" s="5">
        <v>41687.71</v>
      </c>
      <c r="H454" s="10" t="s">
        <v>51</v>
      </c>
      <c r="I454" s="10" t="s">
        <v>52</v>
      </c>
      <c r="J454" s="10" t="s">
        <v>32</v>
      </c>
      <c r="K454" s="10" t="s">
        <v>21</v>
      </c>
      <c r="L454" s="10" t="s">
        <v>1326</v>
      </c>
    </row>
    <row r="455" spans="1:12" x14ac:dyDescent="0.35">
      <c r="A455" s="9">
        <v>454</v>
      </c>
      <c r="B455" s="19">
        <v>45913.652060185188</v>
      </c>
      <c r="C455" s="20">
        <v>45913</v>
      </c>
      <c r="D455" s="8" t="s">
        <v>394</v>
      </c>
      <c r="E455" s="12">
        <v>2900</v>
      </c>
      <c r="F455" s="3">
        <v>0</v>
      </c>
      <c r="G455" s="3">
        <v>38787.71</v>
      </c>
      <c r="H455" s="8" t="s">
        <v>51</v>
      </c>
      <c r="I455" s="8" t="s">
        <v>52</v>
      </c>
      <c r="J455" s="8" t="s">
        <v>32</v>
      </c>
      <c r="K455" s="8" t="s">
        <v>21</v>
      </c>
      <c r="L455" s="8" t="s">
        <v>1330</v>
      </c>
    </row>
    <row r="456" spans="1:12" x14ac:dyDescent="0.35">
      <c r="A456" s="11">
        <v>455</v>
      </c>
      <c r="B456" s="17">
        <v>45913.689641203702</v>
      </c>
      <c r="C456" s="18">
        <v>45913</v>
      </c>
      <c r="D456" s="10" t="s">
        <v>394</v>
      </c>
      <c r="E456" s="14">
        <v>20900</v>
      </c>
      <c r="F456" s="5">
        <v>0</v>
      </c>
      <c r="G456" s="5">
        <v>17887.71</v>
      </c>
      <c r="H456" s="10" t="s">
        <v>51</v>
      </c>
      <c r="I456" s="10" t="s">
        <v>52</v>
      </c>
      <c r="J456" s="10" t="s">
        <v>32</v>
      </c>
      <c r="K456" s="10" t="s">
        <v>21</v>
      </c>
      <c r="L456" s="10" t="s">
        <v>1333</v>
      </c>
    </row>
    <row r="457" spans="1:12" x14ac:dyDescent="0.35">
      <c r="A457" s="9">
        <v>456</v>
      </c>
      <c r="B457" s="19">
        <v>45913.692523148151</v>
      </c>
      <c r="C457" s="20">
        <v>45913</v>
      </c>
      <c r="D457" s="8" t="s">
        <v>394</v>
      </c>
      <c r="E457" s="12">
        <v>2650</v>
      </c>
      <c r="F457" s="3">
        <v>0</v>
      </c>
      <c r="G457" s="3">
        <v>15237.71</v>
      </c>
      <c r="H457" s="8" t="s">
        <v>51</v>
      </c>
      <c r="I457" s="8" t="s">
        <v>52</v>
      </c>
      <c r="J457" s="8" t="s">
        <v>32</v>
      </c>
      <c r="K457" s="8" t="s">
        <v>21</v>
      </c>
      <c r="L457" s="8" t="s">
        <v>1336</v>
      </c>
    </row>
    <row r="458" spans="1:12" x14ac:dyDescent="0.35">
      <c r="A458" s="11">
        <v>457</v>
      </c>
      <c r="B458" s="17">
        <v>45913.695115740738</v>
      </c>
      <c r="C458" s="18">
        <v>45913</v>
      </c>
      <c r="D458" s="10" t="s">
        <v>394</v>
      </c>
      <c r="E458" s="14">
        <v>1000</v>
      </c>
      <c r="F458" s="5">
        <v>0</v>
      </c>
      <c r="G458" s="5">
        <v>14237.71</v>
      </c>
      <c r="H458" s="10" t="s">
        <v>51</v>
      </c>
      <c r="I458" s="10" t="s">
        <v>52</v>
      </c>
      <c r="J458" s="10" t="s">
        <v>32</v>
      </c>
      <c r="K458" s="10" t="s">
        <v>21</v>
      </c>
      <c r="L458" s="10" t="s">
        <v>1339</v>
      </c>
    </row>
    <row r="459" spans="1:12" x14ac:dyDescent="0.35">
      <c r="A459" s="9">
        <v>458</v>
      </c>
      <c r="B459" s="19">
        <v>45913.734143518523</v>
      </c>
      <c r="C459" s="20">
        <v>45913</v>
      </c>
      <c r="D459" s="8" t="s">
        <v>394</v>
      </c>
      <c r="E459" s="12">
        <v>2000</v>
      </c>
      <c r="F459" s="3">
        <v>0</v>
      </c>
      <c r="G459" s="3">
        <v>12237.71</v>
      </c>
      <c r="H459" s="8" t="s">
        <v>51</v>
      </c>
      <c r="I459" s="8" t="s">
        <v>52</v>
      </c>
      <c r="J459" s="8" t="s">
        <v>32</v>
      </c>
      <c r="K459" s="8" t="s">
        <v>21</v>
      </c>
      <c r="L459" s="8" t="s">
        <v>1341</v>
      </c>
    </row>
    <row r="460" spans="1:12" x14ac:dyDescent="0.35">
      <c r="A460" s="11">
        <v>459</v>
      </c>
      <c r="B460" s="17">
        <v>45914.118495370371</v>
      </c>
      <c r="C460" s="18">
        <v>45914</v>
      </c>
      <c r="D460" s="10" t="s">
        <v>2527</v>
      </c>
      <c r="E460" s="5">
        <v>0</v>
      </c>
      <c r="F460" s="15">
        <v>4.21</v>
      </c>
      <c r="G460" s="5">
        <v>12241.92</v>
      </c>
      <c r="H460" s="10" t="s">
        <v>51</v>
      </c>
      <c r="I460" s="10" t="s">
        <v>71</v>
      </c>
      <c r="J460" s="10" t="s">
        <v>32</v>
      </c>
      <c r="K460" s="10" t="s">
        <v>21</v>
      </c>
      <c r="L460" s="10" t="s">
        <v>2668</v>
      </c>
    </row>
    <row r="461" spans="1:12" x14ac:dyDescent="0.35">
      <c r="A461" s="9">
        <v>460</v>
      </c>
      <c r="B461" s="19">
        <v>45914.209849537037</v>
      </c>
      <c r="C461" s="20">
        <v>45914</v>
      </c>
      <c r="D461" s="8" t="s">
        <v>394</v>
      </c>
      <c r="E461" s="12">
        <v>500</v>
      </c>
      <c r="F461" s="3">
        <v>0</v>
      </c>
      <c r="G461" s="3">
        <v>11741.92</v>
      </c>
      <c r="H461" s="8" t="s">
        <v>51</v>
      </c>
      <c r="I461" s="8" t="s">
        <v>52</v>
      </c>
      <c r="J461" s="8" t="s">
        <v>32</v>
      </c>
      <c r="K461" s="8" t="s">
        <v>21</v>
      </c>
      <c r="L461" s="8" t="s">
        <v>1342</v>
      </c>
    </row>
    <row r="462" spans="1:12" x14ac:dyDescent="0.35">
      <c r="A462" s="11">
        <v>461</v>
      </c>
      <c r="B462" s="17">
        <v>45915.098229166673</v>
      </c>
      <c r="C462" s="18">
        <v>45915</v>
      </c>
      <c r="D462" s="10" t="s">
        <v>2527</v>
      </c>
      <c r="E462" s="5">
        <v>0</v>
      </c>
      <c r="F462" s="15">
        <v>4.04</v>
      </c>
      <c r="G462" s="5">
        <v>11745.96</v>
      </c>
      <c r="H462" s="10" t="s">
        <v>51</v>
      </c>
      <c r="I462" s="10" t="s">
        <v>71</v>
      </c>
      <c r="J462" s="10" t="s">
        <v>32</v>
      </c>
      <c r="K462" s="10" t="s">
        <v>21</v>
      </c>
      <c r="L462" s="10" t="s">
        <v>2669</v>
      </c>
    </row>
    <row r="463" spans="1:12" x14ac:dyDescent="0.35">
      <c r="A463" s="9">
        <v>462</v>
      </c>
      <c r="B463" s="19">
        <v>45915.209826388891</v>
      </c>
      <c r="C463" s="20">
        <v>45915</v>
      </c>
      <c r="D463" s="8" t="s">
        <v>394</v>
      </c>
      <c r="E463" s="12">
        <v>500</v>
      </c>
      <c r="F463" s="3">
        <v>0</v>
      </c>
      <c r="G463" s="3">
        <v>11245.96</v>
      </c>
      <c r="H463" s="8" t="s">
        <v>51</v>
      </c>
      <c r="I463" s="8" t="s">
        <v>52</v>
      </c>
      <c r="J463" s="8" t="s">
        <v>32</v>
      </c>
      <c r="K463" s="8" t="s">
        <v>21</v>
      </c>
      <c r="L463" s="8" t="s">
        <v>1344</v>
      </c>
    </row>
    <row r="464" spans="1:12" x14ac:dyDescent="0.35">
      <c r="A464" s="11">
        <v>463</v>
      </c>
      <c r="B464" s="17">
        <v>45916.111666666657</v>
      </c>
      <c r="C464" s="18">
        <v>45916</v>
      </c>
      <c r="D464" s="10" t="s">
        <v>2527</v>
      </c>
      <c r="E464" s="5">
        <v>0</v>
      </c>
      <c r="F464" s="15">
        <v>3.87</v>
      </c>
      <c r="G464" s="5">
        <v>11249.83</v>
      </c>
      <c r="H464" s="10" t="s">
        <v>51</v>
      </c>
      <c r="I464" s="10" t="s">
        <v>71</v>
      </c>
      <c r="J464" s="10" t="s">
        <v>32</v>
      </c>
      <c r="K464" s="10" t="s">
        <v>21</v>
      </c>
      <c r="L464" s="10" t="s">
        <v>2670</v>
      </c>
    </row>
    <row r="465" spans="1:12" x14ac:dyDescent="0.35">
      <c r="A465" s="9">
        <v>464</v>
      </c>
      <c r="B465" s="19">
        <v>45916.209444444437</v>
      </c>
      <c r="C465" s="20">
        <v>45916</v>
      </c>
      <c r="D465" s="8" t="s">
        <v>394</v>
      </c>
      <c r="E465" s="12">
        <v>500</v>
      </c>
      <c r="F465" s="3">
        <v>0</v>
      </c>
      <c r="G465" s="3">
        <v>10749.83</v>
      </c>
      <c r="H465" s="8" t="s">
        <v>51</v>
      </c>
      <c r="I465" s="8" t="s">
        <v>52</v>
      </c>
      <c r="J465" s="8" t="s">
        <v>32</v>
      </c>
      <c r="K465" s="8" t="s">
        <v>21</v>
      </c>
      <c r="L465" s="8" t="s">
        <v>1346</v>
      </c>
    </row>
    <row r="466" spans="1:12" x14ac:dyDescent="0.35">
      <c r="A466" s="11">
        <v>465</v>
      </c>
      <c r="B466" s="17">
        <v>45917.096018518518</v>
      </c>
      <c r="C466" s="18">
        <v>45917</v>
      </c>
      <c r="D466" s="10" t="s">
        <v>2527</v>
      </c>
      <c r="E466" s="5">
        <v>0</v>
      </c>
      <c r="F466" s="15">
        <v>3.69</v>
      </c>
      <c r="G466" s="5">
        <v>10753.52</v>
      </c>
      <c r="H466" s="10" t="s">
        <v>51</v>
      </c>
      <c r="I466" s="10" t="s">
        <v>71</v>
      </c>
      <c r="J466" s="10" t="s">
        <v>32</v>
      </c>
      <c r="K466" s="10" t="s">
        <v>21</v>
      </c>
      <c r="L466" s="10" t="s">
        <v>2671</v>
      </c>
    </row>
    <row r="467" spans="1:12" x14ac:dyDescent="0.35">
      <c r="A467" s="9">
        <v>466</v>
      </c>
      <c r="B467" s="19">
        <v>45917.209768518522</v>
      </c>
      <c r="C467" s="20">
        <v>45917</v>
      </c>
      <c r="D467" s="8" t="s">
        <v>394</v>
      </c>
      <c r="E467" s="12">
        <v>500</v>
      </c>
      <c r="F467" s="3">
        <v>0</v>
      </c>
      <c r="G467" s="3">
        <v>10253.52</v>
      </c>
      <c r="H467" s="8" t="s">
        <v>51</v>
      </c>
      <c r="I467" s="8" t="s">
        <v>52</v>
      </c>
      <c r="J467" s="8" t="s">
        <v>32</v>
      </c>
      <c r="K467" s="8" t="s">
        <v>21</v>
      </c>
      <c r="L467" s="8" t="s">
        <v>1348</v>
      </c>
    </row>
    <row r="468" spans="1:12" x14ac:dyDescent="0.35">
      <c r="A468" s="11">
        <v>467</v>
      </c>
      <c r="B468" s="17">
        <v>45917.212708333333</v>
      </c>
      <c r="C468" s="18">
        <v>45917</v>
      </c>
      <c r="D468" s="10" t="s">
        <v>394</v>
      </c>
      <c r="E468" s="14">
        <v>350</v>
      </c>
      <c r="F468" s="5">
        <v>0</v>
      </c>
      <c r="G468" s="5">
        <v>9903.52</v>
      </c>
      <c r="H468" s="10" t="s">
        <v>51</v>
      </c>
      <c r="I468" s="10" t="s">
        <v>52</v>
      </c>
      <c r="J468" s="10" t="s">
        <v>32</v>
      </c>
      <c r="K468" s="10" t="s">
        <v>21</v>
      </c>
      <c r="L468" s="10" t="s">
        <v>1351</v>
      </c>
    </row>
    <row r="469" spans="1:12" x14ac:dyDescent="0.35">
      <c r="A469" s="9">
        <v>468</v>
      </c>
      <c r="B469" s="19">
        <v>45917.336319444446</v>
      </c>
      <c r="C469" s="20">
        <v>45917</v>
      </c>
      <c r="D469" s="8" t="s">
        <v>394</v>
      </c>
      <c r="E469" s="12">
        <v>2100</v>
      </c>
      <c r="F469" s="3">
        <v>0</v>
      </c>
      <c r="G469" s="3">
        <v>7803.52</v>
      </c>
      <c r="H469" s="8" t="s">
        <v>51</v>
      </c>
      <c r="I469" s="8" t="s">
        <v>52</v>
      </c>
      <c r="J469" s="8" t="s">
        <v>32</v>
      </c>
      <c r="K469" s="8" t="s">
        <v>21</v>
      </c>
      <c r="L469" s="8" t="s">
        <v>1354</v>
      </c>
    </row>
    <row r="470" spans="1:12" x14ac:dyDescent="0.35">
      <c r="A470" s="11">
        <v>469</v>
      </c>
      <c r="B470" s="17">
        <v>45917.375821759262</v>
      </c>
      <c r="C470" s="18">
        <v>45917</v>
      </c>
      <c r="D470" s="10" t="s">
        <v>394</v>
      </c>
      <c r="E470" s="14">
        <v>3000</v>
      </c>
      <c r="F470" s="5">
        <v>0</v>
      </c>
      <c r="G470" s="5">
        <v>4803.5200000000004</v>
      </c>
      <c r="H470" s="10" t="s">
        <v>51</v>
      </c>
      <c r="I470" s="10" t="s">
        <v>52</v>
      </c>
      <c r="J470" s="10" t="s">
        <v>32</v>
      </c>
      <c r="K470" s="10" t="s">
        <v>21</v>
      </c>
      <c r="L470" s="10" t="s">
        <v>1357</v>
      </c>
    </row>
    <row r="471" spans="1:12" x14ac:dyDescent="0.35">
      <c r="A471" s="9">
        <v>470</v>
      </c>
      <c r="B471" s="19">
        <v>45917.495983796303</v>
      </c>
      <c r="C471" s="20">
        <v>45917</v>
      </c>
      <c r="D471" s="8" t="s">
        <v>394</v>
      </c>
      <c r="E471" s="12">
        <v>51</v>
      </c>
      <c r="F471" s="3">
        <v>0</v>
      </c>
      <c r="G471" s="3">
        <v>4752.5200000000004</v>
      </c>
      <c r="H471" s="8" t="s">
        <v>51</v>
      </c>
      <c r="I471" s="8" t="s">
        <v>52</v>
      </c>
      <c r="J471" s="8" t="s">
        <v>32</v>
      </c>
      <c r="K471" s="8" t="s">
        <v>21</v>
      </c>
      <c r="L471" s="8" t="s">
        <v>1360</v>
      </c>
    </row>
    <row r="472" spans="1:12" x14ac:dyDescent="0.35">
      <c r="A472" s="11">
        <v>471</v>
      </c>
      <c r="B472" s="17">
        <v>45917.49628472222</v>
      </c>
      <c r="C472" s="18">
        <v>45917</v>
      </c>
      <c r="D472" s="10" t="s">
        <v>394</v>
      </c>
      <c r="E472" s="14">
        <v>51</v>
      </c>
      <c r="F472" s="5">
        <v>0</v>
      </c>
      <c r="G472" s="5">
        <v>4701.5200000000004</v>
      </c>
      <c r="H472" s="10" t="s">
        <v>51</v>
      </c>
      <c r="I472" s="10" t="s">
        <v>52</v>
      </c>
      <c r="J472" s="10" t="s">
        <v>32</v>
      </c>
      <c r="K472" s="10" t="s">
        <v>21</v>
      </c>
      <c r="L472" s="10" t="s">
        <v>1362</v>
      </c>
    </row>
    <row r="473" spans="1:12" x14ac:dyDescent="0.35">
      <c r="A473" s="9">
        <v>472</v>
      </c>
      <c r="B473" s="19">
        <v>45917.653263888889</v>
      </c>
      <c r="C473" s="20">
        <v>45917</v>
      </c>
      <c r="D473" s="8" t="s">
        <v>394</v>
      </c>
      <c r="E473" s="12">
        <v>2005.5</v>
      </c>
      <c r="F473" s="3">
        <v>0</v>
      </c>
      <c r="G473" s="3">
        <v>2696.02</v>
      </c>
      <c r="H473" s="8" t="s">
        <v>51</v>
      </c>
      <c r="I473" s="8" t="s">
        <v>52</v>
      </c>
      <c r="J473" s="8" t="s">
        <v>32</v>
      </c>
      <c r="K473" s="8" t="s">
        <v>21</v>
      </c>
      <c r="L473" s="8" t="s">
        <v>1369</v>
      </c>
    </row>
    <row r="474" spans="1:12" x14ac:dyDescent="0.35">
      <c r="A474" s="11">
        <v>473</v>
      </c>
      <c r="B474" s="17">
        <v>45917.717951388891</v>
      </c>
      <c r="C474" s="18">
        <v>45917</v>
      </c>
      <c r="D474" s="10" t="s">
        <v>394</v>
      </c>
      <c r="E474" s="14">
        <v>1460</v>
      </c>
      <c r="F474" s="5">
        <v>0</v>
      </c>
      <c r="G474" s="5">
        <v>1236.02</v>
      </c>
      <c r="H474" s="10" t="s">
        <v>51</v>
      </c>
      <c r="I474" s="10" t="s">
        <v>52</v>
      </c>
      <c r="J474" s="10" t="s">
        <v>32</v>
      </c>
      <c r="K474" s="10" t="s">
        <v>21</v>
      </c>
      <c r="L474" s="10" t="s">
        <v>1371</v>
      </c>
    </row>
    <row r="475" spans="1:12" x14ac:dyDescent="0.35">
      <c r="A475" s="9">
        <v>474</v>
      </c>
      <c r="B475" s="19">
        <v>45918.110914351862</v>
      </c>
      <c r="C475" s="20">
        <v>45918</v>
      </c>
      <c r="D475" s="8" t="s">
        <v>2527</v>
      </c>
      <c r="E475" s="3">
        <v>0</v>
      </c>
      <c r="F475" s="13">
        <v>0.42</v>
      </c>
      <c r="G475" s="3">
        <v>1236.44</v>
      </c>
      <c r="H475" s="8" t="s">
        <v>51</v>
      </c>
      <c r="I475" s="8" t="s">
        <v>71</v>
      </c>
      <c r="J475" s="8" t="s">
        <v>32</v>
      </c>
      <c r="K475" s="8" t="s">
        <v>21</v>
      </c>
      <c r="L475" s="8" t="s">
        <v>2672</v>
      </c>
    </row>
    <row r="476" spans="1:12" x14ac:dyDescent="0.35">
      <c r="A476" s="11">
        <v>475</v>
      </c>
      <c r="B476" s="17">
        <v>45918.209756944438</v>
      </c>
      <c r="C476" s="18">
        <v>45918</v>
      </c>
      <c r="D476" s="10" t="s">
        <v>394</v>
      </c>
      <c r="E476" s="14">
        <v>500</v>
      </c>
      <c r="F476" s="5">
        <v>0</v>
      </c>
      <c r="G476" s="5">
        <v>736.44</v>
      </c>
      <c r="H476" s="10" t="s">
        <v>51</v>
      </c>
      <c r="I476" s="10" t="s">
        <v>52</v>
      </c>
      <c r="J476" s="10" t="s">
        <v>32</v>
      </c>
      <c r="K476" s="10" t="s">
        <v>21</v>
      </c>
      <c r="L476" s="10" t="s">
        <v>1372</v>
      </c>
    </row>
    <row r="477" spans="1:12" x14ac:dyDescent="0.35">
      <c r="A477" s="9">
        <v>476</v>
      </c>
      <c r="B477" s="19">
        <v>45918.212500000001</v>
      </c>
      <c r="C477" s="20">
        <v>45918</v>
      </c>
      <c r="D477" s="8" t="s">
        <v>394</v>
      </c>
      <c r="E477" s="12">
        <v>350</v>
      </c>
      <c r="F477" s="3">
        <v>0</v>
      </c>
      <c r="G477" s="3">
        <v>386.44</v>
      </c>
      <c r="H477" s="8" t="s">
        <v>51</v>
      </c>
      <c r="I477" s="8" t="s">
        <v>52</v>
      </c>
      <c r="J477" s="8" t="s">
        <v>32</v>
      </c>
      <c r="K477" s="8" t="s">
        <v>21</v>
      </c>
      <c r="L477" s="8" t="s">
        <v>1375</v>
      </c>
    </row>
    <row r="478" spans="1:12" x14ac:dyDescent="0.35">
      <c r="A478" s="11">
        <v>477</v>
      </c>
      <c r="B478" s="17">
        <v>45919.100023148138</v>
      </c>
      <c r="C478" s="18">
        <v>45919</v>
      </c>
      <c r="D478" s="10" t="s">
        <v>2527</v>
      </c>
      <c r="E478" s="5">
        <v>0</v>
      </c>
      <c r="F478" s="15">
        <v>0.12</v>
      </c>
      <c r="G478" s="5">
        <v>386.56</v>
      </c>
      <c r="H478" s="10" t="s">
        <v>51</v>
      </c>
      <c r="I478" s="10" t="s">
        <v>71</v>
      </c>
      <c r="J478" s="10" t="s">
        <v>32</v>
      </c>
      <c r="K478" s="10" t="s">
        <v>21</v>
      </c>
      <c r="L478" s="10" t="s">
        <v>2673</v>
      </c>
    </row>
    <row r="479" spans="1:12" x14ac:dyDescent="0.35">
      <c r="A479" s="9">
        <v>478</v>
      </c>
      <c r="B479" s="19">
        <v>45919.212430555563</v>
      </c>
      <c r="C479" s="20">
        <v>45919</v>
      </c>
      <c r="D479" s="8" t="s">
        <v>394</v>
      </c>
      <c r="E479" s="12">
        <v>350</v>
      </c>
      <c r="F479" s="3">
        <v>0</v>
      </c>
      <c r="G479" s="3">
        <v>36.56</v>
      </c>
      <c r="H479" s="8" t="s">
        <v>51</v>
      </c>
      <c r="I479" s="8" t="s">
        <v>52</v>
      </c>
      <c r="J479" s="8" t="s">
        <v>32</v>
      </c>
      <c r="K479" s="8" t="s">
        <v>21</v>
      </c>
      <c r="L479" s="8" t="s">
        <v>1376</v>
      </c>
    </row>
    <row r="480" spans="1:12" x14ac:dyDescent="0.35">
      <c r="A480" s="11">
        <v>479</v>
      </c>
      <c r="B480" s="17">
        <v>45920.110300925917</v>
      </c>
      <c r="C480" s="18">
        <v>45920</v>
      </c>
      <c r="D480" s="10" t="s">
        <v>2527</v>
      </c>
      <c r="E480" s="5">
        <v>0</v>
      </c>
      <c r="F480" s="15">
        <v>0.09</v>
      </c>
      <c r="G480" s="5">
        <v>36.65</v>
      </c>
      <c r="H480" s="10" t="s">
        <v>51</v>
      </c>
      <c r="I480" s="10" t="s">
        <v>71</v>
      </c>
      <c r="J480" s="10" t="s">
        <v>32</v>
      </c>
      <c r="K480" s="10" t="s">
        <v>21</v>
      </c>
      <c r="L480" s="10" t="s">
        <v>2674</v>
      </c>
    </row>
    <row r="481" spans="1:12" x14ac:dyDescent="0.35">
      <c r="A481" s="9">
        <v>480</v>
      </c>
      <c r="B481" s="19">
        <v>45920.926620370366</v>
      </c>
      <c r="C481" s="20">
        <v>45920</v>
      </c>
      <c r="D481" s="8" t="s">
        <v>426</v>
      </c>
      <c r="E481" s="3">
        <v>0</v>
      </c>
      <c r="F481" s="13">
        <v>27590</v>
      </c>
      <c r="G481" s="3">
        <v>27626.65</v>
      </c>
      <c r="H481" s="8" t="s">
        <v>51</v>
      </c>
      <c r="I481" s="8" t="s">
        <v>71</v>
      </c>
      <c r="J481" s="8" t="s">
        <v>32</v>
      </c>
      <c r="K481" s="8" t="s">
        <v>21</v>
      </c>
      <c r="L481" s="8" t="s">
        <v>1390</v>
      </c>
    </row>
    <row r="482" spans="1:12" x14ac:dyDescent="0.35">
      <c r="A482" s="11">
        <v>481</v>
      </c>
      <c r="B482" s="17">
        <v>45921.09784722222</v>
      </c>
      <c r="C482" s="18">
        <v>45921</v>
      </c>
      <c r="D482" s="10" t="s">
        <v>2527</v>
      </c>
      <c r="E482" s="5">
        <v>0</v>
      </c>
      <c r="F482" s="15">
        <v>0.09</v>
      </c>
      <c r="G482" s="5">
        <v>27626.74</v>
      </c>
      <c r="H482" s="10" t="s">
        <v>51</v>
      </c>
      <c r="I482" s="10" t="s">
        <v>71</v>
      </c>
      <c r="J482" s="10" t="s">
        <v>32</v>
      </c>
      <c r="K482" s="10" t="s">
        <v>21</v>
      </c>
      <c r="L482" s="10" t="s">
        <v>2675</v>
      </c>
    </row>
    <row r="483" spans="1:12" x14ac:dyDescent="0.35">
      <c r="A483" s="9">
        <v>482</v>
      </c>
      <c r="B483" s="19">
        <v>45921.209699074083</v>
      </c>
      <c r="C483" s="20">
        <v>45921</v>
      </c>
      <c r="D483" s="8" t="s">
        <v>394</v>
      </c>
      <c r="E483" s="12">
        <v>500</v>
      </c>
      <c r="F483" s="3">
        <v>0</v>
      </c>
      <c r="G483" s="3">
        <v>27126.74</v>
      </c>
      <c r="H483" s="8" t="s">
        <v>51</v>
      </c>
      <c r="I483" s="8" t="s">
        <v>52</v>
      </c>
      <c r="J483" s="8" t="s">
        <v>32</v>
      </c>
      <c r="K483" s="8" t="s">
        <v>21</v>
      </c>
      <c r="L483" s="8" t="s">
        <v>1392</v>
      </c>
    </row>
    <row r="484" spans="1:12" x14ac:dyDescent="0.35">
      <c r="A484" s="11">
        <v>483</v>
      </c>
      <c r="B484" s="17">
        <v>45921.212222222217</v>
      </c>
      <c r="C484" s="18">
        <v>45921</v>
      </c>
      <c r="D484" s="10" t="s">
        <v>394</v>
      </c>
      <c r="E484" s="14">
        <v>350</v>
      </c>
      <c r="F484" s="5">
        <v>0</v>
      </c>
      <c r="G484" s="5">
        <v>26776.74</v>
      </c>
      <c r="H484" s="10" t="s">
        <v>51</v>
      </c>
      <c r="I484" s="10" t="s">
        <v>52</v>
      </c>
      <c r="J484" s="10" t="s">
        <v>32</v>
      </c>
      <c r="K484" s="10" t="s">
        <v>21</v>
      </c>
      <c r="L484" s="10" t="s">
        <v>1393</v>
      </c>
    </row>
    <row r="485" spans="1:12" x14ac:dyDescent="0.35">
      <c r="A485" s="9">
        <v>484</v>
      </c>
      <c r="B485" s="19">
        <v>45921.481168981481</v>
      </c>
      <c r="C485" s="20">
        <v>45921</v>
      </c>
      <c r="D485" s="8" t="s">
        <v>394</v>
      </c>
      <c r="E485" s="12">
        <v>1500</v>
      </c>
      <c r="F485" s="3">
        <v>0</v>
      </c>
      <c r="G485" s="3">
        <v>25276.74</v>
      </c>
      <c r="H485" s="8" t="s">
        <v>51</v>
      </c>
      <c r="I485" s="8" t="s">
        <v>52</v>
      </c>
      <c r="J485" s="8" t="s">
        <v>32</v>
      </c>
      <c r="K485" s="8" t="s">
        <v>21</v>
      </c>
      <c r="L485" s="8" t="s">
        <v>1397</v>
      </c>
    </row>
    <row r="486" spans="1:12" x14ac:dyDescent="0.35">
      <c r="A486" s="11">
        <v>485</v>
      </c>
      <c r="B486" s="17">
        <v>45921.533368055563</v>
      </c>
      <c r="C486" s="18">
        <v>45921</v>
      </c>
      <c r="D486" s="10" t="s">
        <v>394</v>
      </c>
      <c r="E486" s="14">
        <v>1800</v>
      </c>
      <c r="F486" s="5">
        <v>0</v>
      </c>
      <c r="G486" s="5">
        <v>23476.74</v>
      </c>
      <c r="H486" s="10" t="s">
        <v>51</v>
      </c>
      <c r="I486" s="10" t="s">
        <v>52</v>
      </c>
      <c r="J486" s="10" t="s">
        <v>32</v>
      </c>
      <c r="K486" s="10" t="s">
        <v>21</v>
      </c>
      <c r="L486" s="10" t="s">
        <v>1399</v>
      </c>
    </row>
    <row r="487" spans="1:12" x14ac:dyDescent="0.35">
      <c r="A487" s="9">
        <v>486</v>
      </c>
      <c r="B487" s="19">
        <v>45921.571250000001</v>
      </c>
      <c r="C487" s="20">
        <v>45921</v>
      </c>
      <c r="D487" s="8" t="s">
        <v>394</v>
      </c>
      <c r="E487" s="12">
        <v>1000</v>
      </c>
      <c r="F487" s="3">
        <v>0</v>
      </c>
      <c r="G487" s="3">
        <v>22476.74</v>
      </c>
      <c r="H487" s="8" t="s">
        <v>51</v>
      </c>
      <c r="I487" s="8" t="s">
        <v>52</v>
      </c>
      <c r="J487" s="8" t="s">
        <v>32</v>
      </c>
      <c r="K487" s="8" t="s">
        <v>21</v>
      </c>
      <c r="L487" s="8" t="s">
        <v>1401</v>
      </c>
    </row>
    <row r="488" spans="1:12" x14ac:dyDescent="0.35">
      <c r="A488" s="11">
        <v>487</v>
      </c>
      <c r="B488" s="17">
        <v>45922.105416666673</v>
      </c>
      <c r="C488" s="18">
        <v>45922</v>
      </c>
      <c r="D488" s="10" t="s">
        <v>2527</v>
      </c>
      <c r="E488" s="5">
        <v>0</v>
      </c>
      <c r="F488" s="15">
        <v>7.74</v>
      </c>
      <c r="G488" s="5">
        <v>22484.48</v>
      </c>
      <c r="H488" s="10" t="s">
        <v>51</v>
      </c>
      <c r="I488" s="10" t="s">
        <v>71</v>
      </c>
      <c r="J488" s="10" t="s">
        <v>32</v>
      </c>
      <c r="K488" s="10" t="s">
        <v>21</v>
      </c>
      <c r="L488" s="10" t="s">
        <v>2676</v>
      </c>
    </row>
    <row r="489" spans="1:12" x14ac:dyDescent="0.35">
      <c r="A489" s="9">
        <v>488</v>
      </c>
      <c r="B489" s="19">
        <v>45922.209652777783</v>
      </c>
      <c r="C489" s="20">
        <v>45922</v>
      </c>
      <c r="D489" s="8" t="s">
        <v>394</v>
      </c>
      <c r="E489" s="12">
        <v>500</v>
      </c>
      <c r="F489" s="3">
        <v>0</v>
      </c>
      <c r="G489" s="3">
        <v>21984.48</v>
      </c>
      <c r="H489" s="8" t="s">
        <v>51</v>
      </c>
      <c r="I489" s="8" t="s">
        <v>52</v>
      </c>
      <c r="J489" s="8" t="s">
        <v>32</v>
      </c>
      <c r="K489" s="8" t="s">
        <v>21</v>
      </c>
      <c r="L489" s="8" t="s">
        <v>1402</v>
      </c>
    </row>
    <row r="490" spans="1:12" x14ac:dyDescent="0.35">
      <c r="A490" s="11">
        <v>489</v>
      </c>
      <c r="B490" s="17">
        <v>45922.28125</v>
      </c>
      <c r="C490" s="18">
        <v>45922</v>
      </c>
      <c r="D490" s="10" t="s">
        <v>2525</v>
      </c>
      <c r="E490" s="5">
        <v>0</v>
      </c>
      <c r="F490" s="15">
        <v>1386</v>
      </c>
      <c r="G490" s="5">
        <v>23370.48</v>
      </c>
      <c r="H490" s="10" t="s">
        <v>51</v>
      </c>
      <c r="I490" s="10" t="s">
        <v>71</v>
      </c>
      <c r="J490" s="10" t="s">
        <v>32</v>
      </c>
      <c r="K490" s="10" t="s">
        <v>21</v>
      </c>
      <c r="L490" s="10" t="s">
        <v>2677</v>
      </c>
    </row>
    <row r="491" spans="1:12" x14ac:dyDescent="0.35">
      <c r="A491" s="9">
        <v>490</v>
      </c>
      <c r="B491" s="19">
        <v>45922.36278935185</v>
      </c>
      <c r="C491" s="20">
        <v>45922</v>
      </c>
      <c r="D491" s="8" t="s">
        <v>394</v>
      </c>
      <c r="E491" s="12">
        <v>3800</v>
      </c>
      <c r="F491" s="3">
        <v>0</v>
      </c>
      <c r="G491" s="3">
        <v>19570.48</v>
      </c>
      <c r="H491" s="8" t="s">
        <v>51</v>
      </c>
      <c r="I491" s="8" t="s">
        <v>52</v>
      </c>
      <c r="J491" s="8" t="s">
        <v>32</v>
      </c>
      <c r="K491" s="8" t="s">
        <v>21</v>
      </c>
      <c r="L491" s="8" t="s">
        <v>1405</v>
      </c>
    </row>
    <row r="492" spans="1:12" x14ac:dyDescent="0.35">
      <c r="A492" s="11">
        <v>491</v>
      </c>
      <c r="B492" s="17">
        <v>45922.377789351849</v>
      </c>
      <c r="C492" s="18">
        <v>45922</v>
      </c>
      <c r="D492" s="10" t="s">
        <v>394</v>
      </c>
      <c r="E492" s="14">
        <v>5000</v>
      </c>
      <c r="F492" s="5">
        <v>0</v>
      </c>
      <c r="G492" s="5">
        <v>14570.48</v>
      </c>
      <c r="H492" s="10" t="s">
        <v>51</v>
      </c>
      <c r="I492" s="10" t="s">
        <v>52</v>
      </c>
      <c r="J492" s="10" t="s">
        <v>32</v>
      </c>
      <c r="K492" s="10" t="s">
        <v>21</v>
      </c>
      <c r="L492" s="10" t="s">
        <v>1408</v>
      </c>
    </row>
    <row r="493" spans="1:12" x14ac:dyDescent="0.35">
      <c r="A493" s="9">
        <v>492</v>
      </c>
      <c r="B493" s="19">
        <v>45923.095590277779</v>
      </c>
      <c r="C493" s="20">
        <v>45923</v>
      </c>
      <c r="D493" s="8" t="s">
        <v>2527</v>
      </c>
      <c r="E493" s="3">
        <v>0</v>
      </c>
      <c r="F493" s="13">
        <v>5.0199999999999996</v>
      </c>
      <c r="G493" s="3">
        <v>14575.5</v>
      </c>
      <c r="H493" s="8" t="s">
        <v>51</v>
      </c>
      <c r="I493" s="8" t="s">
        <v>71</v>
      </c>
      <c r="J493" s="8" t="s">
        <v>32</v>
      </c>
      <c r="K493" s="8" t="s">
        <v>21</v>
      </c>
      <c r="L493" s="8" t="s">
        <v>2678</v>
      </c>
    </row>
    <row r="494" spans="1:12" x14ac:dyDescent="0.35">
      <c r="A494" s="11">
        <v>493</v>
      </c>
      <c r="B494" s="17">
        <v>45923.209652777783</v>
      </c>
      <c r="C494" s="18">
        <v>45923</v>
      </c>
      <c r="D494" s="10" t="s">
        <v>394</v>
      </c>
      <c r="E494" s="14">
        <v>500</v>
      </c>
      <c r="F494" s="5">
        <v>0</v>
      </c>
      <c r="G494" s="5">
        <v>14075.5</v>
      </c>
      <c r="H494" s="10" t="s">
        <v>51</v>
      </c>
      <c r="I494" s="10" t="s">
        <v>52</v>
      </c>
      <c r="J494" s="10" t="s">
        <v>32</v>
      </c>
      <c r="K494" s="10" t="s">
        <v>21</v>
      </c>
      <c r="L494" s="10" t="s">
        <v>1409</v>
      </c>
    </row>
    <row r="495" spans="1:12" x14ac:dyDescent="0.35">
      <c r="A495" s="9">
        <v>494</v>
      </c>
      <c r="B495" s="19">
        <v>45923.492893518523</v>
      </c>
      <c r="C495" s="20">
        <v>45923</v>
      </c>
      <c r="D495" s="8" t="s">
        <v>394</v>
      </c>
      <c r="E495" s="12">
        <v>1300</v>
      </c>
      <c r="F495" s="3">
        <v>0</v>
      </c>
      <c r="G495" s="3">
        <v>12775.5</v>
      </c>
      <c r="H495" s="8" t="s">
        <v>51</v>
      </c>
      <c r="I495" s="8" t="s">
        <v>52</v>
      </c>
      <c r="J495" s="8" t="s">
        <v>32</v>
      </c>
      <c r="K495" s="8" t="s">
        <v>21</v>
      </c>
      <c r="L495" s="8" t="s">
        <v>1413</v>
      </c>
    </row>
    <row r="496" spans="1:12" x14ac:dyDescent="0.35">
      <c r="A496" s="11">
        <v>495</v>
      </c>
      <c r="B496" s="17">
        <v>45924.102268518523</v>
      </c>
      <c r="C496" s="18">
        <v>45924</v>
      </c>
      <c r="D496" s="10" t="s">
        <v>2527</v>
      </c>
      <c r="E496" s="5">
        <v>0</v>
      </c>
      <c r="F496" s="15">
        <v>4.4000000000000004</v>
      </c>
      <c r="G496" s="5">
        <v>12779.9</v>
      </c>
      <c r="H496" s="10" t="s">
        <v>51</v>
      </c>
      <c r="I496" s="10" t="s">
        <v>71</v>
      </c>
      <c r="J496" s="10" t="s">
        <v>32</v>
      </c>
      <c r="K496" s="10" t="s">
        <v>21</v>
      </c>
      <c r="L496" s="10" t="s">
        <v>2679</v>
      </c>
    </row>
    <row r="497" spans="1:12" x14ac:dyDescent="0.35">
      <c r="A497" s="9">
        <v>496</v>
      </c>
      <c r="B497" s="19">
        <v>45924.209687499999</v>
      </c>
      <c r="C497" s="20">
        <v>45924</v>
      </c>
      <c r="D497" s="8" t="s">
        <v>394</v>
      </c>
      <c r="E497" s="12">
        <v>500</v>
      </c>
      <c r="F497" s="3">
        <v>0</v>
      </c>
      <c r="G497" s="3">
        <v>12279.9</v>
      </c>
      <c r="H497" s="8" t="s">
        <v>51</v>
      </c>
      <c r="I497" s="8" t="s">
        <v>52</v>
      </c>
      <c r="J497" s="8" t="s">
        <v>32</v>
      </c>
      <c r="K497" s="8" t="s">
        <v>21</v>
      </c>
      <c r="L497" s="8" t="s">
        <v>1414</v>
      </c>
    </row>
    <row r="498" spans="1:12" x14ac:dyDescent="0.35">
      <c r="A498" s="11">
        <v>497</v>
      </c>
      <c r="B498" s="17">
        <v>45925.097268518519</v>
      </c>
      <c r="C498" s="18">
        <v>45925</v>
      </c>
      <c r="D498" s="10" t="s">
        <v>2527</v>
      </c>
      <c r="E498" s="5">
        <v>0</v>
      </c>
      <c r="F498" s="15">
        <v>4.2300000000000004</v>
      </c>
      <c r="G498" s="5">
        <v>12284.13</v>
      </c>
      <c r="H498" s="10" t="s">
        <v>51</v>
      </c>
      <c r="I498" s="10" t="s">
        <v>71</v>
      </c>
      <c r="J498" s="10" t="s">
        <v>32</v>
      </c>
      <c r="K498" s="10" t="s">
        <v>21</v>
      </c>
      <c r="L498" s="10" t="s">
        <v>2680</v>
      </c>
    </row>
    <row r="499" spans="1:12" x14ac:dyDescent="0.35">
      <c r="A499" s="9">
        <v>498</v>
      </c>
      <c r="B499" s="19">
        <v>45925.209293981483</v>
      </c>
      <c r="C499" s="20">
        <v>45925</v>
      </c>
      <c r="D499" s="8" t="s">
        <v>394</v>
      </c>
      <c r="E499" s="12">
        <v>500</v>
      </c>
      <c r="F499" s="3">
        <v>0</v>
      </c>
      <c r="G499" s="3">
        <v>11784.13</v>
      </c>
      <c r="H499" s="8" t="s">
        <v>51</v>
      </c>
      <c r="I499" s="8" t="s">
        <v>52</v>
      </c>
      <c r="J499" s="8" t="s">
        <v>32</v>
      </c>
      <c r="K499" s="8" t="s">
        <v>21</v>
      </c>
      <c r="L499" s="8" t="s">
        <v>1416</v>
      </c>
    </row>
    <row r="500" spans="1:12" x14ac:dyDescent="0.35">
      <c r="A500" s="11">
        <v>499</v>
      </c>
      <c r="B500" s="17">
        <v>45925.921354166669</v>
      </c>
      <c r="C500" s="18">
        <v>45925</v>
      </c>
      <c r="D500" s="10" t="s">
        <v>394</v>
      </c>
      <c r="E500" s="14">
        <v>50</v>
      </c>
      <c r="F500" s="5">
        <v>0</v>
      </c>
      <c r="G500" s="5">
        <v>11734.13</v>
      </c>
      <c r="H500" s="10" t="s">
        <v>51</v>
      </c>
      <c r="I500" s="10" t="s">
        <v>52</v>
      </c>
      <c r="J500" s="10" t="s">
        <v>32</v>
      </c>
      <c r="K500" s="10" t="s">
        <v>21</v>
      </c>
      <c r="L500" s="10" t="s">
        <v>1421</v>
      </c>
    </row>
    <row r="501" spans="1:12" x14ac:dyDescent="0.35">
      <c r="A501" s="9">
        <v>500</v>
      </c>
      <c r="B501" s="19">
        <v>45925.923321759263</v>
      </c>
      <c r="C501" s="20">
        <v>45925</v>
      </c>
      <c r="D501" s="8" t="s">
        <v>394</v>
      </c>
      <c r="E501" s="12">
        <v>50</v>
      </c>
      <c r="F501" s="3">
        <v>0</v>
      </c>
      <c r="G501" s="3">
        <v>11684.13</v>
      </c>
      <c r="H501" s="8" t="s">
        <v>51</v>
      </c>
      <c r="I501" s="8" t="s">
        <v>52</v>
      </c>
      <c r="J501" s="8" t="s">
        <v>32</v>
      </c>
      <c r="K501" s="8" t="s">
        <v>21</v>
      </c>
      <c r="L501" s="8" t="s">
        <v>1425</v>
      </c>
    </row>
    <row r="502" spans="1:12" x14ac:dyDescent="0.35">
      <c r="A502" s="11">
        <v>501</v>
      </c>
      <c r="B502" s="17">
        <v>45926.101481481477</v>
      </c>
      <c r="C502" s="18">
        <v>45926</v>
      </c>
      <c r="D502" s="10" t="s">
        <v>2527</v>
      </c>
      <c r="E502" s="5">
        <v>0</v>
      </c>
      <c r="F502" s="15">
        <v>4.0199999999999996</v>
      </c>
      <c r="G502" s="5">
        <v>11688.15</v>
      </c>
      <c r="H502" s="10" t="s">
        <v>51</v>
      </c>
      <c r="I502" s="10" t="s">
        <v>71</v>
      </c>
      <c r="J502" s="10" t="s">
        <v>32</v>
      </c>
      <c r="K502" s="10" t="s">
        <v>21</v>
      </c>
      <c r="L502" s="10" t="s">
        <v>2681</v>
      </c>
    </row>
    <row r="503" spans="1:12" x14ac:dyDescent="0.35">
      <c r="A503" s="9">
        <v>502</v>
      </c>
      <c r="B503" s="19">
        <v>45926.209745370368</v>
      </c>
      <c r="C503" s="20">
        <v>45926</v>
      </c>
      <c r="D503" s="8" t="s">
        <v>394</v>
      </c>
      <c r="E503" s="12">
        <v>500</v>
      </c>
      <c r="F503" s="3">
        <v>0</v>
      </c>
      <c r="G503" s="3">
        <v>11188.15</v>
      </c>
      <c r="H503" s="8" t="s">
        <v>51</v>
      </c>
      <c r="I503" s="8" t="s">
        <v>52</v>
      </c>
      <c r="J503" s="8" t="s">
        <v>32</v>
      </c>
      <c r="K503" s="8" t="s">
        <v>21</v>
      </c>
      <c r="L503" s="8" t="s">
        <v>1426</v>
      </c>
    </row>
    <row r="504" spans="1:12" x14ac:dyDescent="0.35">
      <c r="A504" s="11">
        <v>503</v>
      </c>
      <c r="B504" s="17">
        <v>45926.926828703698</v>
      </c>
      <c r="C504" s="18">
        <v>45926</v>
      </c>
      <c r="D504" s="10" t="s">
        <v>426</v>
      </c>
      <c r="E504" s="5">
        <v>0</v>
      </c>
      <c r="F504" s="15">
        <v>21950</v>
      </c>
      <c r="G504" s="5">
        <v>33138.15</v>
      </c>
      <c r="H504" s="10" t="s">
        <v>51</v>
      </c>
      <c r="I504" s="10" t="s">
        <v>71</v>
      </c>
      <c r="J504" s="10" t="s">
        <v>32</v>
      </c>
      <c r="K504" s="10" t="s">
        <v>21</v>
      </c>
      <c r="L504" s="10" t="s">
        <v>1435</v>
      </c>
    </row>
    <row r="505" spans="1:12" x14ac:dyDescent="0.35">
      <c r="A505" s="9">
        <v>504</v>
      </c>
      <c r="B505" s="19">
        <v>45927.09884259259</v>
      </c>
      <c r="C505" s="20">
        <v>45927</v>
      </c>
      <c r="D505" s="8" t="s">
        <v>2527</v>
      </c>
      <c r="E505" s="3">
        <v>0</v>
      </c>
      <c r="F505" s="13">
        <v>3.85</v>
      </c>
      <c r="G505" s="3">
        <v>33142</v>
      </c>
      <c r="H505" s="8" t="s">
        <v>51</v>
      </c>
      <c r="I505" s="8" t="s">
        <v>71</v>
      </c>
      <c r="J505" s="8" t="s">
        <v>32</v>
      </c>
      <c r="K505" s="8" t="s">
        <v>21</v>
      </c>
      <c r="L505" s="8" t="s">
        <v>2682</v>
      </c>
    </row>
    <row r="506" spans="1:12" x14ac:dyDescent="0.35">
      <c r="A506" s="11">
        <v>505</v>
      </c>
      <c r="B506" s="17">
        <v>45927.209606481483</v>
      </c>
      <c r="C506" s="18">
        <v>45927</v>
      </c>
      <c r="D506" s="10" t="s">
        <v>394</v>
      </c>
      <c r="E506" s="14">
        <v>500</v>
      </c>
      <c r="F506" s="5">
        <v>0</v>
      </c>
      <c r="G506" s="5">
        <v>32642</v>
      </c>
      <c r="H506" s="10" t="s">
        <v>51</v>
      </c>
      <c r="I506" s="10" t="s">
        <v>52</v>
      </c>
      <c r="J506" s="10" t="s">
        <v>32</v>
      </c>
      <c r="K506" s="10" t="s">
        <v>21</v>
      </c>
      <c r="L506" s="10" t="s">
        <v>1436</v>
      </c>
    </row>
    <row r="507" spans="1:12" x14ac:dyDescent="0.35">
      <c r="A507" s="9">
        <v>506</v>
      </c>
      <c r="B507" s="19">
        <v>45927.778726851851</v>
      </c>
      <c r="C507" s="20">
        <v>45927</v>
      </c>
      <c r="D507" s="8" t="s">
        <v>394</v>
      </c>
      <c r="E507" s="12">
        <v>2000</v>
      </c>
      <c r="F507" s="3">
        <v>0</v>
      </c>
      <c r="G507" s="3">
        <v>30642</v>
      </c>
      <c r="H507" s="8" t="s">
        <v>51</v>
      </c>
      <c r="I507" s="8" t="s">
        <v>52</v>
      </c>
      <c r="J507" s="8" t="s">
        <v>32</v>
      </c>
      <c r="K507" s="8" t="s">
        <v>21</v>
      </c>
      <c r="L507" s="8" t="s">
        <v>1440</v>
      </c>
    </row>
    <row r="508" spans="1:12" x14ac:dyDescent="0.35">
      <c r="A508" s="11">
        <v>507</v>
      </c>
      <c r="B508" s="17">
        <v>45928.103148148148</v>
      </c>
      <c r="C508" s="18">
        <v>45928</v>
      </c>
      <c r="D508" s="10" t="s">
        <v>2527</v>
      </c>
      <c r="E508" s="5">
        <v>0</v>
      </c>
      <c r="F508" s="15">
        <v>10.55</v>
      </c>
      <c r="G508" s="5">
        <v>30652.55</v>
      </c>
      <c r="H508" s="10" t="s">
        <v>51</v>
      </c>
      <c r="I508" s="10" t="s">
        <v>71</v>
      </c>
      <c r="J508" s="10" t="s">
        <v>32</v>
      </c>
      <c r="K508" s="10" t="s">
        <v>21</v>
      </c>
      <c r="L508" s="10" t="s">
        <v>2683</v>
      </c>
    </row>
    <row r="509" spans="1:12" x14ac:dyDescent="0.35">
      <c r="A509" s="9">
        <v>508</v>
      </c>
      <c r="B509" s="19">
        <v>45928.209699074083</v>
      </c>
      <c r="C509" s="20">
        <v>45928</v>
      </c>
      <c r="D509" s="8" t="s">
        <v>394</v>
      </c>
      <c r="E509" s="12">
        <v>500</v>
      </c>
      <c r="F509" s="3">
        <v>0</v>
      </c>
      <c r="G509" s="3">
        <v>30152.55</v>
      </c>
      <c r="H509" s="8" t="s">
        <v>51</v>
      </c>
      <c r="I509" s="8" t="s">
        <v>52</v>
      </c>
      <c r="J509" s="8" t="s">
        <v>32</v>
      </c>
      <c r="K509" s="8" t="s">
        <v>21</v>
      </c>
      <c r="L509" s="8" t="s">
        <v>1442</v>
      </c>
    </row>
    <row r="510" spans="1:12" x14ac:dyDescent="0.35">
      <c r="A510" s="11">
        <v>509</v>
      </c>
      <c r="B510" s="17">
        <v>45928.46466435185</v>
      </c>
      <c r="C510" s="18">
        <v>45928</v>
      </c>
      <c r="D510" s="10" t="s">
        <v>394</v>
      </c>
      <c r="E510" s="14">
        <v>1500</v>
      </c>
      <c r="F510" s="5">
        <v>0</v>
      </c>
      <c r="G510" s="5">
        <v>28652.55</v>
      </c>
      <c r="H510" s="10" t="s">
        <v>51</v>
      </c>
      <c r="I510" s="10" t="s">
        <v>52</v>
      </c>
      <c r="J510" s="10" t="s">
        <v>32</v>
      </c>
      <c r="K510" s="10" t="s">
        <v>21</v>
      </c>
      <c r="L510" s="10" t="s">
        <v>1444</v>
      </c>
    </row>
    <row r="511" spans="1:12" x14ac:dyDescent="0.35">
      <c r="A511" s="9">
        <v>510</v>
      </c>
      <c r="B511" s="19">
        <v>45929.101168981477</v>
      </c>
      <c r="C511" s="20">
        <v>45929</v>
      </c>
      <c r="D511" s="8" t="s">
        <v>2527</v>
      </c>
      <c r="E511" s="3">
        <v>0</v>
      </c>
      <c r="F511" s="13">
        <v>9.8699999999999992</v>
      </c>
      <c r="G511" s="3">
        <v>28662.42</v>
      </c>
      <c r="H511" s="8" t="s">
        <v>51</v>
      </c>
      <c r="I511" s="8" t="s">
        <v>71</v>
      </c>
      <c r="J511" s="8" t="s">
        <v>32</v>
      </c>
      <c r="K511" s="8" t="s">
        <v>21</v>
      </c>
      <c r="L511" s="8" t="s">
        <v>2684</v>
      </c>
    </row>
    <row r="512" spans="1:12" x14ac:dyDescent="0.35">
      <c r="A512" s="11">
        <v>511</v>
      </c>
      <c r="B512" s="17">
        <v>45929.209560185183</v>
      </c>
      <c r="C512" s="18">
        <v>45929</v>
      </c>
      <c r="D512" s="10" t="s">
        <v>394</v>
      </c>
      <c r="E512" s="14">
        <v>500</v>
      </c>
      <c r="F512" s="5">
        <v>0</v>
      </c>
      <c r="G512" s="5">
        <v>28162.42</v>
      </c>
      <c r="H512" s="10" t="s">
        <v>51</v>
      </c>
      <c r="I512" s="10" t="s">
        <v>52</v>
      </c>
      <c r="J512" s="10" t="s">
        <v>32</v>
      </c>
      <c r="K512" s="10" t="s">
        <v>21</v>
      </c>
      <c r="L512" s="10" t="s">
        <v>1445</v>
      </c>
    </row>
    <row r="513" spans="1:12" x14ac:dyDescent="0.35">
      <c r="A513" s="9">
        <v>512</v>
      </c>
      <c r="B513" s="19">
        <v>45929.268090277779</v>
      </c>
      <c r="C513" s="20">
        <v>45929</v>
      </c>
      <c r="D513" s="8" t="s">
        <v>394</v>
      </c>
      <c r="E513" s="12">
        <v>3000</v>
      </c>
      <c r="F513" s="3">
        <v>0</v>
      </c>
      <c r="G513" s="3">
        <v>25162.42</v>
      </c>
      <c r="H513" s="8" t="s">
        <v>51</v>
      </c>
      <c r="I513" s="8" t="s">
        <v>52</v>
      </c>
      <c r="J513" s="8" t="s">
        <v>32</v>
      </c>
      <c r="K513" s="8" t="s">
        <v>21</v>
      </c>
      <c r="L513" s="8" t="s">
        <v>1448</v>
      </c>
    </row>
    <row r="514" spans="1:12" x14ac:dyDescent="0.35">
      <c r="A514" s="11">
        <v>513</v>
      </c>
      <c r="B514" s="17">
        <v>45929.268368055556</v>
      </c>
      <c r="C514" s="18">
        <v>45929</v>
      </c>
      <c r="D514" s="10" t="s">
        <v>394</v>
      </c>
      <c r="E514" s="14">
        <v>2961</v>
      </c>
      <c r="F514" s="5">
        <v>0</v>
      </c>
      <c r="G514" s="5">
        <v>22201.42</v>
      </c>
      <c r="H514" s="10" t="s">
        <v>51</v>
      </c>
      <c r="I514" s="10" t="s">
        <v>52</v>
      </c>
      <c r="J514" s="10" t="s">
        <v>32</v>
      </c>
      <c r="K514" s="10" t="s">
        <v>21</v>
      </c>
      <c r="L514" s="10" t="s">
        <v>1450</v>
      </c>
    </row>
    <row r="515" spans="1:12" x14ac:dyDescent="0.35">
      <c r="A515" s="9">
        <v>514</v>
      </c>
      <c r="B515" s="19">
        <v>45929.397349537037</v>
      </c>
      <c r="C515" s="20">
        <v>45929</v>
      </c>
      <c r="D515" s="8" t="s">
        <v>394</v>
      </c>
      <c r="E515" s="12">
        <v>4100</v>
      </c>
      <c r="F515" s="3">
        <v>0</v>
      </c>
      <c r="G515" s="3">
        <v>18101.419999999998</v>
      </c>
      <c r="H515" s="8" t="s">
        <v>51</v>
      </c>
      <c r="I515" s="8" t="s">
        <v>52</v>
      </c>
      <c r="J515" s="8" t="s">
        <v>32</v>
      </c>
      <c r="K515" s="8" t="s">
        <v>21</v>
      </c>
      <c r="L515" s="8" t="s">
        <v>1453</v>
      </c>
    </row>
    <row r="516" spans="1:12" x14ac:dyDescent="0.35">
      <c r="A516" s="11">
        <v>515</v>
      </c>
      <c r="B516" s="17">
        <v>45929.419398148151</v>
      </c>
      <c r="C516" s="18">
        <v>45929</v>
      </c>
      <c r="D516" s="10" t="s">
        <v>394</v>
      </c>
      <c r="E516" s="14">
        <v>3100</v>
      </c>
      <c r="F516" s="5">
        <v>0</v>
      </c>
      <c r="G516" s="5">
        <v>15001.42</v>
      </c>
      <c r="H516" s="10" t="s">
        <v>51</v>
      </c>
      <c r="I516" s="10" t="s">
        <v>52</v>
      </c>
      <c r="J516" s="10" t="s">
        <v>32</v>
      </c>
      <c r="K516" s="10" t="s">
        <v>21</v>
      </c>
      <c r="L516" s="10" t="s">
        <v>1456</v>
      </c>
    </row>
    <row r="517" spans="1:12" x14ac:dyDescent="0.35">
      <c r="A517" s="9">
        <v>516</v>
      </c>
      <c r="B517" s="19">
        <v>45930.10292824074</v>
      </c>
      <c r="C517" s="20">
        <v>45930</v>
      </c>
      <c r="D517" s="8" t="s">
        <v>2527</v>
      </c>
      <c r="E517" s="3">
        <v>0</v>
      </c>
      <c r="F517" s="13">
        <v>5.16</v>
      </c>
      <c r="G517" s="3">
        <v>15006.58</v>
      </c>
      <c r="H517" s="8" t="s">
        <v>51</v>
      </c>
      <c r="I517" s="8" t="s">
        <v>71</v>
      </c>
      <c r="J517" s="8" t="s">
        <v>32</v>
      </c>
      <c r="K517" s="8" t="s">
        <v>21</v>
      </c>
      <c r="L517" s="8" t="s">
        <v>2685</v>
      </c>
    </row>
    <row r="518" spans="1:12" x14ac:dyDescent="0.35">
      <c r="A518" s="11">
        <v>517</v>
      </c>
      <c r="B518" s="17">
        <v>45930.209594907406</v>
      </c>
      <c r="C518" s="18">
        <v>45930</v>
      </c>
      <c r="D518" s="10" t="s">
        <v>394</v>
      </c>
      <c r="E518" s="14">
        <v>500</v>
      </c>
      <c r="F518" s="5">
        <v>0</v>
      </c>
      <c r="G518" s="5">
        <v>14506.58</v>
      </c>
      <c r="H518" s="10" t="s">
        <v>51</v>
      </c>
      <c r="I518" s="10" t="s">
        <v>52</v>
      </c>
      <c r="J518" s="10" t="s">
        <v>32</v>
      </c>
      <c r="K518" s="10" t="s">
        <v>21</v>
      </c>
      <c r="L518" s="10" t="s">
        <v>1457</v>
      </c>
    </row>
    <row r="519" spans="1:12" x14ac:dyDescent="0.35">
      <c r="A519" s="9">
        <v>518</v>
      </c>
      <c r="B519" s="19">
        <v>45930.32739583333</v>
      </c>
      <c r="C519" s="20">
        <v>45930</v>
      </c>
      <c r="D519" s="8" t="s">
        <v>394</v>
      </c>
      <c r="E519" s="12">
        <v>900</v>
      </c>
      <c r="F519" s="3">
        <v>0</v>
      </c>
      <c r="G519" s="3">
        <v>13606.58</v>
      </c>
      <c r="H519" s="8" t="s">
        <v>51</v>
      </c>
      <c r="I519" s="8" t="s">
        <v>52</v>
      </c>
      <c r="J519" s="8" t="s">
        <v>32</v>
      </c>
      <c r="K519" s="8" t="s">
        <v>21</v>
      </c>
      <c r="L519" s="8" t="s">
        <v>1461</v>
      </c>
    </row>
    <row r="520" spans="1:12" x14ac:dyDescent="0.35">
      <c r="A520" s="11">
        <v>519</v>
      </c>
      <c r="B520" s="17">
        <v>45930.650277777779</v>
      </c>
      <c r="C520" s="18">
        <v>45930</v>
      </c>
      <c r="D520" s="10" t="s">
        <v>394</v>
      </c>
      <c r="E520" s="14">
        <v>900</v>
      </c>
      <c r="F520" s="5">
        <v>0</v>
      </c>
      <c r="G520" s="5">
        <v>12706.58</v>
      </c>
      <c r="H520" s="10" t="s">
        <v>51</v>
      </c>
      <c r="I520" s="10" t="s">
        <v>52</v>
      </c>
      <c r="J520" s="10" t="s">
        <v>32</v>
      </c>
      <c r="K520" s="10" t="s">
        <v>21</v>
      </c>
      <c r="L520" s="10" t="s">
        <v>1464</v>
      </c>
    </row>
    <row r="521" spans="1:12" x14ac:dyDescent="0.35">
      <c r="A521" s="9">
        <v>520</v>
      </c>
      <c r="B521" s="19">
        <v>45930.874479166669</v>
      </c>
      <c r="C521" s="20">
        <v>45930</v>
      </c>
      <c r="D521" s="8" t="s">
        <v>394</v>
      </c>
      <c r="E521" s="12">
        <v>4500</v>
      </c>
      <c r="F521" s="3">
        <v>0</v>
      </c>
      <c r="G521" s="3">
        <v>8206.58</v>
      </c>
      <c r="H521" s="8" t="s">
        <v>51</v>
      </c>
      <c r="I521" s="8" t="s">
        <v>52</v>
      </c>
      <c r="J521" s="8" t="s">
        <v>32</v>
      </c>
      <c r="K521" s="8" t="s">
        <v>21</v>
      </c>
      <c r="L521" s="8" t="s">
        <v>1467</v>
      </c>
    </row>
    <row r="522" spans="1:12" x14ac:dyDescent="0.35">
      <c r="A522" s="11">
        <v>521</v>
      </c>
      <c r="B522" s="17">
        <v>45931.101053240738</v>
      </c>
      <c r="C522" s="18">
        <v>45931</v>
      </c>
      <c r="D522" s="10" t="s">
        <v>2527</v>
      </c>
      <c r="E522" s="5">
        <v>0</v>
      </c>
      <c r="F522" s="15">
        <v>2.82</v>
      </c>
      <c r="G522" s="5">
        <v>8209.4</v>
      </c>
      <c r="H522" s="10" t="s">
        <v>51</v>
      </c>
      <c r="I522" s="10" t="s">
        <v>71</v>
      </c>
      <c r="J522" s="10" t="s">
        <v>32</v>
      </c>
      <c r="K522" s="10" t="s">
        <v>22</v>
      </c>
      <c r="L522" s="10" t="s">
        <v>2686</v>
      </c>
    </row>
    <row r="523" spans="1:12" x14ac:dyDescent="0.35">
      <c r="A523" s="9">
        <v>522</v>
      </c>
      <c r="B523" s="19">
        <v>45931.209687499999</v>
      </c>
      <c r="C523" s="20">
        <v>45931</v>
      </c>
      <c r="D523" s="8" t="s">
        <v>394</v>
      </c>
      <c r="E523" s="12">
        <v>500</v>
      </c>
      <c r="F523" s="3">
        <v>0</v>
      </c>
      <c r="G523" s="3">
        <v>7709.4</v>
      </c>
      <c r="H523" s="8" t="s">
        <v>51</v>
      </c>
      <c r="I523" s="8" t="s">
        <v>52</v>
      </c>
      <c r="J523" s="8" t="s">
        <v>32</v>
      </c>
      <c r="K523" s="8" t="s">
        <v>22</v>
      </c>
      <c r="L523" s="8" t="s">
        <v>1468</v>
      </c>
    </row>
    <row r="524" spans="1:12" x14ac:dyDescent="0.35">
      <c r="A524" s="11">
        <v>523</v>
      </c>
      <c r="B524" s="17">
        <v>45931.331886574073</v>
      </c>
      <c r="C524" s="18">
        <v>45931</v>
      </c>
      <c r="D524" s="10" t="s">
        <v>394</v>
      </c>
      <c r="E524" s="14">
        <v>900</v>
      </c>
      <c r="F524" s="5">
        <v>0</v>
      </c>
      <c r="G524" s="5">
        <v>6809.4</v>
      </c>
      <c r="H524" s="10" t="s">
        <v>51</v>
      </c>
      <c r="I524" s="10" t="s">
        <v>52</v>
      </c>
      <c r="J524" s="10" t="s">
        <v>32</v>
      </c>
      <c r="K524" s="10" t="s">
        <v>22</v>
      </c>
      <c r="L524" s="10" t="s">
        <v>1471</v>
      </c>
    </row>
    <row r="525" spans="1:12" x14ac:dyDescent="0.35">
      <c r="A525" s="9">
        <v>524</v>
      </c>
      <c r="B525" s="19">
        <v>45931.780810185177</v>
      </c>
      <c r="C525" s="20">
        <v>45931</v>
      </c>
      <c r="D525" s="8" t="s">
        <v>394</v>
      </c>
      <c r="E525" s="12">
        <v>1250</v>
      </c>
      <c r="F525" s="3">
        <v>0</v>
      </c>
      <c r="G525" s="3">
        <v>5559.4</v>
      </c>
      <c r="H525" s="8" t="s">
        <v>51</v>
      </c>
      <c r="I525" s="8" t="s">
        <v>52</v>
      </c>
      <c r="J525" s="8" t="s">
        <v>32</v>
      </c>
      <c r="K525" s="8" t="s">
        <v>22</v>
      </c>
      <c r="L525" s="8" t="s">
        <v>1474</v>
      </c>
    </row>
    <row r="526" spans="1:12" x14ac:dyDescent="0.35">
      <c r="A526" s="11">
        <v>525</v>
      </c>
      <c r="B526" s="17">
        <v>45931.781446759262</v>
      </c>
      <c r="C526" s="18">
        <v>45931</v>
      </c>
      <c r="D526" s="10" t="s">
        <v>394</v>
      </c>
      <c r="E526" s="14">
        <v>250</v>
      </c>
      <c r="F526" s="5">
        <v>0</v>
      </c>
      <c r="G526" s="5">
        <v>5309.4</v>
      </c>
      <c r="H526" s="10" t="s">
        <v>51</v>
      </c>
      <c r="I526" s="10" t="s">
        <v>52</v>
      </c>
      <c r="J526" s="10" t="s">
        <v>32</v>
      </c>
      <c r="K526" s="10" t="s">
        <v>22</v>
      </c>
      <c r="L526" s="10" t="s">
        <v>1477</v>
      </c>
    </row>
    <row r="527" spans="1:12" x14ac:dyDescent="0.35">
      <c r="A527" s="9">
        <v>526</v>
      </c>
      <c r="B527" s="19">
        <v>45932.099988425929</v>
      </c>
      <c r="C527" s="20">
        <v>45932</v>
      </c>
      <c r="D527" s="8" t="s">
        <v>2527</v>
      </c>
      <c r="E527" s="3">
        <v>0</v>
      </c>
      <c r="F527" s="13">
        <v>1.82</v>
      </c>
      <c r="G527" s="3">
        <v>5311.22</v>
      </c>
      <c r="H527" s="8" t="s">
        <v>51</v>
      </c>
      <c r="I527" s="8" t="s">
        <v>71</v>
      </c>
      <c r="J527" s="8" t="s">
        <v>32</v>
      </c>
      <c r="K527" s="8" t="s">
        <v>22</v>
      </c>
      <c r="L527" s="8" t="s">
        <v>2687</v>
      </c>
    </row>
    <row r="528" spans="1:12" x14ac:dyDescent="0.35">
      <c r="A528" s="11">
        <v>527</v>
      </c>
      <c r="B528" s="17">
        <v>45932.209606481483</v>
      </c>
      <c r="C528" s="18">
        <v>45932</v>
      </c>
      <c r="D528" s="10" t="s">
        <v>394</v>
      </c>
      <c r="E528" s="14">
        <v>500</v>
      </c>
      <c r="F528" s="5">
        <v>0</v>
      </c>
      <c r="G528" s="5">
        <v>4811.22</v>
      </c>
      <c r="H528" s="10" t="s">
        <v>51</v>
      </c>
      <c r="I528" s="10" t="s">
        <v>52</v>
      </c>
      <c r="J528" s="10" t="s">
        <v>32</v>
      </c>
      <c r="K528" s="10" t="s">
        <v>22</v>
      </c>
      <c r="L528" s="10" t="s">
        <v>1478</v>
      </c>
    </row>
    <row r="529" spans="1:12" x14ac:dyDescent="0.35">
      <c r="A529" s="9">
        <v>528</v>
      </c>
      <c r="B529" s="19">
        <v>45932.945601851847</v>
      </c>
      <c r="C529" s="20">
        <v>45932</v>
      </c>
      <c r="D529" s="8" t="s">
        <v>394</v>
      </c>
      <c r="E529" s="12">
        <v>50</v>
      </c>
      <c r="F529" s="3">
        <v>0</v>
      </c>
      <c r="G529" s="3">
        <v>4761.22</v>
      </c>
      <c r="H529" s="8" t="s">
        <v>51</v>
      </c>
      <c r="I529" s="8" t="s">
        <v>52</v>
      </c>
      <c r="J529" s="8" t="s">
        <v>32</v>
      </c>
      <c r="K529" s="8" t="s">
        <v>22</v>
      </c>
      <c r="L529" s="8" t="s">
        <v>1484</v>
      </c>
    </row>
    <row r="530" spans="1:12" x14ac:dyDescent="0.35">
      <c r="A530" s="11">
        <v>529</v>
      </c>
      <c r="B530" s="17">
        <v>45933.106539351851</v>
      </c>
      <c r="C530" s="18">
        <v>45933</v>
      </c>
      <c r="D530" s="10" t="s">
        <v>2527</v>
      </c>
      <c r="E530" s="5">
        <v>0</v>
      </c>
      <c r="F530" s="15">
        <v>1.63</v>
      </c>
      <c r="G530" s="5">
        <v>4762.8500000000004</v>
      </c>
      <c r="H530" s="10" t="s">
        <v>51</v>
      </c>
      <c r="I530" s="10" t="s">
        <v>71</v>
      </c>
      <c r="J530" s="10" t="s">
        <v>32</v>
      </c>
      <c r="K530" s="10" t="s">
        <v>22</v>
      </c>
      <c r="L530" s="10" t="s">
        <v>2688</v>
      </c>
    </row>
    <row r="531" spans="1:12" x14ac:dyDescent="0.35">
      <c r="A531" s="9">
        <v>530</v>
      </c>
      <c r="B531" s="19">
        <v>45933.209687499999</v>
      </c>
      <c r="C531" s="20">
        <v>45933</v>
      </c>
      <c r="D531" s="8" t="s">
        <v>394</v>
      </c>
      <c r="E531" s="12">
        <v>500</v>
      </c>
      <c r="F531" s="3">
        <v>0</v>
      </c>
      <c r="G531" s="3">
        <v>4262.8500000000004</v>
      </c>
      <c r="H531" s="8" t="s">
        <v>51</v>
      </c>
      <c r="I531" s="8" t="s">
        <v>52</v>
      </c>
      <c r="J531" s="8" t="s">
        <v>32</v>
      </c>
      <c r="K531" s="8" t="s">
        <v>22</v>
      </c>
      <c r="L531" s="8" t="s">
        <v>1485</v>
      </c>
    </row>
    <row r="532" spans="1:12" x14ac:dyDescent="0.35">
      <c r="A532" s="11">
        <v>531</v>
      </c>
      <c r="B532" s="17">
        <v>45933.927581018521</v>
      </c>
      <c r="C532" s="18">
        <v>45933</v>
      </c>
      <c r="D532" s="10" t="s">
        <v>426</v>
      </c>
      <c r="E532" s="5">
        <v>0</v>
      </c>
      <c r="F532" s="15">
        <v>2900</v>
      </c>
      <c r="G532" s="5">
        <v>7162.85</v>
      </c>
      <c r="H532" s="10" t="s">
        <v>51</v>
      </c>
      <c r="I532" s="10" t="s">
        <v>71</v>
      </c>
      <c r="J532" s="10" t="s">
        <v>32</v>
      </c>
      <c r="K532" s="10" t="s">
        <v>22</v>
      </c>
      <c r="L532" s="10" t="s">
        <v>1496</v>
      </c>
    </row>
    <row r="533" spans="1:12" x14ac:dyDescent="0.35">
      <c r="A533" s="9">
        <v>532</v>
      </c>
      <c r="B533" s="19">
        <v>45934.102673611109</v>
      </c>
      <c r="C533" s="20">
        <v>45934</v>
      </c>
      <c r="D533" s="8" t="s">
        <v>2527</v>
      </c>
      <c r="E533" s="3">
        <v>0</v>
      </c>
      <c r="F533" s="13">
        <v>1.46</v>
      </c>
      <c r="G533" s="3">
        <v>7164.31</v>
      </c>
      <c r="H533" s="8" t="s">
        <v>51</v>
      </c>
      <c r="I533" s="8" t="s">
        <v>71</v>
      </c>
      <c r="J533" s="8" t="s">
        <v>32</v>
      </c>
      <c r="K533" s="8" t="s">
        <v>22</v>
      </c>
      <c r="L533" s="8" t="s">
        <v>2689</v>
      </c>
    </row>
    <row r="534" spans="1:12" x14ac:dyDescent="0.35">
      <c r="A534" s="11">
        <v>533</v>
      </c>
      <c r="B534" s="17">
        <v>45934.209664351853</v>
      </c>
      <c r="C534" s="18">
        <v>45934</v>
      </c>
      <c r="D534" s="10" t="s">
        <v>394</v>
      </c>
      <c r="E534" s="14">
        <v>500</v>
      </c>
      <c r="F534" s="5">
        <v>0</v>
      </c>
      <c r="G534" s="5">
        <v>6664.31</v>
      </c>
      <c r="H534" s="10" t="s">
        <v>51</v>
      </c>
      <c r="I534" s="10" t="s">
        <v>52</v>
      </c>
      <c r="J534" s="10" t="s">
        <v>32</v>
      </c>
      <c r="K534" s="10" t="s">
        <v>22</v>
      </c>
      <c r="L534" s="10" t="s">
        <v>1497</v>
      </c>
    </row>
    <row r="535" spans="1:12" x14ac:dyDescent="0.35">
      <c r="A535" s="9">
        <v>534</v>
      </c>
      <c r="B535" s="19">
        <v>45934.629664351851</v>
      </c>
      <c r="C535" s="20">
        <v>45934</v>
      </c>
      <c r="D535" s="8" t="s">
        <v>394</v>
      </c>
      <c r="E535" s="12">
        <v>1500</v>
      </c>
      <c r="F535" s="3">
        <v>0</v>
      </c>
      <c r="G535" s="3">
        <v>5164.3100000000004</v>
      </c>
      <c r="H535" s="8" t="s">
        <v>51</v>
      </c>
      <c r="I535" s="8" t="s">
        <v>52</v>
      </c>
      <c r="J535" s="8" t="s">
        <v>32</v>
      </c>
      <c r="K535" s="8" t="s">
        <v>22</v>
      </c>
      <c r="L535" s="8" t="s">
        <v>1500</v>
      </c>
    </row>
    <row r="536" spans="1:12" x14ac:dyDescent="0.35">
      <c r="A536" s="11">
        <v>535</v>
      </c>
      <c r="B536" s="17">
        <v>45935.110775462963</v>
      </c>
      <c r="C536" s="18">
        <v>45935</v>
      </c>
      <c r="D536" s="10" t="s">
        <v>2527</v>
      </c>
      <c r="E536" s="5">
        <v>0</v>
      </c>
      <c r="F536" s="15">
        <v>1.77</v>
      </c>
      <c r="G536" s="5">
        <v>5166.08</v>
      </c>
      <c r="H536" s="10" t="s">
        <v>51</v>
      </c>
      <c r="I536" s="10" t="s">
        <v>71</v>
      </c>
      <c r="J536" s="10" t="s">
        <v>32</v>
      </c>
      <c r="K536" s="10" t="s">
        <v>22</v>
      </c>
      <c r="L536" s="10" t="s">
        <v>2690</v>
      </c>
    </row>
    <row r="537" spans="1:12" x14ac:dyDescent="0.35">
      <c r="A537" s="9">
        <v>536</v>
      </c>
      <c r="B537" s="19">
        <v>45935.209675925929</v>
      </c>
      <c r="C537" s="20">
        <v>45935</v>
      </c>
      <c r="D537" s="8" t="s">
        <v>394</v>
      </c>
      <c r="E537" s="12">
        <v>500</v>
      </c>
      <c r="F537" s="3">
        <v>0</v>
      </c>
      <c r="G537" s="3">
        <v>4666.08</v>
      </c>
      <c r="H537" s="8" t="s">
        <v>51</v>
      </c>
      <c r="I537" s="8" t="s">
        <v>52</v>
      </c>
      <c r="J537" s="8" t="s">
        <v>32</v>
      </c>
      <c r="K537" s="8" t="s">
        <v>22</v>
      </c>
      <c r="L537" s="8" t="s">
        <v>1502</v>
      </c>
    </row>
    <row r="538" spans="1:12" x14ac:dyDescent="0.35">
      <c r="A538" s="11">
        <v>537</v>
      </c>
      <c r="B538" s="17">
        <v>45935.360115740739</v>
      </c>
      <c r="C538" s="18">
        <v>45935</v>
      </c>
      <c r="D538" s="10" t="s">
        <v>394</v>
      </c>
      <c r="E538" s="14">
        <v>900</v>
      </c>
      <c r="F538" s="5">
        <v>0</v>
      </c>
      <c r="G538" s="5">
        <v>3766.08</v>
      </c>
      <c r="H538" s="10" t="s">
        <v>51</v>
      </c>
      <c r="I538" s="10" t="s">
        <v>52</v>
      </c>
      <c r="J538" s="10" t="s">
        <v>32</v>
      </c>
      <c r="K538" s="10" t="s">
        <v>22</v>
      </c>
      <c r="L538" s="10" t="s">
        <v>1504</v>
      </c>
    </row>
    <row r="539" spans="1:12" x14ac:dyDescent="0.35">
      <c r="A539" s="9">
        <v>538</v>
      </c>
      <c r="B539" s="19">
        <v>45936.106423611112</v>
      </c>
      <c r="C539" s="20">
        <v>45936</v>
      </c>
      <c r="D539" s="8" t="s">
        <v>2527</v>
      </c>
      <c r="E539" s="3">
        <v>0</v>
      </c>
      <c r="F539" s="13">
        <v>1.29</v>
      </c>
      <c r="G539" s="3">
        <v>3767.37</v>
      </c>
      <c r="H539" s="8" t="s">
        <v>51</v>
      </c>
      <c r="I539" s="8" t="s">
        <v>71</v>
      </c>
      <c r="J539" s="8" t="s">
        <v>32</v>
      </c>
      <c r="K539" s="8" t="s">
        <v>22</v>
      </c>
      <c r="L539" s="8" t="s">
        <v>2691</v>
      </c>
    </row>
    <row r="540" spans="1:12" x14ac:dyDescent="0.35">
      <c r="A540" s="11">
        <v>539</v>
      </c>
      <c r="B540" s="17">
        <v>45936.209618055553</v>
      </c>
      <c r="C540" s="18">
        <v>45936</v>
      </c>
      <c r="D540" s="10" t="s">
        <v>394</v>
      </c>
      <c r="E540" s="14">
        <v>500</v>
      </c>
      <c r="F540" s="5">
        <v>0</v>
      </c>
      <c r="G540" s="5">
        <v>3267.37</v>
      </c>
      <c r="H540" s="10" t="s">
        <v>51</v>
      </c>
      <c r="I540" s="10" t="s">
        <v>52</v>
      </c>
      <c r="J540" s="10" t="s">
        <v>32</v>
      </c>
      <c r="K540" s="10" t="s">
        <v>22</v>
      </c>
      <c r="L540" s="10" t="s">
        <v>1506</v>
      </c>
    </row>
    <row r="541" spans="1:12" x14ac:dyDescent="0.35">
      <c r="A541" s="9">
        <v>540</v>
      </c>
      <c r="B541" s="19">
        <v>45937.105914351851</v>
      </c>
      <c r="C541" s="20">
        <v>45937</v>
      </c>
      <c r="D541" s="8" t="s">
        <v>2527</v>
      </c>
      <c r="E541" s="3">
        <v>0</v>
      </c>
      <c r="F541" s="13">
        <v>1.1200000000000001</v>
      </c>
      <c r="G541" s="3">
        <v>3268.49</v>
      </c>
      <c r="H541" s="8" t="s">
        <v>51</v>
      </c>
      <c r="I541" s="8" t="s">
        <v>71</v>
      </c>
      <c r="J541" s="8" t="s">
        <v>32</v>
      </c>
      <c r="K541" s="8" t="s">
        <v>22</v>
      </c>
      <c r="L541" s="8" t="s">
        <v>2692</v>
      </c>
    </row>
    <row r="542" spans="1:12" x14ac:dyDescent="0.35">
      <c r="A542" s="11">
        <v>541</v>
      </c>
      <c r="B542" s="17">
        <v>45937.209178240737</v>
      </c>
      <c r="C542" s="18">
        <v>45937</v>
      </c>
      <c r="D542" s="10" t="s">
        <v>394</v>
      </c>
      <c r="E542" s="14">
        <v>500</v>
      </c>
      <c r="F542" s="5">
        <v>0</v>
      </c>
      <c r="G542" s="5">
        <v>2768.49</v>
      </c>
      <c r="H542" s="10" t="s">
        <v>51</v>
      </c>
      <c r="I542" s="10" t="s">
        <v>52</v>
      </c>
      <c r="J542" s="10" t="s">
        <v>32</v>
      </c>
      <c r="K542" s="10" t="s">
        <v>22</v>
      </c>
      <c r="L542" s="10" t="s">
        <v>1507</v>
      </c>
    </row>
    <row r="543" spans="1:12" x14ac:dyDescent="0.35">
      <c r="A543" s="9">
        <v>542</v>
      </c>
      <c r="B543" s="19">
        <v>45937.576319444437</v>
      </c>
      <c r="C543" s="20">
        <v>45937</v>
      </c>
      <c r="D543" s="8" t="s">
        <v>394</v>
      </c>
      <c r="E543" s="12">
        <v>452</v>
      </c>
      <c r="F543" s="3">
        <v>0</v>
      </c>
      <c r="G543" s="3">
        <v>2316.4899999999998</v>
      </c>
      <c r="H543" s="8" t="s">
        <v>51</v>
      </c>
      <c r="I543" s="8" t="s">
        <v>52</v>
      </c>
      <c r="J543" s="8" t="s">
        <v>32</v>
      </c>
      <c r="K543" s="8" t="s">
        <v>22</v>
      </c>
      <c r="L543" s="8" t="s">
        <v>1510</v>
      </c>
    </row>
    <row r="544" spans="1:12" x14ac:dyDescent="0.35">
      <c r="A544" s="11">
        <v>543</v>
      </c>
      <c r="B544" s="17">
        <v>45938.112129629633</v>
      </c>
      <c r="C544" s="18">
        <v>45938</v>
      </c>
      <c r="D544" s="10" t="s">
        <v>2527</v>
      </c>
      <c r="E544" s="5">
        <v>0</v>
      </c>
      <c r="F544" s="15">
        <v>0.79</v>
      </c>
      <c r="G544" s="5">
        <v>2317.2800000000002</v>
      </c>
      <c r="H544" s="10" t="s">
        <v>51</v>
      </c>
      <c r="I544" s="10" t="s">
        <v>71</v>
      </c>
      <c r="J544" s="10" t="s">
        <v>32</v>
      </c>
      <c r="K544" s="10" t="s">
        <v>22</v>
      </c>
      <c r="L544" s="10" t="s">
        <v>2693</v>
      </c>
    </row>
    <row r="545" spans="1:12" x14ac:dyDescent="0.35">
      <c r="A545" s="9">
        <v>544</v>
      </c>
      <c r="B545" s="19">
        <v>45938.20952546296</v>
      </c>
      <c r="C545" s="20">
        <v>45938</v>
      </c>
      <c r="D545" s="8" t="s">
        <v>394</v>
      </c>
      <c r="E545" s="12">
        <v>500</v>
      </c>
      <c r="F545" s="3">
        <v>0</v>
      </c>
      <c r="G545" s="3">
        <v>1817.28</v>
      </c>
      <c r="H545" s="8" t="s">
        <v>51</v>
      </c>
      <c r="I545" s="8" t="s">
        <v>52</v>
      </c>
      <c r="J545" s="8" t="s">
        <v>32</v>
      </c>
      <c r="K545" s="8" t="s">
        <v>22</v>
      </c>
      <c r="L545" s="8" t="s">
        <v>1511</v>
      </c>
    </row>
    <row r="546" spans="1:12" x14ac:dyDescent="0.35">
      <c r="A546" s="11">
        <v>545</v>
      </c>
      <c r="B546" s="17">
        <v>45939.107974537037</v>
      </c>
      <c r="C546" s="18">
        <v>45939</v>
      </c>
      <c r="D546" s="10" t="s">
        <v>2527</v>
      </c>
      <c r="E546" s="5">
        <v>0</v>
      </c>
      <c r="F546" s="15">
        <v>0.62</v>
      </c>
      <c r="G546" s="5">
        <v>1817.9</v>
      </c>
      <c r="H546" s="10" t="s">
        <v>51</v>
      </c>
      <c r="I546" s="10" t="s">
        <v>71</v>
      </c>
      <c r="J546" s="10" t="s">
        <v>32</v>
      </c>
      <c r="K546" s="10" t="s">
        <v>22</v>
      </c>
      <c r="L546" s="10" t="s">
        <v>2694</v>
      </c>
    </row>
    <row r="547" spans="1:12" x14ac:dyDescent="0.35">
      <c r="A547" s="9">
        <v>546</v>
      </c>
      <c r="B547" s="19">
        <v>45939.209224537037</v>
      </c>
      <c r="C547" s="20">
        <v>45939</v>
      </c>
      <c r="D547" s="8" t="s">
        <v>394</v>
      </c>
      <c r="E547" s="12">
        <v>500</v>
      </c>
      <c r="F547" s="3">
        <v>0</v>
      </c>
      <c r="G547" s="3">
        <v>1317.9</v>
      </c>
      <c r="H547" s="8" t="s">
        <v>51</v>
      </c>
      <c r="I547" s="8" t="s">
        <v>52</v>
      </c>
      <c r="J547" s="8" t="s">
        <v>32</v>
      </c>
      <c r="K547" s="8" t="s">
        <v>22</v>
      </c>
      <c r="L547" s="8" t="s">
        <v>1513</v>
      </c>
    </row>
    <row r="548" spans="1:12" x14ac:dyDescent="0.35">
      <c r="A548" s="11">
        <v>547</v>
      </c>
      <c r="B548" s="17">
        <v>45940.112928240742</v>
      </c>
      <c r="C548" s="18">
        <v>45940</v>
      </c>
      <c r="D548" s="10" t="s">
        <v>2527</v>
      </c>
      <c r="E548" s="5">
        <v>0</v>
      </c>
      <c r="F548" s="15">
        <v>0.45</v>
      </c>
      <c r="G548" s="5">
        <v>1318.35</v>
      </c>
      <c r="H548" s="10" t="s">
        <v>51</v>
      </c>
      <c r="I548" s="10" t="s">
        <v>71</v>
      </c>
      <c r="J548" s="10" t="s">
        <v>32</v>
      </c>
      <c r="K548" s="10" t="s">
        <v>22</v>
      </c>
      <c r="L548" s="10" t="s">
        <v>2695</v>
      </c>
    </row>
    <row r="549" spans="1:12" x14ac:dyDescent="0.35">
      <c r="A549" s="9">
        <v>548</v>
      </c>
      <c r="B549" s="19">
        <v>45940.209513888891</v>
      </c>
      <c r="C549" s="20">
        <v>45940</v>
      </c>
      <c r="D549" s="8" t="s">
        <v>394</v>
      </c>
      <c r="E549" s="12">
        <v>500</v>
      </c>
      <c r="F549" s="3">
        <v>0</v>
      </c>
      <c r="G549" s="3">
        <v>818.35</v>
      </c>
      <c r="H549" s="8" t="s">
        <v>51</v>
      </c>
      <c r="I549" s="8" t="s">
        <v>52</v>
      </c>
      <c r="J549" s="8" t="s">
        <v>32</v>
      </c>
      <c r="K549" s="8" t="s">
        <v>22</v>
      </c>
      <c r="L549" s="8" t="s">
        <v>1516</v>
      </c>
    </row>
    <row r="550" spans="1:12" x14ac:dyDescent="0.35">
      <c r="A550" s="11">
        <v>549</v>
      </c>
      <c r="B550" s="17">
        <v>45940.926412037043</v>
      </c>
      <c r="C550" s="18">
        <v>45940</v>
      </c>
      <c r="D550" s="10" t="s">
        <v>426</v>
      </c>
      <c r="E550" s="5">
        <v>0</v>
      </c>
      <c r="F550" s="15">
        <v>5900</v>
      </c>
      <c r="G550" s="5">
        <v>6718.35</v>
      </c>
      <c r="H550" s="10" t="s">
        <v>51</v>
      </c>
      <c r="I550" s="10" t="s">
        <v>71</v>
      </c>
      <c r="J550" s="10" t="s">
        <v>32</v>
      </c>
      <c r="K550" s="10" t="s">
        <v>22</v>
      </c>
      <c r="L550" s="10" t="s">
        <v>1523</v>
      </c>
    </row>
    <row r="551" spans="1:12" x14ac:dyDescent="0.35">
      <c r="A551" s="9">
        <v>550</v>
      </c>
      <c r="B551" s="19">
        <v>45941.103819444441</v>
      </c>
      <c r="C551" s="20">
        <v>45941</v>
      </c>
      <c r="D551" s="8" t="s">
        <v>2527</v>
      </c>
      <c r="E551" s="3">
        <v>0</v>
      </c>
      <c r="F551" s="13">
        <v>0.27</v>
      </c>
      <c r="G551" s="3">
        <v>6718.62</v>
      </c>
      <c r="H551" s="8" t="s">
        <v>51</v>
      </c>
      <c r="I551" s="8" t="s">
        <v>71</v>
      </c>
      <c r="J551" s="8" t="s">
        <v>32</v>
      </c>
      <c r="K551" s="8" t="s">
        <v>22</v>
      </c>
      <c r="L551" s="8" t="s">
        <v>2696</v>
      </c>
    </row>
    <row r="552" spans="1:12" x14ac:dyDescent="0.35">
      <c r="A552" s="11">
        <v>551</v>
      </c>
      <c r="B552" s="17">
        <v>45941.209502314807</v>
      </c>
      <c r="C552" s="18">
        <v>45941</v>
      </c>
      <c r="D552" s="10" t="s">
        <v>394</v>
      </c>
      <c r="E552" s="14">
        <v>500</v>
      </c>
      <c r="F552" s="5">
        <v>0</v>
      </c>
      <c r="G552" s="5">
        <v>6218.62</v>
      </c>
      <c r="H552" s="10" t="s">
        <v>51</v>
      </c>
      <c r="I552" s="10" t="s">
        <v>52</v>
      </c>
      <c r="J552" s="10" t="s">
        <v>32</v>
      </c>
      <c r="K552" s="10" t="s">
        <v>22</v>
      </c>
      <c r="L552" s="10" t="s">
        <v>1525</v>
      </c>
    </row>
    <row r="553" spans="1:12" x14ac:dyDescent="0.35">
      <c r="A553" s="9">
        <v>552</v>
      </c>
      <c r="B553" s="19">
        <v>45942.107662037037</v>
      </c>
      <c r="C553" s="20">
        <v>45942</v>
      </c>
      <c r="D553" s="8" t="s">
        <v>2527</v>
      </c>
      <c r="E553" s="3">
        <v>0</v>
      </c>
      <c r="F553" s="13">
        <v>2.14</v>
      </c>
      <c r="G553" s="3">
        <v>6220.76</v>
      </c>
      <c r="H553" s="8" t="s">
        <v>51</v>
      </c>
      <c r="I553" s="8" t="s">
        <v>71</v>
      </c>
      <c r="J553" s="8" t="s">
        <v>32</v>
      </c>
      <c r="K553" s="8" t="s">
        <v>22</v>
      </c>
      <c r="L553" s="8" t="s">
        <v>2697</v>
      </c>
    </row>
    <row r="554" spans="1:12" x14ac:dyDescent="0.35">
      <c r="A554" s="11">
        <v>553</v>
      </c>
      <c r="B554" s="17">
        <v>45942.209479166668</v>
      </c>
      <c r="C554" s="18">
        <v>45942</v>
      </c>
      <c r="D554" s="10" t="s">
        <v>394</v>
      </c>
      <c r="E554" s="14">
        <v>500</v>
      </c>
      <c r="F554" s="5">
        <v>0</v>
      </c>
      <c r="G554" s="5">
        <v>5720.76</v>
      </c>
      <c r="H554" s="10" t="s">
        <v>51</v>
      </c>
      <c r="I554" s="10" t="s">
        <v>52</v>
      </c>
      <c r="J554" s="10" t="s">
        <v>32</v>
      </c>
      <c r="K554" s="10" t="s">
        <v>22</v>
      </c>
      <c r="L554" s="10" t="s">
        <v>1526</v>
      </c>
    </row>
    <row r="555" spans="1:12" x14ac:dyDescent="0.35">
      <c r="A555" s="9">
        <v>554</v>
      </c>
      <c r="B555" s="19">
        <v>45942.450914351852</v>
      </c>
      <c r="C555" s="20">
        <v>45942</v>
      </c>
      <c r="D555" s="8" t="s">
        <v>394</v>
      </c>
      <c r="E555" s="12">
        <v>1500</v>
      </c>
      <c r="F555" s="3">
        <v>0</v>
      </c>
      <c r="G555" s="3">
        <v>4220.76</v>
      </c>
      <c r="H555" s="8" t="s">
        <v>51</v>
      </c>
      <c r="I555" s="8" t="s">
        <v>52</v>
      </c>
      <c r="J555" s="8" t="s">
        <v>32</v>
      </c>
      <c r="K555" s="8" t="s">
        <v>22</v>
      </c>
      <c r="L555" s="8" t="s">
        <v>1529</v>
      </c>
    </row>
    <row r="556" spans="1:12" x14ac:dyDescent="0.35">
      <c r="A556" s="11">
        <v>555</v>
      </c>
      <c r="B556" s="17">
        <v>45943.106469907398</v>
      </c>
      <c r="C556" s="18">
        <v>45943</v>
      </c>
      <c r="D556" s="10" t="s">
        <v>2527</v>
      </c>
      <c r="E556" s="5">
        <v>0</v>
      </c>
      <c r="F556" s="15">
        <v>1.44</v>
      </c>
      <c r="G556" s="5">
        <v>4222.2</v>
      </c>
      <c r="H556" s="10" t="s">
        <v>51</v>
      </c>
      <c r="I556" s="10" t="s">
        <v>71</v>
      </c>
      <c r="J556" s="10" t="s">
        <v>32</v>
      </c>
      <c r="K556" s="10" t="s">
        <v>22</v>
      </c>
      <c r="L556" s="10" t="s">
        <v>2698</v>
      </c>
    </row>
    <row r="557" spans="1:12" x14ac:dyDescent="0.35">
      <c r="A557" s="9">
        <v>556</v>
      </c>
      <c r="B557" s="19">
        <v>45943.20952546296</v>
      </c>
      <c r="C557" s="20">
        <v>45943</v>
      </c>
      <c r="D557" s="8" t="s">
        <v>394</v>
      </c>
      <c r="E557" s="12">
        <v>500</v>
      </c>
      <c r="F557" s="3">
        <v>0</v>
      </c>
      <c r="G557" s="3">
        <v>3722.2</v>
      </c>
      <c r="H557" s="8" t="s">
        <v>51</v>
      </c>
      <c r="I557" s="8" t="s">
        <v>52</v>
      </c>
      <c r="J557" s="8" t="s">
        <v>32</v>
      </c>
      <c r="K557" s="8" t="s">
        <v>22</v>
      </c>
      <c r="L557" s="8" t="s">
        <v>1530</v>
      </c>
    </row>
    <row r="558" spans="1:12" x14ac:dyDescent="0.35">
      <c r="A558" s="11">
        <v>557</v>
      </c>
      <c r="B558" s="17">
        <v>45943.386944444443</v>
      </c>
      <c r="C558" s="18">
        <v>45943</v>
      </c>
      <c r="D558" s="10" t="s">
        <v>394</v>
      </c>
      <c r="E558" s="14">
        <v>890</v>
      </c>
      <c r="F558" s="5">
        <v>0</v>
      </c>
      <c r="G558" s="5">
        <v>2832.2</v>
      </c>
      <c r="H558" s="10" t="s">
        <v>51</v>
      </c>
      <c r="I558" s="10" t="s">
        <v>52</v>
      </c>
      <c r="J558" s="10" t="s">
        <v>32</v>
      </c>
      <c r="K558" s="10" t="s">
        <v>22</v>
      </c>
      <c r="L558" s="10" t="s">
        <v>1533</v>
      </c>
    </row>
    <row r="559" spans="1:12" x14ac:dyDescent="0.35">
      <c r="A559" s="9">
        <v>558</v>
      </c>
      <c r="B559" s="19">
        <v>45943.515798611108</v>
      </c>
      <c r="C559" s="20">
        <v>45943</v>
      </c>
      <c r="D559" s="8" t="s">
        <v>394</v>
      </c>
      <c r="E559" s="12">
        <v>1000</v>
      </c>
      <c r="F559" s="3">
        <v>0</v>
      </c>
      <c r="G559" s="3">
        <v>1832.2</v>
      </c>
      <c r="H559" s="8" t="s">
        <v>51</v>
      </c>
      <c r="I559" s="8" t="s">
        <v>52</v>
      </c>
      <c r="J559" s="8" t="s">
        <v>32</v>
      </c>
      <c r="K559" s="8" t="s">
        <v>22</v>
      </c>
      <c r="L559" s="8" t="s">
        <v>1536</v>
      </c>
    </row>
    <row r="560" spans="1:12" x14ac:dyDescent="0.35">
      <c r="A560" s="11">
        <v>559</v>
      </c>
      <c r="B560" s="17">
        <v>45944.110219907408</v>
      </c>
      <c r="C560" s="18">
        <v>45944</v>
      </c>
      <c r="D560" s="10" t="s">
        <v>2527</v>
      </c>
      <c r="E560" s="5">
        <v>0</v>
      </c>
      <c r="F560" s="15">
        <v>0.63</v>
      </c>
      <c r="G560" s="5">
        <v>1832.83</v>
      </c>
      <c r="H560" s="10" t="s">
        <v>51</v>
      </c>
      <c r="I560" s="10" t="s">
        <v>71</v>
      </c>
      <c r="J560" s="10" t="s">
        <v>32</v>
      </c>
      <c r="K560" s="10" t="s">
        <v>22</v>
      </c>
      <c r="L560" s="10" t="s">
        <v>2699</v>
      </c>
    </row>
    <row r="561" spans="1:12" x14ac:dyDescent="0.35">
      <c r="A561" s="9">
        <v>560</v>
      </c>
      <c r="B561" s="19">
        <v>45944.209490740737</v>
      </c>
      <c r="C561" s="20">
        <v>45944</v>
      </c>
      <c r="D561" s="8" t="s">
        <v>394</v>
      </c>
      <c r="E561" s="12">
        <v>500</v>
      </c>
      <c r="F561" s="3">
        <v>0</v>
      </c>
      <c r="G561" s="3">
        <v>1332.83</v>
      </c>
      <c r="H561" s="8" t="s">
        <v>51</v>
      </c>
      <c r="I561" s="8" t="s">
        <v>52</v>
      </c>
      <c r="J561" s="8" t="s">
        <v>32</v>
      </c>
      <c r="K561" s="8" t="s">
        <v>22</v>
      </c>
      <c r="L561" s="8" t="s">
        <v>1537</v>
      </c>
    </row>
    <row r="562" spans="1:12" x14ac:dyDescent="0.35">
      <c r="A562" s="11">
        <v>561</v>
      </c>
      <c r="B562" s="17">
        <v>45945.105694444443</v>
      </c>
      <c r="C562" s="18">
        <v>45945</v>
      </c>
      <c r="D562" s="10" t="s">
        <v>2527</v>
      </c>
      <c r="E562" s="5">
        <v>0</v>
      </c>
      <c r="F562" s="15">
        <v>0.45</v>
      </c>
      <c r="G562" s="5">
        <v>1333.28</v>
      </c>
      <c r="H562" s="10" t="s">
        <v>51</v>
      </c>
      <c r="I562" s="10" t="s">
        <v>71</v>
      </c>
      <c r="J562" s="10" t="s">
        <v>32</v>
      </c>
      <c r="K562" s="10" t="s">
        <v>22</v>
      </c>
      <c r="L562" s="10" t="s">
        <v>2700</v>
      </c>
    </row>
    <row r="563" spans="1:12" x14ac:dyDescent="0.35">
      <c r="A563" s="9">
        <v>562</v>
      </c>
      <c r="B563" s="19">
        <v>45945.208958333344</v>
      </c>
      <c r="C563" s="20">
        <v>45945</v>
      </c>
      <c r="D563" s="8" t="s">
        <v>394</v>
      </c>
      <c r="E563" s="12">
        <v>500</v>
      </c>
      <c r="F563" s="3">
        <v>0</v>
      </c>
      <c r="G563" s="3">
        <v>833.28</v>
      </c>
      <c r="H563" s="8" t="s">
        <v>51</v>
      </c>
      <c r="I563" s="8" t="s">
        <v>52</v>
      </c>
      <c r="J563" s="8" t="s">
        <v>32</v>
      </c>
      <c r="K563" s="8" t="s">
        <v>22</v>
      </c>
      <c r="L563" s="8" t="s">
        <v>1540</v>
      </c>
    </row>
    <row r="564" spans="1:12" x14ac:dyDescent="0.35">
      <c r="A564" s="11">
        <v>563</v>
      </c>
      <c r="B564" s="17">
        <v>45946.10633101852</v>
      </c>
      <c r="C564" s="18">
        <v>45946</v>
      </c>
      <c r="D564" s="10" t="s">
        <v>2527</v>
      </c>
      <c r="E564" s="5">
        <v>0</v>
      </c>
      <c r="F564" s="15">
        <v>0.27</v>
      </c>
      <c r="G564" s="5">
        <v>833.55</v>
      </c>
      <c r="H564" s="10" t="s">
        <v>51</v>
      </c>
      <c r="I564" s="10" t="s">
        <v>71</v>
      </c>
      <c r="J564" s="10" t="s">
        <v>32</v>
      </c>
      <c r="K564" s="10" t="s">
        <v>22</v>
      </c>
      <c r="L564" s="10" t="s">
        <v>2701</v>
      </c>
    </row>
    <row r="565" spans="1:12" x14ac:dyDescent="0.35">
      <c r="A565" s="9">
        <v>564</v>
      </c>
      <c r="B565" s="19">
        <v>45946.209189814806</v>
      </c>
      <c r="C565" s="20">
        <v>45946</v>
      </c>
      <c r="D565" s="8" t="s">
        <v>394</v>
      </c>
      <c r="E565" s="12">
        <v>500</v>
      </c>
      <c r="F565" s="3">
        <v>0</v>
      </c>
      <c r="G565" s="3">
        <v>333.55</v>
      </c>
      <c r="H565" s="8" t="s">
        <v>51</v>
      </c>
      <c r="I565" s="8" t="s">
        <v>52</v>
      </c>
      <c r="J565" s="8" t="s">
        <v>32</v>
      </c>
      <c r="K565" s="8" t="s">
        <v>22</v>
      </c>
      <c r="L565" s="8" t="s">
        <v>1541</v>
      </c>
    </row>
    <row r="566" spans="1:12" x14ac:dyDescent="0.35">
      <c r="A566" s="11">
        <v>565</v>
      </c>
      <c r="B566" s="17">
        <v>45947.109953703701</v>
      </c>
      <c r="C566" s="18">
        <v>45947</v>
      </c>
      <c r="D566" s="10" t="s">
        <v>2527</v>
      </c>
      <c r="E566" s="5">
        <v>0</v>
      </c>
      <c r="F566" s="15">
        <v>0.1</v>
      </c>
      <c r="G566" s="5">
        <v>333.65</v>
      </c>
      <c r="H566" s="10" t="s">
        <v>51</v>
      </c>
      <c r="I566" s="10" t="s">
        <v>71</v>
      </c>
      <c r="J566" s="10" t="s">
        <v>32</v>
      </c>
      <c r="K566" s="10" t="s">
        <v>22</v>
      </c>
      <c r="L566" s="10" t="s">
        <v>2702</v>
      </c>
    </row>
    <row r="567" spans="1:12" x14ac:dyDescent="0.35">
      <c r="A567" s="9">
        <v>566</v>
      </c>
      <c r="B567" s="19">
        <v>45948.100486111107</v>
      </c>
      <c r="C567" s="20">
        <v>45948</v>
      </c>
      <c r="D567" s="8" t="s">
        <v>2527</v>
      </c>
      <c r="E567" s="3">
        <v>0</v>
      </c>
      <c r="F567" s="13">
        <v>0.1</v>
      </c>
      <c r="G567" s="3">
        <v>333.75</v>
      </c>
      <c r="H567" s="8" t="s">
        <v>51</v>
      </c>
      <c r="I567" s="8" t="s">
        <v>71</v>
      </c>
      <c r="J567" s="8" t="s">
        <v>32</v>
      </c>
      <c r="K567" s="8" t="s">
        <v>22</v>
      </c>
      <c r="L567" s="8" t="s">
        <v>2703</v>
      </c>
    </row>
    <row r="568" spans="1:12" x14ac:dyDescent="0.35">
      <c r="A568" s="11">
        <v>567</v>
      </c>
      <c r="B568" s="17">
        <v>45949.113680555558</v>
      </c>
      <c r="C568" s="18">
        <v>45949</v>
      </c>
      <c r="D568" s="10" t="s">
        <v>2527</v>
      </c>
      <c r="E568" s="5">
        <v>0</v>
      </c>
      <c r="F568" s="15">
        <v>0.1</v>
      </c>
      <c r="G568" s="5">
        <v>333.85</v>
      </c>
      <c r="H568" s="10" t="s">
        <v>51</v>
      </c>
      <c r="I568" s="10" t="s">
        <v>71</v>
      </c>
      <c r="J568" s="10" t="s">
        <v>32</v>
      </c>
      <c r="K568" s="10" t="s">
        <v>22</v>
      </c>
      <c r="L568" s="10" t="s">
        <v>2704</v>
      </c>
    </row>
    <row r="569" spans="1:12" x14ac:dyDescent="0.35">
      <c r="A569" s="9">
        <v>568</v>
      </c>
      <c r="B569" s="19">
        <v>45950.099895833337</v>
      </c>
      <c r="C569" s="20">
        <v>45950</v>
      </c>
      <c r="D569" s="8" t="s">
        <v>2527</v>
      </c>
      <c r="E569" s="3">
        <v>0</v>
      </c>
      <c r="F569" s="13">
        <v>0.1</v>
      </c>
      <c r="G569" s="3">
        <v>333.95</v>
      </c>
      <c r="H569" s="8" t="s">
        <v>51</v>
      </c>
      <c r="I569" s="8" t="s">
        <v>71</v>
      </c>
      <c r="J569" s="8" t="s">
        <v>32</v>
      </c>
      <c r="K569" s="8" t="s">
        <v>22</v>
      </c>
      <c r="L569" s="8" t="s">
        <v>2705</v>
      </c>
    </row>
    <row r="570" spans="1:12" x14ac:dyDescent="0.35">
      <c r="A570" s="11">
        <v>569</v>
      </c>
      <c r="B570" s="17">
        <v>45951.117025462961</v>
      </c>
      <c r="C570" s="18">
        <v>45951</v>
      </c>
      <c r="D570" s="10" t="s">
        <v>2527</v>
      </c>
      <c r="E570" s="5">
        <v>0</v>
      </c>
      <c r="F570" s="15">
        <v>0.1</v>
      </c>
      <c r="G570" s="5">
        <v>334.05</v>
      </c>
      <c r="H570" s="10" t="s">
        <v>51</v>
      </c>
      <c r="I570" s="10" t="s">
        <v>71</v>
      </c>
      <c r="J570" s="10" t="s">
        <v>32</v>
      </c>
      <c r="K570" s="10" t="s">
        <v>22</v>
      </c>
      <c r="L570" s="10" t="s">
        <v>2706</v>
      </c>
    </row>
    <row r="571" spans="1:12" x14ac:dyDescent="0.35">
      <c r="A571" s="9">
        <v>570</v>
      </c>
      <c r="B571" s="19">
        <v>45952.105393518519</v>
      </c>
      <c r="C571" s="20">
        <v>45952</v>
      </c>
      <c r="D571" s="8" t="s">
        <v>2527</v>
      </c>
      <c r="E571" s="3">
        <v>0</v>
      </c>
      <c r="F571" s="13">
        <v>0.1</v>
      </c>
      <c r="G571" s="3">
        <v>334.15</v>
      </c>
      <c r="H571" s="8" t="s">
        <v>51</v>
      </c>
      <c r="I571" s="8" t="s">
        <v>71</v>
      </c>
      <c r="J571" s="8" t="s">
        <v>32</v>
      </c>
      <c r="K571" s="8" t="s">
        <v>22</v>
      </c>
      <c r="L571" s="8" t="s">
        <v>2707</v>
      </c>
    </row>
    <row r="572" spans="1:12" x14ac:dyDescent="0.35">
      <c r="A572" s="11">
        <v>571</v>
      </c>
      <c r="B572" s="17">
        <v>45952.926944444444</v>
      </c>
      <c r="C572" s="18">
        <v>45952</v>
      </c>
      <c r="D572" s="10" t="s">
        <v>426</v>
      </c>
      <c r="E572" s="5">
        <v>0</v>
      </c>
      <c r="F572" s="15">
        <v>63960</v>
      </c>
      <c r="G572" s="5">
        <v>64294.15</v>
      </c>
      <c r="H572" s="10" t="s">
        <v>51</v>
      </c>
      <c r="I572" s="10" t="s">
        <v>71</v>
      </c>
      <c r="J572" s="10" t="s">
        <v>32</v>
      </c>
      <c r="K572" s="10" t="s">
        <v>22</v>
      </c>
      <c r="L572" s="10" t="s">
        <v>1554</v>
      </c>
    </row>
    <row r="573" spans="1:12" x14ac:dyDescent="0.35">
      <c r="A573" s="9">
        <v>572</v>
      </c>
      <c r="B573" s="19">
        <v>45953.123020833344</v>
      </c>
      <c r="C573" s="20">
        <v>45953</v>
      </c>
      <c r="D573" s="8" t="s">
        <v>2527</v>
      </c>
      <c r="E573" s="3">
        <v>0</v>
      </c>
      <c r="F573" s="13">
        <v>0.1</v>
      </c>
      <c r="G573" s="3">
        <v>64294.25</v>
      </c>
      <c r="H573" s="8" t="s">
        <v>51</v>
      </c>
      <c r="I573" s="8" t="s">
        <v>71</v>
      </c>
      <c r="J573" s="8" t="s">
        <v>32</v>
      </c>
      <c r="K573" s="8" t="s">
        <v>22</v>
      </c>
      <c r="L573" s="8" t="s">
        <v>2708</v>
      </c>
    </row>
    <row r="574" spans="1:12" x14ac:dyDescent="0.35">
      <c r="A574" s="11">
        <v>573</v>
      </c>
      <c r="B574" s="17">
        <v>45953.209016203713</v>
      </c>
      <c r="C574" s="18">
        <v>45953</v>
      </c>
      <c r="D574" s="10" t="s">
        <v>394</v>
      </c>
      <c r="E574" s="14">
        <v>500</v>
      </c>
      <c r="F574" s="5">
        <v>0</v>
      </c>
      <c r="G574" s="5">
        <v>63794.25</v>
      </c>
      <c r="H574" s="10" t="s">
        <v>51</v>
      </c>
      <c r="I574" s="10" t="s">
        <v>52</v>
      </c>
      <c r="J574" s="10" t="s">
        <v>32</v>
      </c>
      <c r="K574" s="10" t="s">
        <v>22</v>
      </c>
      <c r="L574" s="10" t="s">
        <v>1555</v>
      </c>
    </row>
    <row r="575" spans="1:12" x14ac:dyDescent="0.35">
      <c r="A575" s="9">
        <v>574</v>
      </c>
      <c r="B575" s="19">
        <v>45953.386134259257</v>
      </c>
      <c r="C575" s="20">
        <v>45953</v>
      </c>
      <c r="D575" s="8" t="s">
        <v>394</v>
      </c>
      <c r="E575" s="12">
        <v>1982</v>
      </c>
      <c r="F575" s="3">
        <v>0</v>
      </c>
      <c r="G575" s="3">
        <v>61812.25</v>
      </c>
      <c r="H575" s="8" t="s">
        <v>51</v>
      </c>
      <c r="I575" s="8" t="s">
        <v>52</v>
      </c>
      <c r="J575" s="8" t="s">
        <v>32</v>
      </c>
      <c r="K575" s="8" t="s">
        <v>22</v>
      </c>
      <c r="L575" s="8" t="s">
        <v>1558</v>
      </c>
    </row>
    <row r="576" spans="1:12" x14ac:dyDescent="0.35">
      <c r="A576" s="11">
        <v>575</v>
      </c>
      <c r="B576" s="17">
        <v>45953.722187500003</v>
      </c>
      <c r="C576" s="18">
        <v>45953</v>
      </c>
      <c r="D576" s="10" t="s">
        <v>394</v>
      </c>
      <c r="E576" s="14">
        <v>2000</v>
      </c>
      <c r="F576" s="5">
        <v>0</v>
      </c>
      <c r="G576" s="5">
        <v>59812.25</v>
      </c>
      <c r="H576" s="10" t="s">
        <v>51</v>
      </c>
      <c r="I576" s="10" t="s">
        <v>52</v>
      </c>
      <c r="J576" s="10" t="s">
        <v>32</v>
      </c>
      <c r="K576" s="10" t="s">
        <v>22</v>
      </c>
      <c r="L576" s="10" t="s">
        <v>1561</v>
      </c>
    </row>
    <row r="577" spans="1:12" x14ac:dyDescent="0.35">
      <c r="A577" s="9">
        <v>576</v>
      </c>
      <c r="B577" s="19">
        <v>45953.77275462963</v>
      </c>
      <c r="C577" s="20">
        <v>45953</v>
      </c>
      <c r="D577" s="8" t="s">
        <v>394</v>
      </c>
      <c r="E577" s="12">
        <v>9000</v>
      </c>
      <c r="F577" s="3">
        <v>0</v>
      </c>
      <c r="G577" s="3">
        <v>50812.25</v>
      </c>
      <c r="H577" s="8" t="s">
        <v>51</v>
      </c>
      <c r="I577" s="8" t="s">
        <v>52</v>
      </c>
      <c r="J577" s="8" t="s">
        <v>32</v>
      </c>
      <c r="K577" s="8" t="s">
        <v>22</v>
      </c>
      <c r="L577" s="8" t="s">
        <v>1564</v>
      </c>
    </row>
    <row r="578" spans="1:12" x14ac:dyDescent="0.35">
      <c r="A578" s="11">
        <v>577</v>
      </c>
      <c r="B578" s="17">
        <v>45953.776666666658</v>
      </c>
      <c r="C578" s="18">
        <v>45953</v>
      </c>
      <c r="D578" s="10" t="s">
        <v>394</v>
      </c>
      <c r="E578" s="14">
        <v>2000</v>
      </c>
      <c r="F578" s="5">
        <v>0</v>
      </c>
      <c r="G578" s="5">
        <v>48812.25</v>
      </c>
      <c r="H578" s="10" t="s">
        <v>51</v>
      </c>
      <c r="I578" s="10" t="s">
        <v>52</v>
      </c>
      <c r="J578" s="10" t="s">
        <v>32</v>
      </c>
      <c r="K578" s="10" t="s">
        <v>22</v>
      </c>
      <c r="L578" s="10" t="s">
        <v>1566</v>
      </c>
    </row>
    <row r="579" spans="1:12" x14ac:dyDescent="0.35">
      <c r="A579" s="9">
        <v>578</v>
      </c>
      <c r="B579" s="19">
        <v>45953.778217592589</v>
      </c>
      <c r="C579" s="20">
        <v>45953</v>
      </c>
      <c r="D579" s="8" t="s">
        <v>394</v>
      </c>
      <c r="E579" s="12">
        <v>2450</v>
      </c>
      <c r="F579" s="3">
        <v>0</v>
      </c>
      <c r="G579" s="3">
        <v>46362.25</v>
      </c>
      <c r="H579" s="8" t="s">
        <v>51</v>
      </c>
      <c r="I579" s="8" t="s">
        <v>52</v>
      </c>
      <c r="J579" s="8" t="s">
        <v>32</v>
      </c>
      <c r="K579" s="8" t="s">
        <v>22</v>
      </c>
      <c r="L579" s="8" t="s">
        <v>1569</v>
      </c>
    </row>
    <row r="580" spans="1:12" x14ac:dyDescent="0.35">
      <c r="A580" s="11">
        <v>579</v>
      </c>
      <c r="B580" s="17">
        <v>45953.779861111107</v>
      </c>
      <c r="C580" s="18">
        <v>45953</v>
      </c>
      <c r="D580" s="10" t="s">
        <v>394</v>
      </c>
      <c r="E580" s="14">
        <v>4300</v>
      </c>
      <c r="F580" s="5">
        <v>0</v>
      </c>
      <c r="G580" s="5">
        <v>42062.25</v>
      </c>
      <c r="H580" s="10" t="s">
        <v>51</v>
      </c>
      <c r="I580" s="10" t="s">
        <v>52</v>
      </c>
      <c r="J580" s="10" t="s">
        <v>32</v>
      </c>
      <c r="K580" s="10" t="s">
        <v>22</v>
      </c>
      <c r="L580" s="10" t="s">
        <v>1571</v>
      </c>
    </row>
    <row r="581" spans="1:12" x14ac:dyDescent="0.35">
      <c r="A581" s="9">
        <v>580</v>
      </c>
      <c r="B581" s="19">
        <v>45954.108043981483</v>
      </c>
      <c r="C581" s="20">
        <v>45954</v>
      </c>
      <c r="D581" s="8" t="s">
        <v>2527</v>
      </c>
      <c r="E581" s="3">
        <v>0</v>
      </c>
      <c r="F581" s="13">
        <v>14.49</v>
      </c>
      <c r="G581" s="3">
        <v>42076.74</v>
      </c>
      <c r="H581" s="8" t="s">
        <v>51</v>
      </c>
      <c r="I581" s="8" t="s">
        <v>71</v>
      </c>
      <c r="J581" s="8" t="s">
        <v>32</v>
      </c>
      <c r="K581" s="8" t="s">
        <v>22</v>
      </c>
      <c r="L581" s="8" t="s">
        <v>2709</v>
      </c>
    </row>
    <row r="582" spans="1:12" x14ac:dyDescent="0.35">
      <c r="A582" s="11">
        <v>581</v>
      </c>
      <c r="B582" s="17">
        <v>45954.209027777782</v>
      </c>
      <c r="C582" s="18">
        <v>45954</v>
      </c>
      <c r="D582" s="10" t="s">
        <v>394</v>
      </c>
      <c r="E582" s="14">
        <v>500</v>
      </c>
      <c r="F582" s="5">
        <v>0</v>
      </c>
      <c r="G582" s="5">
        <v>41576.74</v>
      </c>
      <c r="H582" s="10" t="s">
        <v>51</v>
      </c>
      <c r="I582" s="10" t="s">
        <v>52</v>
      </c>
      <c r="J582" s="10" t="s">
        <v>32</v>
      </c>
      <c r="K582" s="10" t="s">
        <v>22</v>
      </c>
      <c r="L582" s="10" t="s">
        <v>1573</v>
      </c>
    </row>
    <row r="583" spans="1:12" x14ac:dyDescent="0.35">
      <c r="A583" s="9">
        <v>582</v>
      </c>
      <c r="B583" s="19">
        <v>45954.275451388887</v>
      </c>
      <c r="C583" s="20">
        <v>45954</v>
      </c>
      <c r="D583" s="8" t="s">
        <v>394</v>
      </c>
      <c r="E583" s="12">
        <v>2500</v>
      </c>
      <c r="F583" s="3">
        <v>0</v>
      </c>
      <c r="G583" s="3">
        <v>39076.74</v>
      </c>
      <c r="H583" s="8" t="s">
        <v>51</v>
      </c>
      <c r="I583" s="8" t="s">
        <v>52</v>
      </c>
      <c r="J583" s="8" t="s">
        <v>32</v>
      </c>
      <c r="K583" s="8" t="s">
        <v>22</v>
      </c>
      <c r="L583" s="8" t="s">
        <v>1576</v>
      </c>
    </row>
    <row r="584" spans="1:12" x14ac:dyDescent="0.35">
      <c r="A584" s="11">
        <v>583</v>
      </c>
      <c r="B584" s="17">
        <v>45954.371979166674</v>
      </c>
      <c r="C584" s="18">
        <v>45954</v>
      </c>
      <c r="D584" s="10" t="s">
        <v>394</v>
      </c>
      <c r="E584" s="14">
        <v>3100</v>
      </c>
      <c r="F584" s="5">
        <v>0</v>
      </c>
      <c r="G584" s="5">
        <v>35976.74</v>
      </c>
      <c r="H584" s="10" t="s">
        <v>51</v>
      </c>
      <c r="I584" s="10" t="s">
        <v>52</v>
      </c>
      <c r="J584" s="10" t="s">
        <v>32</v>
      </c>
      <c r="K584" s="10" t="s">
        <v>22</v>
      </c>
      <c r="L584" s="10" t="s">
        <v>1579</v>
      </c>
    </row>
    <row r="585" spans="1:12" x14ac:dyDescent="0.35">
      <c r="A585" s="9">
        <v>584</v>
      </c>
      <c r="B585" s="19">
        <v>45954.727453703701</v>
      </c>
      <c r="C585" s="20">
        <v>45954</v>
      </c>
      <c r="D585" s="8" t="s">
        <v>394</v>
      </c>
      <c r="E585" s="12">
        <v>3020</v>
      </c>
      <c r="F585" s="3">
        <v>0</v>
      </c>
      <c r="G585" s="3">
        <v>32956.74</v>
      </c>
      <c r="H585" s="8" t="s">
        <v>51</v>
      </c>
      <c r="I585" s="8" t="s">
        <v>52</v>
      </c>
      <c r="J585" s="8" t="s">
        <v>32</v>
      </c>
      <c r="K585" s="8" t="s">
        <v>22</v>
      </c>
      <c r="L585" s="8" t="s">
        <v>1588</v>
      </c>
    </row>
    <row r="586" spans="1:12" x14ac:dyDescent="0.35">
      <c r="A586" s="11">
        <v>585</v>
      </c>
      <c r="B586" s="17">
        <v>45954.859074074076</v>
      </c>
      <c r="C586" s="18">
        <v>45954</v>
      </c>
      <c r="D586" s="10" t="s">
        <v>394</v>
      </c>
      <c r="E586" s="14">
        <v>50</v>
      </c>
      <c r="F586" s="5">
        <v>0</v>
      </c>
      <c r="G586" s="5">
        <v>32906.74</v>
      </c>
      <c r="H586" s="10" t="s">
        <v>51</v>
      </c>
      <c r="I586" s="10" t="s">
        <v>52</v>
      </c>
      <c r="J586" s="10" t="s">
        <v>32</v>
      </c>
      <c r="K586" s="10" t="s">
        <v>22</v>
      </c>
      <c r="L586" s="10" t="s">
        <v>1593</v>
      </c>
    </row>
    <row r="587" spans="1:12" x14ac:dyDescent="0.35">
      <c r="A587" s="9">
        <v>586</v>
      </c>
      <c r="B587" s="19">
        <v>45955.115046296298</v>
      </c>
      <c r="C587" s="20">
        <v>45955</v>
      </c>
      <c r="D587" s="8" t="s">
        <v>2527</v>
      </c>
      <c r="E587" s="3">
        <v>0</v>
      </c>
      <c r="F587" s="13">
        <v>11.34</v>
      </c>
      <c r="G587" s="3">
        <v>32918.080000000002</v>
      </c>
      <c r="H587" s="8" t="s">
        <v>51</v>
      </c>
      <c r="I587" s="8" t="s">
        <v>71</v>
      </c>
      <c r="J587" s="8" t="s">
        <v>32</v>
      </c>
      <c r="K587" s="8" t="s">
        <v>22</v>
      </c>
      <c r="L587" s="8" t="s">
        <v>2710</v>
      </c>
    </row>
    <row r="588" spans="1:12" x14ac:dyDescent="0.35">
      <c r="A588" s="11">
        <v>587</v>
      </c>
      <c r="B588" s="17">
        <v>45955.208807870367</v>
      </c>
      <c r="C588" s="18">
        <v>45955</v>
      </c>
      <c r="D588" s="10" t="s">
        <v>394</v>
      </c>
      <c r="E588" s="14">
        <v>500</v>
      </c>
      <c r="F588" s="5">
        <v>0</v>
      </c>
      <c r="G588" s="5">
        <v>32418.080000000002</v>
      </c>
      <c r="H588" s="10" t="s">
        <v>51</v>
      </c>
      <c r="I588" s="10" t="s">
        <v>52</v>
      </c>
      <c r="J588" s="10" t="s">
        <v>32</v>
      </c>
      <c r="K588" s="10" t="s">
        <v>22</v>
      </c>
      <c r="L588" s="10" t="s">
        <v>1594</v>
      </c>
    </row>
    <row r="589" spans="1:12" x14ac:dyDescent="0.35">
      <c r="A589" s="9">
        <v>588</v>
      </c>
      <c r="B589" s="19">
        <v>45955.797349537039</v>
      </c>
      <c r="C589" s="20">
        <v>45955</v>
      </c>
      <c r="D589" s="8" t="s">
        <v>394</v>
      </c>
      <c r="E589" s="12">
        <v>2100</v>
      </c>
      <c r="F589" s="3">
        <v>0</v>
      </c>
      <c r="G589" s="3">
        <v>30318.080000000002</v>
      </c>
      <c r="H589" s="8" t="s">
        <v>51</v>
      </c>
      <c r="I589" s="8" t="s">
        <v>52</v>
      </c>
      <c r="J589" s="8" t="s">
        <v>32</v>
      </c>
      <c r="K589" s="8" t="s">
        <v>22</v>
      </c>
      <c r="L589" s="8" t="s">
        <v>1598</v>
      </c>
    </row>
    <row r="590" spans="1:12" x14ac:dyDescent="0.35">
      <c r="A590" s="11">
        <v>589</v>
      </c>
      <c r="B590" s="17">
        <v>45955.965844907398</v>
      </c>
      <c r="C590" s="18">
        <v>45955</v>
      </c>
      <c r="D590" s="10" t="s">
        <v>394</v>
      </c>
      <c r="E590" s="14">
        <v>6700</v>
      </c>
      <c r="F590" s="5">
        <v>0</v>
      </c>
      <c r="G590" s="5">
        <v>23618.080000000002</v>
      </c>
      <c r="H590" s="10" t="s">
        <v>51</v>
      </c>
      <c r="I590" s="10" t="s">
        <v>52</v>
      </c>
      <c r="J590" s="10" t="s">
        <v>32</v>
      </c>
      <c r="K590" s="10" t="s">
        <v>22</v>
      </c>
      <c r="L590" s="10" t="s">
        <v>1601</v>
      </c>
    </row>
    <row r="591" spans="1:12" x14ac:dyDescent="0.35">
      <c r="A591" s="9">
        <v>590</v>
      </c>
      <c r="B591" s="19">
        <v>45956.100949074083</v>
      </c>
      <c r="C591" s="20">
        <v>45956</v>
      </c>
      <c r="D591" s="8" t="s">
        <v>2527</v>
      </c>
      <c r="E591" s="3">
        <v>0</v>
      </c>
      <c r="F591" s="13">
        <v>8.1300000000000008</v>
      </c>
      <c r="G591" s="3">
        <v>23626.21</v>
      </c>
      <c r="H591" s="8" t="s">
        <v>51</v>
      </c>
      <c r="I591" s="8" t="s">
        <v>71</v>
      </c>
      <c r="J591" s="8" t="s">
        <v>32</v>
      </c>
      <c r="K591" s="8" t="s">
        <v>22</v>
      </c>
      <c r="L591" s="8" t="s">
        <v>2711</v>
      </c>
    </row>
    <row r="592" spans="1:12" x14ac:dyDescent="0.35">
      <c r="A592" s="11">
        <v>591</v>
      </c>
      <c r="B592" s="17">
        <v>45956.209108796298</v>
      </c>
      <c r="C592" s="18">
        <v>45956</v>
      </c>
      <c r="D592" s="10" t="s">
        <v>394</v>
      </c>
      <c r="E592" s="14">
        <v>500</v>
      </c>
      <c r="F592" s="5">
        <v>0</v>
      </c>
      <c r="G592" s="5">
        <v>23126.21</v>
      </c>
      <c r="H592" s="10" t="s">
        <v>51</v>
      </c>
      <c r="I592" s="10" t="s">
        <v>52</v>
      </c>
      <c r="J592" s="10" t="s">
        <v>32</v>
      </c>
      <c r="K592" s="10" t="s">
        <v>22</v>
      </c>
      <c r="L592" s="10" t="s">
        <v>1603</v>
      </c>
    </row>
    <row r="593" spans="1:12" x14ac:dyDescent="0.35">
      <c r="A593" s="9">
        <v>592</v>
      </c>
      <c r="B593" s="19">
        <v>45956.410682870373</v>
      </c>
      <c r="C593" s="20">
        <v>45956</v>
      </c>
      <c r="D593" s="8" t="s">
        <v>394</v>
      </c>
      <c r="E593" s="12">
        <v>3300</v>
      </c>
      <c r="F593" s="3">
        <v>0</v>
      </c>
      <c r="G593" s="3">
        <v>19826.21</v>
      </c>
      <c r="H593" s="8" t="s">
        <v>51</v>
      </c>
      <c r="I593" s="8" t="s">
        <v>52</v>
      </c>
      <c r="J593" s="8" t="s">
        <v>32</v>
      </c>
      <c r="K593" s="8" t="s">
        <v>22</v>
      </c>
      <c r="L593" s="8" t="s">
        <v>1606</v>
      </c>
    </row>
    <row r="594" spans="1:12" x14ac:dyDescent="0.35">
      <c r="A594" s="11">
        <v>593</v>
      </c>
      <c r="B594" s="17">
        <v>45956.470335648148</v>
      </c>
      <c r="C594" s="18">
        <v>45956</v>
      </c>
      <c r="D594" s="10" t="s">
        <v>394</v>
      </c>
      <c r="E594" s="14">
        <v>1500</v>
      </c>
      <c r="F594" s="5">
        <v>0</v>
      </c>
      <c r="G594" s="5">
        <v>18326.21</v>
      </c>
      <c r="H594" s="10" t="s">
        <v>51</v>
      </c>
      <c r="I594" s="10" t="s">
        <v>52</v>
      </c>
      <c r="J594" s="10" t="s">
        <v>32</v>
      </c>
      <c r="K594" s="10" t="s">
        <v>22</v>
      </c>
      <c r="L594" s="10" t="s">
        <v>1608</v>
      </c>
    </row>
    <row r="595" spans="1:12" x14ac:dyDescent="0.35">
      <c r="A595" s="9">
        <v>594</v>
      </c>
      <c r="B595" s="19">
        <v>45956.538761574076</v>
      </c>
      <c r="C595" s="20">
        <v>45956</v>
      </c>
      <c r="D595" s="8" t="s">
        <v>394</v>
      </c>
      <c r="E595" s="12">
        <v>3100</v>
      </c>
      <c r="F595" s="3">
        <v>0</v>
      </c>
      <c r="G595" s="3">
        <v>15226.21</v>
      </c>
      <c r="H595" s="8" t="s">
        <v>51</v>
      </c>
      <c r="I595" s="8" t="s">
        <v>52</v>
      </c>
      <c r="J595" s="8" t="s">
        <v>32</v>
      </c>
      <c r="K595" s="8" t="s">
        <v>22</v>
      </c>
      <c r="L595" s="8" t="s">
        <v>1611</v>
      </c>
    </row>
    <row r="596" spans="1:12" x14ac:dyDescent="0.35">
      <c r="A596" s="11">
        <v>595</v>
      </c>
      <c r="B596" s="17">
        <v>45956.558217592603</v>
      </c>
      <c r="C596" s="18">
        <v>45956</v>
      </c>
      <c r="D596" s="10" t="s">
        <v>394</v>
      </c>
      <c r="E596" s="14">
        <v>3100</v>
      </c>
      <c r="F596" s="5">
        <v>0</v>
      </c>
      <c r="G596" s="5">
        <v>12126.21</v>
      </c>
      <c r="H596" s="10" t="s">
        <v>51</v>
      </c>
      <c r="I596" s="10" t="s">
        <v>52</v>
      </c>
      <c r="J596" s="10" t="s">
        <v>32</v>
      </c>
      <c r="K596" s="10" t="s">
        <v>22</v>
      </c>
      <c r="L596" s="10" t="s">
        <v>1614</v>
      </c>
    </row>
    <row r="597" spans="1:12" x14ac:dyDescent="0.35">
      <c r="A597" s="9">
        <v>596</v>
      </c>
      <c r="B597" s="19">
        <v>45957.109212962961</v>
      </c>
      <c r="C597" s="20">
        <v>45957</v>
      </c>
      <c r="D597" s="8" t="s">
        <v>2527</v>
      </c>
      <c r="E597" s="3">
        <v>0</v>
      </c>
      <c r="F597" s="13">
        <v>4.17</v>
      </c>
      <c r="G597" s="3">
        <v>12130.38</v>
      </c>
      <c r="H597" s="8" t="s">
        <v>51</v>
      </c>
      <c r="I597" s="8" t="s">
        <v>71</v>
      </c>
      <c r="J597" s="8" t="s">
        <v>32</v>
      </c>
      <c r="K597" s="8" t="s">
        <v>22</v>
      </c>
      <c r="L597" s="8" t="s">
        <v>2712</v>
      </c>
    </row>
    <row r="598" spans="1:12" x14ac:dyDescent="0.35">
      <c r="A598" s="11">
        <v>597</v>
      </c>
      <c r="B598" s="17">
        <v>45957.209074074082</v>
      </c>
      <c r="C598" s="18">
        <v>45957</v>
      </c>
      <c r="D598" s="10" t="s">
        <v>394</v>
      </c>
      <c r="E598" s="14">
        <v>500</v>
      </c>
      <c r="F598" s="5">
        <v>0</v>
      </c>
      <c r="G598" s="5">
        <v>11630.38</v>
      </c>
      <c r="H598" s="10" t="s">
        <v>51</v>
      </c>
      <c r="I598" s="10" t="s">
        <v>52</v>
      </c>
      <c r="J598" s="10" t="s">
        <v>32</v>
      </c>
      <c r="K598" s="10" t="s">
        <v>22</v>
      </c>
      <c r="L598" s="10" t="s">
        <v>1615</v>
      </c>
    </row>
    <row r="599" spans="1:12" x14ac:dyDescent="0.35">
      <c r="A599" s="9">
        <v>598</v>
      </c>
      <c r="B599" s="19">
        <v>45957.394618055558</v>
      </c>
      <c r="C599" s="20">
        <v>45957</v>
      </c>
      <c r="D599" s="8" t="s">
        <v>394</v>
      </c>
      <c r="E599" s="12">
        <v>1600</v>
      </c>
      <c r="F599" s="3">
        <v>0</v>
      </c>
      <c r="G599" s="3">
        <v>10030.379999999999</v>
      </c>
      <c r="H599" s="8" t="s">
        <v>51</v>
      </c>
      <c r="I599" s="8" t="s">
        <v>52</v>
      </c>
      <c r="J599" s="8" t="s">
        <v>32</v>
      </c>
      <c r="K599" s="8" t="s">
        <v>22</v>
      </c>
      <c r="L599" s="8" t="s">
        <v>1619</v>
      </c>
    </row>
    <row r="600" spans="1:12" x14ac:dyDescent="0.35">
      <c r="A600" s="11">
        <v>599</v>
      </c>
      <c r="B600" s="17">
        <v>45957.593969907408</v>
      </c>
      <c r="C600" s="18">
        <v>45957</v>
      </c>
      <c r="D600" s="10" t="s">
        <v>394</v>
      </c>
      <c r="E600" s="14">
        <v>3000</v>
      </c>
      <c r="F600" s="5">
        <v>0</v>
      </c>
      <c r="G600" s="5">
        <v>7030.38</v>
      </c>
      <c r="H600" s="10" t="s">
        <v>51</v>
      </c>
      <c r="I600" s="10" t="s">
        <v>52</v>
      </c>
      <c r="J600" s="10" t="s">
        <v>32</v>
      </c>
      <c r="K600" s="10" t="s">
        <v>22</v>
      </c>
      <c r="L600" s="10" t="s">
        <v>1622</v>
      </c>
    </row>
    <row r="601" spans="1:12" x14ac:dyDescent="0.35">
      <c r="A601" s="9">
        <v>600</v>
      </c>
      <c r="B601" s="19">
        <v>45957.926354166673</v>
      </c>
      <c r="C601" s="20">
        <v>45957</v>
      </c>
      <c r="D601" s="8" t="s">
        <v>426</v>
      </c>
      <c r="E601" s="3">
        <v>0</v>
      </c>
      <c r="F601" s="13">
        <v>5000</v>
      </c>
      <c r="G601" s="3">
        <v>12030.38</v>
      </c>
      <c r="H601" s="8" t="s">
        <v>51</v>
      </c>
      <c r="I601" s="8" t="s">
        <v>71</v>
      </c>
      <c r="J601" s="8" t="s">
        <v>32</v>
      </c>
      <c r="K601" s="8" t="s">
        <v>22</v>
      </c>
      <c r="L601" s="8" t="s">
        <v>1628</v>
      </c>
    </row>
    <row r="602" spans="1:12" x14ac:dyDescent="0.35">
      <c r="A602" s="11">
        <v>601</v>
      </c>
      <c r="B602" s="17">
        <v>45958.095729166656</v>
      </c>
      <c r="C602" s="18">
        <v>45958</v>
      </c>
      <c r="D602" s="10" t="s">
        <v>2527</v>
      </c>
      <c r="E602" s="5">
        <v>0</v>
      </c>
      <c r="F602" s="15">
        <v>2.42</v>
      </c>
      <c r="G602" s="5">
        <v>12032.8</v>
      </c>
      <c r="H602" s="10" t="s">
        <v>51</v>
      </c>
      <c r="I602" s="10" t="s">
        <v>71</v>
      </c>
      <c r="J602" s="10" t="s">
        <v>32</v>
      </c>
      <c r="K602" s="10" t="s">
        <v>22</v>
      </c>
      <c r="L602" s="10" t="s">
        <v>2713</v>
      </c>
    </row>
    <row r="603" spans="1:12" x14ac:dyDescent="0.35">
      <c r="A603" s="9">
        <v>602</v>
      </c>
      <c r="B603" s="19">
        <v>45958.208981481483</v>
      </c>
      <c r="C603" s="20">
        <v>45958</v>
      </c>
      <c r="D603" s="8" t="s">
        <v>394</v>
      </c>
      <c r="E603" s="12">
        <v>500</v>
      </c>
      <c r="F603" s="3">
        <v>0</v>
      </c>
      <c r="G603" s="3">
        <v>11532.8</v>
      </c>
      <c r="H603" s="8" t="s">
        <v>51</v>
      </c>
      <c r="I603" s="8" t="s">
        <v>52</v>
      </c>
      <c r="J603" s="8" t="s">
        <v>32</v>
      </c>
      <c r="K603" s="8" t="s">
        <v>22</v>
      </c>
      <c r="L603" s="8" t="s">
        <v>1629</v>
      </c>
    </row>
    <row r="604" spans="1:12" x14ac:dyDescent="0.35">
      <c r="A604" s="11">
        <v>603</v>
      </c>
      <c r="B604" s="17">
        <v>45958.926215277781</v>
      </c>
      <c r="C604" s="18">
        <v>45958</v>
      </c>
      <c r="D604" s="10" t="s">
        <v>426</v>
      </c>
      <c r="E604" s="5">
        <v>0</v>
      </c>
      <c r="F604" s="15">
        <v>14050</v>
      </c>
      <c r="G604" s="5">
        <v>25582.799999999999</v>
      </c>
      <c r="H604" s="10" t="s">
        <v>51</v>
      </c>
      <c r="I604" s="10" t="s">
        <v>71</v>
      </c>
      <c r="J604" s="10" t="s">
        <v>32</v>
      </c>
      <c r="K604" s="10" t="s">
        <v>22</v>
      </c>
      <c r="L604" s="10" t="s">
        <v>1634</v>
      </c>
    </row>
    <row r="605" spans="1:12" x14ac:dyDescent="0.35">
      <c r="A605" s="9">
        <v>604</v>
      </c>
      <c r="B605" s="19">
        <v>45959.112546296303</v>
      </c>
      <c r="C605" s="20">
        <v>45959</v>
      </c>
      <c r="D605" s="8" t="s">
        <v>2527</v>
      </c>
      <c r="E605" s="3">
        <v>0</v>
      </c>
      <c r="F605" s="13">
        <v>3.96</v>
      </c>
      <c r="G605" s="3">
        <v>25586.76</v>
      </c>
      <c r="H605" s="8" t="s">
        <v>51</v>
      </c>
      <c r="I605" s="8" t="s">
        <v>71</v>
      </c>
      <c r="J605" s="8" t="s">
        <v>32</v>
      </c>
      <c r="K605" s="8" t="s">
        <v>22</v>
      </c>
      <c r="L605" s="8" t="s">
        <v>2714</v>
      </c>
    </row>
    <row r="606" spans="1:12" x14ac:dyDescent="0.35">
      <c r="A606" s="11">
        <v>605</v>
      </c>
      <c r="B606" s="17">
        <v>45959.209004629629</v>
      </c>
      <c r="C606" s="18">
        <v>45959</v>
      </c>
      <c r="D606" s="10" t="s">
        <v>394</v>
      </c>
      <c r="E606" s="14">
        <v>500</v>
      </c>
      <c r="F606" s="5">
        <v>0</v>
      </c>
      <c r="G606" s="5">
        <v>25086.76</v>
      </c>
      <c r="H606" s="10" t="s">
        <v>51</v>
      </c>
      <c r="I606" s="10" t="s">
        <v>52</v>
      </c>
      <c r="J606" s="10" t="s">
        <v>32</v>
      </c>
      <c r="K606" s="10" t="s">
        <v>22</v>
      </c>
      <c r="L606" s="10" t="s">
        <v>1635</v>
      </c>
    </row>
    <row r="607" spans="1:12" x14ac:dyDescent="0.35">
      <c r="A607" s="9">
        <v>606</v>
      </c>
      <c r="B607" s="19">
        <v>45959.457418981481</v>
      </c>
      <c r="C607" s="20">
        <v>45959</v>
      </c>
      <c r="D607" s="8" t="s">
        <v>394</v>
      </c>
      <c r="E607" s="12">
        <v>3200</v>
      </c>
      <c r="F607" s="3">
        <v>0</v>
      </c>
      <c r="G607" s="3">
        <v>21886.76</v>
      </c>
      <c r="H607" s="8" t="s">
        <v>51</v>
      </c>
      <c r="I607" s="8" t="s">
        <v>52</v>
      </c>
      <c r="J607" s="8" t="s">
        <v>32</v>
      </c>
      <c r="K607" s="8" t="s">
        <v>22</v>
      </c>
      <c r="L607" s="8" t="s">
        <v>1639</v>
      </c>
    </row>
    <row r="608" spans="1:12" x14ac:dyDescent="0.35">
      <c r="A608" s="11">
        <v>607</v>
      </c>
      <c r="B608" s="17">
        <v>45959.476539351846</v>
      </c>
      <c r="C608" s="18">
        <v>45959</v>
      </c>
      <c r="D608" s="10" t="s">
        <v>394</v>
      </c>
      <c r="E608" s="14">
        <v>2500</v>
      </c>
      <c r="F608" s="5">
        <v>0</v>
      </c>
      <c r="G608" s="5">
        <v>19386.759999999998</v>
      </c>
      <c r="H608" s="10" t="s">
        <v>51</v>
      </c>
      <c r="I608" s="10" t="s">
        <v>52</v>
      </c>
      <c r="J608" s="10" t="s">
        <v>32</v>
      </c>
      <c r="K608" s="10" t="s">
        <v>22</v>
      </c>
      <c r="L608" s="10" t="s">
        <v>1641</v>
      </c>
    </row>
    <row r="609" spans="1:12" x14ac:dyDescent="0.35">
      <c r="A609" s="9">
        <v>608</v>
      </c>
      <c r="B609" s="19">
        <v>45959.560069444437</v>
      </c>
      <c r="C609" s="20">
        <v>45959</v>
      </c>
      <c r="D609" s="8" t="s">
        <v>394</v>
      </c>
      <c r="E609" s="12">
        <v>3100</v>
      </c>
      <c r="F609" s="3">
        <v>0</v>
      </c>
      <c r="G609" s="3">
        <v>16286.76</v>
      </c>
      <c r="H609" s="8" t="s">
        <v>51</v>
      </c>
      <c r="I609" s="8" t="s">
        <v>52</v>
      </c>
      <c r="J609" s="8" t="s">
        <v>32</v>
      </c>
      <c r="K609" s="8" t="s">
        <v>22</v>
      </c>
      <c r="L609" s="8" t="s">
        <v>1644</v>
      </c>
    </row>
    <row r="610" spans="1:12" x14ac:dyDescent="0.35">
      <c r="A610" s="11">
        <v>609</v>
      </c>
      <c r="B610" s="17">
        <v>45959.862905092603</v>
      </c>
      <c r="C610" s="18">
        <v>45959</v>
      </c>
      <c r="D610" s="10" t="s">
        <v>394</v>
      </c>
      <c r="E610" s="14">
        <v>900</v>
      </c>
      <c r="F610" s="5">
        <v>0</v>
      </c>
      <c r="G610" s="5">
        <v>15386.76</v>
      </c>
      <c r="H610" s="10" t="s">
        <v>51</v>
      </c>
      <c r="I610" s="10" t="s">
        <v>52</v>
      </c>
      <c r="J610" s="10" t="s">
        <v>32</v>
      </c>
      <c r="K610" s="10" t="s">
        <v>22</v>
      </c>
      <c r="L610" s="10" t="s">
        <v>1646</v>
      </c>
    </row>
    <row r="611" spans="1:12" x14ac:dyDescent="0.35">
      <c r="A611" s="9">
        <v>610</v>
      </c>
      <c r="B611" s="19">
        <v>45960.096759259257</v>
      </c>
      <c r="C611" s="20">
        <v>45960</v>
      </c>
      <c r="D611" s="8" t="s">
        <v>2527</v>
      </c>
      <c r="E611" s="3">
        <v>0</v>
      </c>
      <c r="F611" s="13">
        <v>5.3</v>
      </c>
      <c r="G611" s="3">
        <v>15392.06</v>
      </c>
      <c r="H611" s="8" t="s">
        <v>51</v>
      </c>
      <c r="I611" s="8" t="s">
        <v>71</v>
      </c>
      <c r="J611" s="8" t="s">
        <v>32</v>
      </c>
      <c r="K611" s="8" t="s">
        <v>22</v>
      </c>
      <c r="L611" s="8" t="s">
        <v>2715</v>
      </c>
    </row>
    <row r="612" spans="1:12" x14ac:dyDescent="0.35">
      <c r="A612" s="11">
        <v>611</v>
      </c>
      <c r="B612" s="17">
        <v>45960.209004629629</v>
      </c>
      <c r="C612" s="18">
        <v>45960</v>
      </c>
      <c r="D612" s="10" t="s">
        <v>394</v>
      </c>
      <c r="E612" s="14">
        <v>500</v>
      </c>
      <c r="F612" s="5">
        <v>0</v>
      </c>
      <c r="G612" s="5">
        <v>14892.06</v>
      </c>
      <c r="H612" s="10" t="s">
        <v>51</v>
      </c>
      <c r="I612" s="10" t="s">
        <v>52</v>
      </c>
      <c r="J612" s="10" t="s">
        <v>32</v>
      </c>
      <c r="K612" s="10" t="s">
        <v>22</v>
      </c>
      <c r="L612" s="10" t="s">
        <v>1647</v>
      </c>
    </row>
    <row r="613" spans="1:12" x14ac:dyDescent="0.35">
      <c r="A613" s="9">
        <v>612</v>
      </c>
      <c r="B613" s="19">
        <v>45960.492638888893</v>
      </c>
      <c r="C613" s="20">
        <v>45960</v>
      </c>
      <c r="D613" s="8" t="s">
        <v>1653</v>
      </c>
      <c r="E613" s="3">
        <v>0</v>
      </c>
      <c r="F613" s="13">
        <v>31950</v>
      </c>
      <c r="G613" s="3">
        <v>46842.06</v>
      </c>
      <c r="H613" s="8" t="s">
        <v>51</v>
      </c>
      <c r="I613" s="8" t="s">
        <v>71</v>
      </c>
      <c r="J613" s="8" t="s">
        <v>32</v>
      </c>
      <c r="K613" s="8" t="s">
        <v>22</v>
      </c>
      <c r="L613" s="8" t="s">
        <v>1654</v>
      </c>
    </row>
    <row r="614" spans="1:12" x14ac:dyDescent="0.35">
      <c r="A614" s="11">
        <v>613</v>
      </c>
      <c r="B614" s="17">
        <v>45960.49386574074</v>
      </c>
      <c r="C614" s="18">
        <v>45960</v>
      </c>
      <c r="D614" s="10" t="s">
        <v>1655</v>
      </c>
      <c r="E614" s="14">
        <v>46842</v>
      </c>
      <c r="F614" s="5">
        <v>0</v>
      </c>
      <c r="G614" s="5">
        <v>0.06</v>
      </c>
      <c r="H614" s="10" t="s">
        <v>51</v>
      </c>
      <c r="I614" s="10" t="s">
        <v>52</v>
      </c>
      <c r="J614" s="10" t="s">
        <v>32</v>
      </c>
      <c r="K614" s="10" t="s">
        <v>22</v>
      </c>
      <c r="L614" s="10" t="s">
        <v>1656</v>
      </c>
    </row>
    <row r="615" spans="1:12" x14ac:dyDescent="0.35">
      <c r="A615" s="9">
        <v>614</v>
      </c>
      <c r="B615" s="19">
        <v>45960.926678240743</v>
      </c>
      <c r="C615" s="20">
        <v>45960</v>
      </c>
      <c r="D615" s="8" t="s">
        <v>426</v>
      </c>
      <c r="E615" s="3">
        <v>0</v>
      </c>
      <c r="F615" s="13">
        <v>40542</v>
      </c>
      <c r="G615" s="3">
        <v>40542.06</v>
      </c>
      <c r="H615" s="8" t="s">
        <v>51</v>
      </c>
      <c r="I615" s="8" t="s">
        <v>71</v>
      </c>
      <c r="J615" s="8" t="s">
        <v>32</v>
      </c>
      <c r="K615" s="8" t="s">
        <v>22</v>
      </c>
      <c r="L615" s="8" t="s">
        <v>1659</v>
      </c>
    </row>
    <row r="616" spans="1:12" x14ac:dyDescent="0.35">
      <c r="A616" s="11">
        <v>615</v>
      </c>
      <c r="B616" s="17">
        <v>45961.117037037038</v>
      </c>
      <c r="C616" s="18">
        <v>45961</v>
      </c>
      <c r="D616" s="10" t="s">
        <v>2527</v>
      </c>
      <c r="E616" s="5">
        <v>0</v>
      </c>
      <c r="F616" s="15">
        <v>0.09</v>
      </c>
      <c r="G616" s="5">
        <v>40542.15</v>
      </c>
      <c r="H616" s="10" t="s">
        <v>51</v>
      </c>
      <c r="I616" s="10" t="s">
        <v>71</v>
      </c>
      <c r="J616" s="10" t="s">
        <v>32</v>
      </c>
      <c r="K616" s="10" t="s">
        <v>22</v>
      </c>
      <c r="L616" s="10" t="s">
        <v>2716</v>
      </c>
    </row>
    <row r="617" spans="1:12" x14ac:dyDescent="0.35">
      <c r="A617" s="9">
        <v>616</v>
      </c>
      <c r="B617" s="19">
        <v>45961.209016203713</v>
      </c>
      <c r="C617" s="20">
        <v>45961</v>
      </c>
      <c r="D617" s="8" t="s">
        <v>394</v>
      </c>
      <c r="E617" s="12">
        <v>500</v>
      </c>
      <c r="F617" s="3">
        <v>0</v>
      </c>
      <c r="G617" s="3">
        <v>40042.15</v>
      </c>
      <c r="H617" s="8" t="s">
        <v>51</v>
      </c>
      <c r="I617" s="8" t="s">
        <v>52</v>
      </c>
      <c r="J617" s="8" t="s">
        <v>32</v>
      </c>
      <c r="K617" s="8" t="s">
        <v>22</v>
      </c>
      <c r="L617" s="8" t="s">
        <v>1661</v>
      </c>
    </row>
    <row r="618" spans="1:12" x14ac:dyDescent="0.35">
      <c r="A618" s="11">
        <v>617</v>
      </c>
      <c r="B618" s="17">
        <v>45961.371238425927</v>
      </c>
      <c r="C618" s="18">
        <v>45961</v>
      </c>
      <c r="D618" s="10" t="s">
        <v>394</v>
      </c>
      <c r="E618" s="14">
        <v>900</v>
      </c>
      <c r="F618" s="5">
        <v>0</v>
      </c>
      <c r="G618" s="5">
        <v>39142.15</v>
      </c>
      <c r="H618" s="10" t="s">
        <v>51</v>
      </c>
      <c r="I618" s="10" t="s">
        <v>52</v>
      </c>
      <c r="J618" s="10" t="s">
        <v>32</v>
      </c>
      <c r="K618" s="10" t="s">
        <v>22</v>
      </c>
      <c r="L618" s="10" t="s">
        <v>1663</v>
      </c>
    </row>
    <row r="619" spans="1:12" x14ac:dyDescent="0.35">
      <c r="A619" s="9">
        <v>618</v>
      </c>
      <c r="B619" s="19">
        <v>45961.401307870372</v>
      </c>
      <c r="C619" s="20">
        <v>45961</v>
      </c>
      <c r="D619" s="8" t="s">
        <v>394</v>
      </c>
      <c r="E619" s="12">
        <v>8500</v>
      </c>
      <c r="F619" s="3">
        <v>0</v>
      </c>
      <c r="G619" s="3">
        <v>30642.15</v>
      </c>
      <c r="H619" s="8" t="s">
        <v>51</v>
      </c>
      <c r="I619" s="8" t="s">
        <v>52</v>
      </c>
      <c r="J619" s="8" t="s">
        <v>32</v>
      </c>
      <c r="K619" s="8" t="s">
        <v>22</v>
      </c>
      <c r="L619" s="8" t="s">
        <v>1666</v>
      </c>
    </row>
    <row r="620" spans="1:12" x14ac:dyDescent="0.35">
      <c r="A620" s="11">
        <v>619</v>
      </c>
      <c r="B620" s="17">
        <v>45961.429027777784</v>
      </c>
      <c r="C620" s="18">
        <v>45961</v>
      </c>
      <c r="D620" s="10" t="s">
        <v>394</v>
      </c>
      <c r="E620" s="14">
        <v>2100</v>
      </c>
      <c r="F620" s="5">
        <v>0</v>
      </c>
      <c r="G620" s="5">
        <v>28542.15</v>
      </c>
      <c r="H620" s="10" t="s">
        <v>51</v>
      </c>
      <c r="I620" s="10" t="s">
        <v>52</v>
      </c>
      <c r="J620" s="10" t="s">
        <v>32</v>
      </c>
      <c r="K620" s="10" t="s">
        <v>22</v>
      </c>
      <c r="L620" s="10" t="s">
        <v>1669</v>
      </c>
    </row>
    <row r="621" spans="1:12" x14ac:dyDescent="0.35">
      <c r="A621" s="9">
        <v>620</v>
      </c>
      <c r="B621" s="19">
        <v>45962.099120370367</v>
      </c>
      <c r="C621" s="20">
        <v>45962</v>
      </c>
      <c r="D621" s="8" t="s">
        <v>2527</v>
      </c>
      <c r="E621" s="3">
        <v>0</v>
      </c>
      <c r="F621" s="13">
        <v>9.83</v>
      </c>
      <c r="G621" s="3">
        <v>28551.98</v>
      </c>
      <c r="H621" s="8" t="s">
        <v>51</v>
      </c>
      <c r="I621" s="8" t="s">
        <v>71</v>
      </c>
      <c r="J621" s="8" t="s">
        <v>32</v>
      </c>
      <c r="K621" s="8" t="s">
        <v>23</v>
      </c>
      <c r="L621" s="8" t="s">
        <v>2717</v>
      </c>
    </row>
    <row r="622" spans="1:12" x14ac:dyDescent="0.35">
      <c r="A622" s="11">
        <v>621</v>
      </c>
      <c r="B622" s="17">
        <v>45962.209074074082</v>
      </c>
      <c r="C622" s="18">
        <v>45962</v>
      </c>
      <c r="D622" s="10" t="s">
        <v>394</v>
      </c>
      <c r="E622" s="14">
        <v>500</v>
      </c>
      <c r="F622" s="5">
        <v>0</v>
      </c>
      <c r="G622" s="5">
        <v>28051.98</v>
      </c>
      <c r="H622" s="10" t="s">
        <v>51</v>
      </c>
      <c r="I622" s="10" t="s">
        <v>52</v>
      </c>
      <c r="J622" s="10" t="s">
        <v>32</v>
      </c>
      <c r="K622" s="10" t="s">
        <v>23</v>
      </c>
      <c r="L622" s="10" t="s">
        <v>1671</v>
      </c>
    </row>
    <row r="623" spans="1:12" x14ac:dyDescent="0.35">
      <c r="A623" s="9">
        <v>622</v>
      </c>
      <c r="B623" s="19">
        <v>45962.556203703702</v>
      </c>
      <c r="C623" s="20">
        <v>45962</v>
      </c>
      <c r="D623" s="8" t="s">
        <v>394</v>
      </c>
      <c r="E623" s="12">
        <v>900</v>
      </c>
      <c r="F623" s="3">
        <v>0</v>
      </c>
      <c r="G623" s="3">
        <v>27151.98</v>
      </c>
      <c r="H623" s="8" t="s">
        <v>51</v>
      </c>
      <c r="I623" s="8" t="s">
        <v>52</v>
      </c>
      <c r="J623" s="8" t="s">
        <v>32</v>
      </c>
      <c r="K623" s="8" t="s">
        <v>23</v>
      </c>
      <c r="L623" s="8" t="s">
        <v>1673</v>
      </c>
    </row>
    <row r="624" spans="1:12" x14ac:dyDescent="0.35">
      <c r="A624" s="11">
        <v>623</v>
      </c>
      <c r="B624" s="17">
        <v>45962.559189814812</v>
      </c>
      <c r="C624" s="18">
        <v>45962</v>
      </c>
      <c r="D624" s="10" t="s">
        <v>394</v>
      </c>
      <c r="E624" s="14">
        <v>900</v>
      </c>
      <c r="F624" s="5">
        <v>0</v>
      </c>
      <c r="G624" s="5">
        <v>26251.98</v>
      </c>
      <c r="H624" s="10" t="s">
        <v>51</v>
      </c>
      <c r="I624" s="10" t="s">
        <v>52</v>
      </c>
      <c r="J624" s="10" t="s">
        <v>32</v>
      </c>
      <c r="K624" s="10" t="s">
        <v>23</v>
      </c>
      <c r="L624" s="10" t="s">
        <v>1675</v>
      </c>
    </row>
    <row r="625" spans="1:12" x14ac:dyDescent="0.35">
      <c r="A625" s="9">
        <v>624</v>
      </c>
      <c r="B625" s="19">
        <v>45963.10832175926</v>
      </c>
      <c r="C625" s="20">
        <v>45963</v>
      </c>
      <c r="D625" s="8" t="s">
        <v>2527</v>
      </c>
      <c r="E625" s="3">
        <v>0</v>
      </c>
      <c r="F625" s="13">
        <v>9.0399999999999991</v>
      </c>
      <c r="G625" s="3">
        <v>26261.02</v>
      </c>
      <c r="H625" s="8" t="s">
        <v>51</v>
      </c>
      <c r="I625" s="8" t="s">
        <v>71</v>
      </c>
      <c r="J625" s="8" t="s">
        <v>32</v>
      </c>
      <c r="K625" s="8" t="s">
        <v>23</v>
      </c>
      <c r="L625" s="8" t="s">
        <v>2718</v>
      </c>
    </row>
    <row r="626" spans="1:12" x14ac:dyDescent="0.35">
      <c r="A626" s="11">
        <v>625</v>
      </c>
      <c r="B626" s="17">
        <v>45963.209016203713</v>
      </c>
      <c r="C626" s="18">
        <v>45963</v>
      </c>
      <c r="D626" s="10" t="s">
        <v>394</v>
      </c>
      <c r="E626" s="14">
        <v>500</v>
      </c>
      <c r="F626" s="5">
        <v>0</v>
      </c>
      <c r="G626" s="5">
        <v>25761.02</v>
      </c>
      <c r="H626" s="10" t="s">
        <v>51</v>
      </c>
      <c r="I626" s="10" t="s">
        <v>52</v>
      </c>
      <c r="J626" s="10" t="s">
        <v>32</v>
      </c>
      <c r="K626" s="10" t="s">
        <v>23</v>
      </c>
      <c r="L626" s="10" t="s">
        <v>1676</v>
      </c>
    </row>
    <row r="627" spans="1:12" x14ac:dyDescent="0.35">
      <c r="A627" s="9">
        <v>626</v>
      </c>
      <c r="B627" s="19">
        <v>45963.820775462962</v>
      </c>
      <c r="C627" s="20">
        <v>45963</v>
      </c>
      <c r="D627" s="8" t="s">
        <v>394</v>
      </c>
      <c r="E627" s="12">
        <v>50</v>
      </c>
      <c r="F627" s="3">
        <v>0</v>
      </c>
      <c r="G627" s="3">
        <v>25711.02</v>
      </c>
      <c r="H627" s="8" t="s">
        <v>51</v>
      </c>
      <c r="I627" s="8" t="s">
        <v>52</v>
      </c>
      <c r="J627" s="8" t="s">
        <v>32</v>
      </c>
      <c r="K627" s="8" t="s">
        <v>23</v>
      </c>
      <c r="L627" s="8" t="s">
        <v>1681</v>
      </c>
    </row>
    <row r="628" spans="1:12" x14ac:dyDescent="0.35">
      <c r="A628" s="11">
        <v>627</v>
      </c>
      <c r="B628" s="17">
        <v>45963.828622685192</v>
      </c>
      <c r="C628" s="18">
        <v>45963</v>
      </c>
      <c r="D628" s="10" t="s">
        <v>394</v>
      </c>
      <c r="E628" s="14">
        <v>10000</v>
      </c>
      <c r="F628" s="5">
        <v>0</v>
      </c>
      <c r="G628" s="5">
        <v>15711.02</v>
      </c>
      <c r="H628" s="10" t="s">
        <v>51</v>
      </c>
      <c r="I628" s="10" t="s">
        <v>52</v>
      </c>
      <c r="J628" s="10" t="s">
        <v>32</v>
      </c>
      <c r="K628" s="10" t="s">
        <v>23</v>
      </c>
      <c r="L628" s="10" t="s">
        <v>1683</v>
      </c>
    </row>
    <row r="629" spans="1:12" x14ac:dyDescent="0.35">
      <c r="A629" s="9">
        <v>628</v>
      </c>
      <c r="B629" s="19">
        <v>45964.093032407407</v>
      </c>
      <c r="C629" s="20">
        <v>45964</v>
      </c>
      <c r="D629" s="8" t="s">
        <v>2527</v>
      </c>
      <c r="E629" s="3">
        <v>0</v>
      </c>
      <c r="F629" s="13">
        <v>5.4</v>
      </c>
      <c r="G629" s="3">
        <v>15716.42</v>
      </c>
      <c r="H629" s="8" t="s">
        <v>51</v>
      </c>
      <c r="I629" s="8" t="s">
        <v>71</v>
      </c>
      <c r="J629" s="8" t="s">
        <v>32</v>
      </c>
      <c r="K629" s="8" t="s">
        <v>23</v>
      </c>
      <c r="L629" s="8" t="s">
        <v>2719</v>
      </c>
    </row>
    <row r="630" spans="1:12" x14ac:dyDescent="0.35">
      <c r="A630" s="11">
        <v>629</v>
      </c>
      <c r="B630" s="17">
        <v>45964.209016203713</v>
      </c>
      <c r="C630" s="18">
        <v>45964</v>
      </c>
      <c r="D630" s="10" t="s">
        <v>394</v>
      </c>
      <c r="E630" s="14">
        <v>500</v>
      </c>
      <c r="F630" s="5">
        <v>0</v>
      </c>
      <c r="G630" s="5">
        <v>15216.42</v>
      </c>
      <c r="H630" s="10" t="s">
        <v>51</v>
      </c>
      <c r="I630" s="10" t="s">
        <v>52</v>
      </c>
      <c r="J630" s="10" t="s">
        <v>32</v>
      </c>
      <c r="K630" s="10" t="s">
        <v>23</v>
      </c>
      <c r="L630" s="10" t="s">
        <v>1684</v>
      </c>
    </row>
    <row r="631" spans="1:12" x14ac:dyDescent="0.35">
      <c r="A631" s="9">
        <v>630</v>
      </c>
      <c r="B631" s="19">
        <v>45964.42082175926</v>
      </c>
      <c r="C631" s="20">
        <v>45964</v>
      </c>
      <c r="D631" s="8" t="s">
        <v>394</v>
      </c>
      <c r="E631" s="12">
        <v>750</v>
      </c>
      <c r="F631" s="3">
        <v>0</v>
      </c>
      <c r="G631" s="3">
        <v>14466.42</v>
      </c>
      <c r="H631" s="8" t="s">
        <v>51</v>
      </c>
      <c r="I631" s="8" t="s">
        <v>52</v>
      </c>
      <c r="J631" s="8" t="s">
        <v>32</v>
      </c>
      <c r="K631" s="8" t="s">
        <v>23</v>
      </c>
      <c r="L631" s="8" t="s">
        <v>1688</v>
      </c>
    </row>
    <row r="632" spans="1:12" x14ac:dyDescent="0.35">
      <c r="A632" s="11">
        <v>631</v>
      </c>
      <c r="B632" s="17">
        <v>45964.551921296297</v>
      </c>
      <c r="C632" s="18">
        <v>45964</v>
      </c>
      <c r="D632" s="10" t="s">
        <v>394</v>
      </c>
      <c r="E632" s="14">
        <v>1800</v>
      </c>
      <c r="F632" s="5">
        <v>0</v>
      </c>
      <c r="G632" s="5">
        <v>12666.42</v>
      </c>
      <c r="H632" s="10" t="s">
        <v>51</v>
      </c>
      <c r="I632" s="10" t="s">
        <v>52</v>
      </c>
      <c r="J632" s="10" t="s">
        <v>32</v>
      </c>
      <c r="K632" s="10" t="s">
        <v>23</v>
      </c>
      <c r="L632" s="10" t="s">
        <v>1691</v>
      </c>
    </row>
    <row r="633" spans="1:12" x14ac:dyDescent="0.35">
      <c r="A633" s="9">
        <v>632</v>
      </c>
      <c r="B633" s="19">
        <v>45965.109930555547</v>
      </c>
      <c r="C633" s="20">
        <v>45965</v>
      </c>
      <c r="D633" s="8" t="s">
        <v>2527</v>
      </c>
      <c r="E633" s="3">
        <v>0</v>
      </c>
      <c r="F633" s="13">
        <v>4.3600000000000003</v>
      </c>
      <c r="G633" s="3">
        <v>12670.78</v>
      </c>
      <c r="H633" s="8" t="s">
        <v>51</v>
      </c>
      <c r="I633" s="8" t="s">
        <v>71</v>
      </c>
      <c r="J633" s="8" t="s">
        <v>32</v>
      </c>
      <c r="K633" s="8" t="s">
        <v>23</v>
      </c>
      <c r="L633" s="8" t="s">
        <v>2720</v>
      </c>
    </row>
    <row r="634" spans="1:12" x14ac:dyDescent="0.35">
      <c r="A634" s="11">
        <v>633</v>
      </c>
      <c r="B634" s="17">
        <v>45965.209027777782</v>
      </c>
      <c r="C634" s="18">
        <v>45965</v>
      </c>
      <c r="D634" s="10" t="s">
        <v>394</v>
      </c>
      <c r="E634" s="14">
        <v>500</v>
      </c>
      <c r="F634" s="5">
        <v>0</v>
      </c>
      <c r="G634" s="5">
        <v>12170.78</v>
      </c>
      <c r="H634" s="10" t="s">
        <v>51</v>
      </c>
      <c r="I634" s="10" t="s">
        <v>52</v>
      </c>
      <c r="J634" s="10" t="s">
        <v>32</v>
      </c>
      <c r="K634" s="10" t="s">
        <v>23</v>
      </c>
      <c r="L634" s="10" t="s">
        <v>1692</v>
      </c>
    </row>
    <row r="635" spans="1:12" x14ac:dyDescent="0.35">
      <c r="A635" s="9">
        <v>634</v>
      </c>
      <c r="B635" s="19">
        <v>45965.304131944453</v>
      </c>
      <c r="C635" s="20">
        <v>45965</v>
      </c>
      <c r="D635" s="8" t="s">
        <v>394</v>
      </c>
      <c r="E635" s="12">
        <v>1600</v>
      </c>
      <c r="F635" s="3">
        <v>0</v>
      </c>
      <c r="G635" s="3">
        <v>10570.78</v>
      </c>
      <c r="H635" s="8" t="s">
        <v>51</v>
      </c>
      <c r="I635" s="8" t="s">
        <v>52</v>
      </c>
      <c r="J635" s="8" t="s">
        <v>32</v>
      </c>
      <c r="K635" s="8" t="s">
        <v>23</v>
      </c>
      <c r="L635" s="8" t="s">
        <v>1696</v>
      </c>
    </row>
    <row r="636" spans="1:12" x14ac:dyDescent="0.35">
      <c r="A636" s="11">
        <v>635</v>
      </c>
      <c r="B636" s="17">
        <v>45965.326585648138</v>
      </c>
      <c r="C636" s="18">
        <v>45965</v>
      </c>
      <c r="D636" s="10" t="s">
        <v>394</v>
      </c>
      <c r="E636" s="14">
        <v>1000</v>
      </c>
      <c r="F636" s="5">
        <v>0</v>
      </c>
      <c r="G636" s="5">
        <v>9570.7800000000007</v>
      </c>
      <c r="H636" s="10" t="s">
        <v>51</v>
      </c>
      <c r="I636" s="10" t="s">
        <v>52</v>
      </c>
      <c r="J636" s="10" t="s">
        <v>32</v>
      </c>
      <c r="K636" s="10" t="s">
        <v>23</v>
      </c>
      <c r="L636" s="10" t="s">
        <v>1698</v>
      </c>
    </row>
    <row r="637" spans="1:12" x14ac:dyDescent="0.35">
      <c r="A637" s="9">
        <v>636</v>
      </c>
      <c r="B637" s="19">
        <v>45965.458680555559</v>
      </c>
      <c r="C637" s="20">
        <v>45965</v>
      </c>
      <c r="D637" s="8" t="s">
        <v>394</v>
      </c>
      <c r="E637" s="12">
        <v>3000</v>
      </c>
      <c r="F637" s="3">
        <v>0</v>
      </c>
      <c r="G637" s="3">
        <v>6570.78</v>
      </c>
      <c r="H637" s="8" t="s">
        <v>51</v>
      </c>
      <c r="I637" s="8" t="s">
        <v>52</v>
      </c>
      <c r="J637" s="8" t="s">
        <v>32</v>
      </c>
      <c r="K637" s="8" t="s">
        <v>23</v>
      </c>
      <c r="L637" s="8" t="s">
        <v>1701</v>
      </c>
    </row>
    <row r="638" spans="1:12" x14ac:dyDescent="0.35">
      <c r="A638" s="11">
        <v>637</v>
      </c>
      <c r="B638" s="17">
        <v>45965.558310185188</v>
      </c>
      <c r="C638" s="18">
        <v>45965</v>
      </c>
      <c r="D638" s="10" t="s">
        <v>394</v>
      </c>
      <c r="E638" s="14">
        <v>1300</v>
      </c>
      <c r="F638" s="5">
        <v>0</v>
      </c>
      <c r="G638" s="5">
        <v>5270.78</v>
      </c>
      <c r="H638" s="10" t="s">
        <v>51</v>
      </c>
      <c r="I638" s="10" t="s">
        <v>52</v>
      </c>
      <c r="J638" s="10" t="s">
        <v>32</v>
      </c>
      <c r="K638" s="10" t="s">
        <v>23</v>
      </c>
      <c r="L638" s="10" t="s">
        <v>1703</v>
      </c>
    </row>
    <row r="639" spans="1:12" x14ac:dyDescent="0.35">
      <c r="A639" s="9">
        <v>638</v>
      </c>
      <c r="B639" s="19">
        <v>45965.687372685177</v>
      </c>
      <c r="C639" s="20">
        <v>45965</v>
      </c>
      <c r="D639" s="8" t="s">
        <v>394</v>
      </c>
      <c r="E639" s="12">
        <v>750</v>
      </c>
      <c r="F639" s="3">
        <v>0</v>
      </c>
      <c r="G639" s="3">
        <v>4520.78</v>
      </c>
      <c r="H639" s="8" t="s">
        <v>51</v>
      </c>
      <c r="I639" s="8" t="s">
        <v>52</v>
      </c>
      <c r="J639" s="8" t="s">
        <v>32</v>
      </c>
      <c r="K639" s="8" t="s">
        <v>23</v>
      </c>
      <c r="L639" s="8" t="s">
        <v>1705</v>
      </c>
    </row>
    <row r="640" spans="1:12" x14ac:dyDescent="0.35">
      <c r="A640" s="11">
        <v>639</v>
      </c>
      <c r="B640" s="17">
        <v>45966.090381944443</v>
      </c>
      <c r="C640" s="18">
        <v>45966</v>
      </c>
      <c r="D640" s="10" t="s">
        <v>2527</v>
      </c>
      <c r="E640" s="5">
        <v>0</v>
      </c>
      <c r="F640" s="15">
        <v>1.55</v>
      </c>
      <c r="G640" s="5">
        <v>4522.33</v>
      </c>
      <c r="H640" s="10" t="s">
        <v>51</v>
      </c>
      <c r="I640" s="10" t="s">
        <v>71</v>
      </c>
      <c r="J640" s="10" t="s">
        <v>32</v>
      </c>
      <c r="K640" s="10" t="s">
        <v>23</v>
      </c>
      <c r="L640" s="10" t="s">
        <v>2721</v>
      </c>
    </row>
    <row r="641" spans="1:12" x14ac:dyDescent="0.35">
      <c r="A641" s="9">
        <v>640</v>
      </c>
      <c r="B641" s="19">
        <v>45966.209016203713</v>
      </c>
      <c r="C641" s="20">
        <v>45966</v>
      </c>
      <c r="D641" s="8" t="s">
        <v>394</v>
      </c>
      <c r="E641" s="12">
        <v>500</v>
      </c>
      <c r="F641" s="3">
        <v>0</v>
      </c>
      <c r="G641" s="3">
        <v>4022.33</v>
      </c>
      <c r="H641" s="8" t="s">
        <v>51</v>
      </c>
      <c r="I641" s="8" t="s">
        <v>52</v>
      </c>
      <c r="J641" s="8" t="s">
        <v>32</v>
      </c>
      <c r="K641" s="8" t="s">
        <v>23</v>
      </c>
      <c r="L641" s="8" t="s">
        <v>1706</v>
      </c>
    </row>
    <row r="642" spans="1:12" x14ac:dyDescent="0.35">
      <c r="A642" s="11">
        <v>641</v>
      </c>
      <c r="B642" s="17">
        <v>45966.302118055559</v>
      </c>
      <c r="C642" s="18">
        <v>45966</v>
      </c>
      <c r="D642" s="10" t="s">
        <v>394</v>
      </c>
      <c r="E642" s="14">
        <v>1600</v>
      </c>
      <c r="F642" s="5">
        <v>0</v>
      </c>
      <c r="G642" s="5">
        <v>2422.33</v>
      </c>
      <c r="H642" s="10" t="s">
        <v>51</v>
      </c>
      <c r="I642" s="10" t="s">
        <v>52</v>
      </c>
      <c r="J642" s="10" t="s">
        <v>32</v>
      </c>
      <c r="K642" s="10" t="s">
        <v>23</v>
      </c>
      <c r="L642" s="10" t="s">
        <v>1710</v>
      </c>
    </row>
    <row r="643" spans="1:12" x14ac:dyDescent="0.35">
      <c r="A643" s="9">
        <v>642</v>
      </c>
      <c r="B643" s="19">
        <v>45966.529027777768</v>
      </c>
      <c r="C643" s="20">
        <v>45966</v>
      </c>
      <c r="D643" s="8" t="s">
        <v>394</v>
      </c>
      <c r="E643" s="12">
        <v>750</v>
      </c>
      <c r="F643" s="3">
        <v>0</v>
      </c>
      <c r="G643" s="3">
        <v>1672.33</v>
      </c>
      <c r="H643" s="8" t="s">
        <v>51</v>
      </c>
      <c r="I643" s="8" t="s">
        <v>52</v>
      </c>
      <c r="J643" s="8" t="s">
        <v>32</v>
      </c>
      <c r="K643" s="8" t="s">
        <v>23</v>
      </c>
      <c r="L643" s="8" t="s">
        <v>1712</v>
      </c>
    </row>
    <row r="644" spans="1:12" x14ac:dyDescent="0.35">
      <c r="A644" s="11">
        <v>643</v>
      </c>
      <c r="B644" s="17">
        <v>45966.707129629627</v>
      </c>
      <c r="C644" s="18">
        <v>45966</v>
      </c>
      <c r="D644" s="10" t="s">
        <v>394</v>
      </c>
      <c r="E644" s="14">
        <v>100</v>
      </c>
      <c r="F644" s="5">
        <v>0</v>
      </c>
      <c r="G644" s="5">
        <v>1572.33</v>
      </c>
      <c r="H644" s="10" t="s">
        <v>51</v>
      </c>
      <c r="I644" s="10" t="s">
        <v>52</v>
      </c>
      <c r="J644" s="10" t="s">
        <v>32</v>
      </c>
      <c r="K644" s="10" t="s">
        <v>23</v>
      </c>
      <c r="L644" s="10" t="s">
        <v>1720</v>
      </c>
    </row>
    <row r="645" spans="1:12" x14ac:dyDescent="0.35">
      <c r="A645" s="9">
        <v>644</v>
      </c>
      <c r="B645" s="19">
        <v>45967.104594907411</v>
      </c>
      <c r="C645" s="20">
        <v>45967</v>
      </c>
      <c r="D645" s="8" t="s">
        <v>2527</v>
      </c>
      <c r="E645" s="3">
        <v>0</v>
      </c>
      <c r="F645" s="13">
        <v>0.54</v>
      </c>
      <c r="G645" s="3">
        <v>1572.87</v>
      </c>
      <c r="H645" s="8" t="s">
        <v>51</v>
      </c>
      <c r="I645" s="8" t="s">
        <v>71</v>
      </c>
      <c r="J645" s="8" t="s">
        <v>32</v>
      </c>
      <c r="K645" s="8" t="s">
        <v>23</v>
      </c>
      <c r="L645" s="8" t="s">
        <v>2722</v>
      </c>
    </row>
    <row r="646" spans="1:12" x14ac:dyDescent="0.35">
      <c r="A646" s="11">
        <v>645</v>
      </c>
      <c r="B646" s="17">
        <v>45967.209016203713</v>
      </c>
      <c r="C646" s="18">
        <v>45967</v>
      </c>
      <c r="D646" s="10" t="s">
        <v>394</v>
      </c>
      <c r="E646" s="14">
        <v>500</v>
      </c>
      <c r="F646" s="5">
        <v>0</v>
      </c>
      <c r="G646" s="5">
        <v>1072.8699999999999</v>
      </c>
      <c r="H646" s="10" t="s">
        <v>51</v>
      </c>
      <c r="I646" s="10" t="s">
        <v>52</v>
      </c>
      <c r="J646" s="10" t="s">
        <v>32</v>
      </c>
      <c r="K646" s="10" t="s">
        <v>23</v>
      </c>
      <c r="L646" s="10" t="s">
        <v>1721</v>
      </c>
    </row>
    <row r="647" spans="1:12" x14ac:dyDescent="0.35">
      <c r="A647" s="9">
        <v>646</v>
      </c>
      <c r="B647" s="19">
        <v>45967.544525462959</v>
      </c>
      <c r="C647" s="20">
        <v>45967</v>
      </c>
      <c r="D647" s="8" t="s">
        <v>394</v>
      </c>
      <c r="E647" s="12">
        <v>60</v>
      </c>
      <c r="F647" s="3">
        <v>0</v>
      </c>
      <c r="G647" s="3">
        <v>1012.87</v>
      </c>
      <c r="H647" s="8" t="s">
        <v>51</v>
      </c>
      <c r="I647" s="8" t="s">
        <v>52</v>
      </c>
      <c r="J647" s="8" t="s">
        <v>32</v>
      </c>
      <c r="K647" s="8" t="s">
        <v>23</v>
      </c>
      <c r="L647" s="8" t="s">
        <v>1730</v>
      </c>
    </row>
    <row r="648" spans="1:12" x14ac:dyDescent="0.35">
      <c r="A648" s="11">
        <v>647</v>
      </c>
      <c r="B648" s="17">
        <v>45967.678124999999</v>
      </c>
      <c r="C648" s="18">
        <v>45967</v>
      </c>
      <c r="D648" s="10" t="s">
        <v>394</v>
      </c>
      <c r="E648" s="14">
        <v>750</v>
      </c>
      <c r="F648" s="5">
        <v>0</v>
      </c>
      <c r="G648" s="5">
        <v>262.87</v>
      </c>
      <c r="H648" s="10" t="s">
        <v>51</v>
      </c>
      <c r="I648" s="10" t="s">
        <v>52</v>
      </c>
      <c r="J648" s="10" t="s">
        <v>32</v>
      </c>
      <c r="K648" s="10" t="s">
        <v>23</v>
      </c>
      <c r="L648" s="10" t="s">
        <v>1732</v>
      </c>
    </row>
    <row r="649" spans="1:12" x14ac:dyDescent="0.35">
      <c r="A649" s="9">
        <v>648</v>
      </c>
      <c r="B649" s="19">
        <v>45968.091747685183</v>
      </c>
      <c r="C649" s="20">
        <v>45968</v>
      </c>
      <c r="D649" s="8" t="s">
        <v>2527</v>
      </c>
      <c r="E649" s="3">
        <v>0</v>
      </c>
      <c r="F649" s="13">
        <v>0.09</v>
      </c>
      <c r="G649" s="3">
        <v>262.95999999999998</v>
      </c>
      <c r="H649" s="8" t="s">
        <v>51</v>
      </c>
      <c r="I649" s="8" t="s">
        <v>71</v>
      </c>
      <c r="J649" s="8" t="s">
        <v>32</v>
      </c>
      <c r="K649" s="8" t="s">
        <v>23</v>
      </c>
      <c r="L649" s="8" t="s">
        <v>2723</v>
      </c>
    </row>
    <row r="650" spans="1:12" x14ac:dyDescent="0.35">
      <c r="A650" s="11">
        <v>649</v>
      </c>
      <c r="B650" s="17">
        <v>45969.094756944447</v>
      </c>
      <c r="C650" s="18">
        <v>45969</v>
      </c>
      <c r="D650" s="10" t="s">
        <v>2527</v>
      </c>
      <c r="E650" s="5">
        <v>0</v>
      </c>
      <c r="F650" s="15">
        <v>0.09</v>
      </c>
      <c r="G650" s="5">
        <v>263.05</v>
      </c>
      <c r="H650" s="10" t="s">
        <v>51</v>
      </c>
      <c r="I650" s="10" t="s">
        <v>71</v>
      </c>
      <c r="J650" s="10" t="s">
        <v>32</v>
      </c>
      <c r="K650" s="10" t="s">
        <v>23</v>
      </c>
      <c r="L650" s="10" t="s">
        <v>2724</v>
      </c>
    </row>
    <row r="651" spans="1:12" x14ac:dyDescent="0.35">
      <c r="A651" s="9">
        <v>650</v>
      </c>
      <c r="B651" s="19">
        <v>45970.091643518521</v>
      </c>
      <c r="C651" s="20">
        <v>45970</v>
      </c>
      <c r="D651" s="8" t="s">
        <v>2527</v>
      </c>
      <c r="E651" s="3">
        <v>0</v>
      </c>
      <c r="F651" s="13">
        <v>0.09</v>
      </c>
      <c r="G651" s="3">
        <v>263.14</v>
      </c>
      <c r="H651" s="8" t="s">
        <v>51</v>
      </c>
      <c r="I651" s="8" t="s">
        <v>71</v>
      </c>
      <c r="J651" s="8" t="s">
        <v>32</v>
      </c>
      <c r="K651" s="8" t="s">
        <v>23</v>
      </c>
      <c r="L651" s="8" t="s">
        <v>2725</v>
      </c>
    </row>
    <row r="652" spans="1:12" x14ac:dyDescent="0.35">
      <c r="A652" s="11">
        <v>651</v>
      </c>
      <c r="B652" s="17">
        <v>45971.099791666667</v>
      </c>
      <c r="C652" s="18">
        <v>45971</v>
      </c>
      <c r="D652" s="10" t="s">
        <v>2527</v>
      </c>
      <c r="E652" s="5">
        <v>0</v>
      </c>
      <c r="F652" s="15">
        <v>0.09</v>
      </c>
      <c r="G652" s="5">
        <v>263.23</v>
      </c>
      <c r="H652" s="10" t="s">
        <v>51</v>
      </c>
      <c r="I652" s="10" t="s">
        <v>71</v>
      </c>
      <c r="J652" s="10" t="s">
        <v>32</v>
      </c>
      <c r="K652" s="10" t="s">
        <v>23</v>
      </c>
      <c r="L652" s="10" t="s">
        <v>2726</v>
      </c>
    </row>
    <row r="653" spans="1:12" x14ac:dyDescent="0.35">
      <c r="A653" s="9">
        <v>652</v>
      </c>
      <c r="B653" s="19">
        <v>45972.091990740737</v>
      </c>
      <c r="C653" s="20">
        <v>45972</v>
      </c>
      <c r="D653" s="8" t="s">
        <v>2527</v>
      </c>
      <c r="E653" s="3">
        <v>0</v>
      </c>
      <c r="F653" s="13">
        <v>0.09</v>
      </c>
      <c r="G653" s="3">
        <v>263.32</v>
      </c>
      <c r="H653" s="8" t="s">
        <v>51</v>
      </c>
      <c r="I653" s="8" t="s">
        <v>71</v>
      </c>
      <c r="J653" s="8" t="s">
        <v>32</v>
      </c>
      <c r="K653" s="8" t="s">
        <v>23</v>
      </c>
      <c r="L653" s="8" t="s">
        <v>2727</v>
      </c>
    </row>
    <row r="654" spans="1:12" x14ac:dyDescent="0.35">
      <c r="A654" s="11">
        <v>653</v>
      </c>
      <c r="B654" s="17">
        <v>45972.925752314812</v>
      </c>
      <c r="C654" s="18">
        <v>45972</v>
      </c>
      <c r="D654" s="10" t="s">
        <v>426</v>
      </c>
      <c r="E654" s="5">
        <v>0</v>
      </c>
      <c r="F654" s="15">
        <v>78850</v>
      </c>
      <c r="G654" s="5">
        <v>79113.320000000007</v>
      </c>
      <c r="H654" s="10" t="s">
        <v>51</v>
      </c>
      <c r="I654" s="10" t="s">
        <v>71</v>
      </c>
      <c r="J654" s="10" t="s">
        <v>32</v>
      </c>
      <c r="K654" s="10" t="s">
        <v>23</v>
      </c>
      <c r="L654" s="10" t="s">
        <v>1737</v>
      </c>
    </row>
    <row r="655" spans="1:12" x14ac:dyDescent="0.35">
      <c r="A655" s="9">
        <v>654</v>
      </c>
      <c r="B655" s="19">
        <v>45973.101666666669</v>
      </c>
      <c r="C655" s="20">
        <v>45973</v>
      </c>
      <c r="D655" s="8" t="s">
        <v>2527</v>
      </c>
      <c r="E655" s="3">
        <v>0</v>
      </c>
      <c r="F655" s="13">
        <v>0.09</v>
      </c>
      <c r="G655" s="3">
        <v>79113.41</v>
      </c>
      <c r="H655" s="8" t="s">
        <v>51</v>
      </c>
      <c r="I655" s="8" t="s">
        <v>71</v>
      </c>
      <c r="J655" s="8" t="s">
        <v>32</v>
      </c>
      <c r="K655" s="8" t="s">
        <v>23</v>
      </c>
      <c r="L655" s="8" t="s">
        <v>2728</v>
      </c>
    </row>
    <row r="656" spans="1:12" x14ac:dyDescent="0.35">
      <c r="A656" s="11">
        <v>655</v>
      </c>
      <c r="B656" s="17">
        <v>45973.20890046296</v>
      </c>
      <c r="C656" s="18">
        <v>45973</v>
      </c>
      <c r="D656" s="10" t="s">
        <v>394</v>
      </c>
      <c r="E656" s="14">
        <v>500</v>
      </c>
      <c r="F656" s="5">
        <v>0</v>
      </c>
      <c r="G656" s="5">
        <v>78613.41</v>
      </c>
      <c r="H656" s="10" t="s">
        <v>51</v>
      </c>
      <c r="I656" s="10" t="s">
        <v>52</v>
      </c>
      <c r="J656" s="10" t="s">
        <v>32</v>
      </c>
      <c r="K656" s="10" t="s">
        <v>23</v>
      </c>
      <c r="L656" s="10" t="s">
        <v>1738</v>
      </c>
    </row>
    <row r="657" spans="1:12" x14ac:dyDescent="0.35">
      <c r="A657" s="9">
        <v>656</v>
      </c>
      <c r="B657" s="19">
        <v>45973.589895833327</v>
      </c>
      <c r="C657" s="20">
        <v>45973</v>
      </c>
      <c r="D657" s="8" t="s">
        <v>394</v>
      </c>
      <c r="E657" s="12">
        <v>3300</v>
      </c>
      <c r="F657" s="3">
        <v>0</v>
      </c>
      <c r="G657" s="3">
        <v>75313.41</v>
      </c>
      <c r="H657" s="8" t="s">
        <v>51</v>
      </c>
      <c r="I657" s="8" t="s">
        <v>52</v>
      </c>
      <c r="J657" s="8" t="s">
        <v>32</v>
      </c>
      <c r="K657" s="8" t="s">
        <v>23</v>
      </c>
      <c r="L657" s="8" t="s">
        <v>1742</v>
      </c>
    </row>
    <row r="658" spans="1:12" x14ac:dyDescent="0.35">
      <c r="A658" s="11">
        <v>657</v>
      </c>
      <c r="B658" s="17">
        <v>45973.681388888886</v>
      </c>
      <c r="C658" s="18">
        <v>45973</v>
      </c>
      <c r="D658" s="10" t="s">
        <v>394</v>
      </c>
      <c r="E658" s="14">
        <v>4000</v>
      </c>
      <c r="F658" s="5">
        <v>0</v>
      </c>
      <c r="G658" s="5">
        <v>71313.41</v>
      </c>
      <c r="H658" s="10" t="s">
        <v>51</v>
      </c>
      <c r="I658" s="10" t="s">
        <v>52</v>
      </c>
      <c r="J658" s="10" t="s">
        <v>32</v>
      </c>
      <c r="K658" s="10" t="s">
        <v>23</v>
      </c>
      <c r="L658" s="10" t="s">
        <v>1744</v>
      </c>
    </row>
    <row r="659" spans="1:12" x14ac:dyDescent="0.35">
      <c r="A659" s="9">
        <v>658</v>
      </c>
      <c r="B659" s="19">
        <v>45973.703206018523</v>
      </c>
      <c r="C659" s="20">
        <v>45973</v>
      </c>
      <c r="D659" s="8" t="s">
        <v>394</v>
      </c>
      <c r="E659" s="12">
        <v>750</v>
      </c>
      <c r="F659" s="3">
        <v>0</v>
      </c>
      <c r="G659" s="3">
        <v>70563.41</v>
      </c>
      <c r="H659" s="8" t="s">
        <v>51</v>
      </c>
      <c r="I659" s="8" t="s">
        <v>52</v>
      </c>
      <c r="J659" s="8" t="s">
        <v>32</v>
      </c>
      <c r="K659" s="8" t="s">
        <v>23</v>
      </c>
      <c r="L659" s="8" t="s">
        <v>1746</v>
      </c>
    </row>
    <row r="660" spans="1:12" x14ac:dyDescent="0.35">
      <c r="A660" s="11">
        <v>659</v>
      </c>
      <c r="B660" s="17">
        <v>45973.836527777778</v>
      </c>
      <c r="C660" s="18">
        <v>45973</v>
      </c>
      <c r="D660" s="10" t="s">
        <v>394</v>
      </c>
      <c r="E660" s="14">
        <v>2000</v>
      </c>
      <c r="F660" s="5">
        <v>0</v>
      </c>
      <c r="G660" s="5">
        <v>68563.41</v>
      </c>
      <c r="H660" s="10" t="s">
        <v>51</v>
      </c>
      <c r="I660" s="10" t="s">
        <v>52</v>
      </c>
      <c r="J660" s="10" t="s">
        <v>32</v>
      </c>
      <c r="K660" s="10" t="s">
        <v>23</v>
      </c>
      <c r="L660" s="10" t="s">
        <v>1749</v>
      </c>
    </row>
    <row r="661" spans="1:12" x14ac:dyDescent="0.35">
      <c r="A661" s="9">
        <v>660</v>
      </c>
      <c r="B661" s="19">
        <v>45973.851840277777</v>
      </c>
      <c r="C661" s="20">
        <v>45973</v>
      </c>
      <c r="D661" s="8" t="s">
        <v>394</v>
      </c>
      <c r="E661" s="12">
        <v>3100</v>
      </c>
      <c r="F661" s="3">
        <v>0</v>
      </c>
      <c r="G661" s="3">
        <v>65463.41</v>
      </c>
      <c r="H661" s="8" t="s">
        <v>51</v>
      </c>
      <c r="I661" s="8" t="s">
        <v>52</v>
      </c>
      <c r="J661" s="8" t="s">
        <v>32</v>
      </c>
      <c r="K661" s="8" t="s">
        <v>23</v>
      </c>
      <c r="L661" s="8" t="s">
        <v>1752</v>
      </c>
    </row>
    <row r="662" spans="1:12" x14ac:dyDescent="0.35">
      <c r="A662" s="11">
        <v>661</v>
      </c>
      <c r="B662" s="17">
        <v>45974.090173611112</v>
      </c>
      <c r="C662" s="18">
        <v>45974</v>
      </c>
      <c r="D662" s="10" t="s">
        <v>2527</v>
      </c>
      <c r="E662" s="5">
        <v>0</v>
      </c>
      <c r="F662" s="15">
        <v>22.56</v>
      </c>
      <c r="G662" s="5">
        <v>65485.97</v>
      </c>
      <c r="H662" s="10" t="s">
        <v>51</v>
      </c>
      <c r="I662" s="10" t="s">
        <v>71</v>
      </c>
      <c r="J662" s="10" t="s">
        <v>32</v>
      </c>
      <c r="K662" s="10" t="s">
        <v>23</v>
      </c>
      <c r="L662" s="10" t="s">
        <v>2729</v>
      </c>
    </row>
    <row r="663" spans="1:12" x14ac:dyDescent="0.35">
      <c r="A663" s="9">
        <v>662</v>
      </c>
      <c r="B663" s="19">
        <v>45974.20890046296</v>
      </c>
      <c r="C663" s="20">
        <v>45974</v>
      </c>
      <c r="D663" s="8" t="s">
        <v>394</v>
      </c>
      <c r="E663" s="12">
        <v>500</v>
      </c>
      <c r="F663" s="3">
        <v>0</v>
      </c>
      <c r="G663" s="3">
        <v>64985.97</v>
      </c>
      <c r="H663" s="8" t="s">
        <v>51</v>
      </c>
      <c r="I663" s="8" t="s">
        <v>52</v>
      </c>
      <c r="J663" s="8" t="s">
        <v>32</v>
      </c>
      <c r="K663" s="8" t="s">
        <v>23</v>
      </c>
      <c r="L663" s="8" t="s">
        <v>1753</v>
      </c>
    </row>
    <row r="664" spans="1:12" x14ac:dyDescent="0.35">
      <c r="A664" s="11">
        <v>663</v>
      </c>
      <c r="B664" s="17">
        <v>45975.197245370371</v>
      </c>
      <c r="C664" s="18">
        <v>45975</v>
      </c>
      <c r="D664" s="10" t="s">
        <v>2527</v>
      </c>
      <c r="E664" s="5">
        <v>0</v>
      </c>
      <c r="F664" s="15">
        <v>22.39</v>
      </c>
      <c r="G664" s="5">
        <v>65008.36</v>
      </c>
      <c r="H664" s="10" t="s">
        <v>51</v>
      </c>
      <c r="I664" s="10" t="s">
        <v>71</v>
      </c>
      <c r="J664" s="10" t="s">
        <v>32</v>
      </c>
      <c r="K664" s="10" t="s">
        <v>23</v>
      </c>
      <c r="L664" s="10" t="s">
        <v>2730</v>
      </c>
    </row>
    <row r="665" spans="1:12" x14ac:dyDescent="0.35">
      <c r="A665" s="9">
        <v>664</v>
      </c>
      <c r="B665" s="19">
        <v>45975.208935185183</v>
      </c>
      <c r="C665" s="20">
        <v>45975</v>
      </c>
      <c r="D665" s="8" t="s">
        <v>394</v>
      </c>
      <c r="E665" s="12">
        <v>500</v>
      </c>
      <c r="F665" s="3">
        <v>0</v>
      </c>
      <c r="G665" s="3">
        <v>64508.36</v>
      </c>
      <c r="H665" s="8" t="s">
        <v>51</v>
      </c>
      <c r="I665" s="8" t="s">
        <v>52</v>
      </c>
      <c r="J665" s="8" t="s">
        <v>32</v>
      </c>
      <c r="K665" s="8" t="s">
        <v>23</v>
      </c>
      <c r="L665" s="8" t="s">
        <v>1756</v>
      </c>
    </row>
    <row r="666" spans="1:12" x14ac:dyDescent="0.35">
      <c r="A666" s="11">
        <v>665</v>
      </c>
      <c r="B666" s="17">
        <v>45975.4606712963</v>
      </c>
      <c r="C666" s="18">
        <v>45975</v>
      </c>
      <c r="D666" s="10" t="s">
        <v>394</v>
      </c>
      <c r="E666" s="14">
        <v>2500</v>
      </c>
      <c r="F666" s="5">
        <v>0</v>
      </c>
      <c r="G666" s="5">
        <v>62008.36</v>
      </c>
      <c r="H666" s="10" t="s">
        <v>51</v>
      </c>
      <c r="I666" s="10" t="s">
        <v>52</v>
      </c>
      <c r="J666" s="10" t="s">
        <v>32</v>
      </c>
      <c r="K666" s="10" t="s">
        <v>23</v>
      </c>
      <c r="L666" s="10" t="s">
        <v>1759</v>
      </c>
    </row>
    <row r="667" spans="1:12" x14ac:dyDescent="0.35">
      <c r="A667" s="9">
        <v>666</v>
      </c>
      <c r="B667" s="19">
        <v>45975.61310185185</v>
      </c>
      <c r="C667" s="20">
        <v>45975</v>
      </c>
      <c r="D667" s="8" t="s">
        <v>394</v>
      </c>
      <c r="E667" s="12">
        <v>6500</v>
      </c>
      <c r="F667" s="3">
        <v>0</v>
      </c>
      <c r="G667" s="3">
        <v>55508.36</v>
      </c>
      <c r="H667" s="8" t="s">
        <v>51</v>
      </c>
      <c r="I667" s="8" t="s">
        <v>52</v>
      </c>
      <c r="J667" s="8" t="s">
        <v>32</v>
      </c>
      <c r="K667" s="8" t="s">
        <v>23</v>
      </c>
      <c r="L667" s="8" t="s">
        <v>1762</v>
      </c>
    </row>
    <row r="668" spans="1:12" x14ac:dyDescent="0.35">
      <c r="A668" s="11">
        <v>667</v>
      </c>
      <c r="B668" s="17">
        <v>45976.087268518517</v>
      </c>
      <c r="C668" s="18">
        <v>45976</v>
      </c>
      <c r="D668" s="10" t="s">
        <v>2527</v>
      </c>
      <c r="E668" s="5">
        <v>0</v>
      </c>
      <c r="F668" s="15">
        <v>19.12</v>
      </c>
      <c r="G668" s="5">
        <v>55527.48</v>
      </c>
      <c r="H668" s="10" t="s">
        <v>51</v>
      </c>
      <c r="I668" s="10" t="s">
        <v>71</v>
      </c>
      <c r="J668" s="10" t="s">
        <v>32</v>
      </c>
      <c r="K668" s="10" t="s">
        <v>23</v>
      </c>
      <c r="L668" s="10" t="s">
        <v>2731</v>
      </c>
    </row>
    <row r="669" spans="1:12" x14ac:dyDescent="0.35">
      <c r="A669" s="9">
        <v>668</v>
      </c>
      <c r="B669" s="19">
        <v>45976.20888888889</v>
      </c>
      <c r="C669" s="20">
        <v>45976</v>
      </c>
      <c r="D669" s="8" t="s">
        <v>394</v>
      </c>
      <c r="E669" s="12">
        <v>500</v>
      </c>
      <c r="F669" s="3">
        <v>0</v>
      </c>
      <c r="G669" s="3">
        <v>55027.48</v>
      </c>
      <c r="H669" s="8" t="s">
        <v>51</v>
      </c>
      <c r="I669" s="8" t="s">
        <v>52</v>
      </c>
      <c r="J669" s="8" t="s">
        <v>32</v>
      </c>
      <c r="K669" s="8" t="s">
        <v>23</v>
      </c>
      <c r="L669" s="8" t="s">
        <v>1763</v>
      </c>
    </row>
    <row r="670" spans="1:12" x14ac:dyDescent="0.35">
      <c r="A670" s="11">
        <v>669</v>
      </c>
      <c r="B670" s="17">
        <v>45976.365439814806</v>
      </c>
      <c r="C670" s="18">
        <v>45976</v>
      </c>
      <c r="D670" s="10" t="s">
        <v>394</v>
      </c>
      <c r="E670" s="14">
        <v>200</v>
      </c>
      <c r="F670" s="5">
        <v>0</v>
      </c>
      <c r="G670" s="5">
        <v>54827.48</v>
      </c>
      <c r="H670" s="10" t="s">
        <v>51</v>
      </c>
      <c r="I670" s="10" t="s">
        <v>52</v>
      </c>
      <c r="J670" s="10" t="s">
        <v>32</v>
      </c>
      <c r="K670" s="10" t="s">
        <v>23</v>
      </c>
      <c r="L670" s="10" t="s">
        <v>1767</v>
      </c>
    </row>
    <row r="671" spans="1:12" x14ac:dyDescent="0.35">
      <c r="A671" s="9">
        <v>670</v>
      </c>
      <c r="B671" s="19">
        <v>45976.397175925929</v>
      </c>
      <c r="C671" s="20">
        <v>45976</v>
      </c>
      <c r="D671" s="8" t="s">
        <v>394</v>
      </c>
      <c r="E671" s="12">
        <v>2200</v>
      </c>
      <c r="F671" s="3">
        <v>0</v>
      </c>
      <c r="G671" s="3">
        <v>52627.48</v>
      </c>
      <c r="H671" s="8" t="s">
        <v>51</v>
      </c>
      <c r="I671" s="8" t="s">
        <v>52</v>
      </c>
      <c r="J671" s="8" t="s">
        <v>32</v>
      </c>
      <c r="K671" s="8" t="s">
        <v>23</v>
      </c>
      <c r="L671" s="8" t="s">
        <v>1769</v>
      </c>
    </row>
    <row r="672" spans="1:12" x14ac:dyDescent="0.35">
      <c r="A672" s="11">
        <v>671</v>
      </c>
      <c r="B672" s="17">
        <v>45976.421134259261</v>
      </c>
      <c r="C672" s="18">
        <v>45976</v>
      </c>
      <c r="D672" s="10" t="s">
        <v>394</v>
      </c>
      <c r="E672" s="14">
        <v>1000</v>
      </c>
      <c r="F672" s="5">
        <v>0</v>
      </c>
      <c r="G672" s="5">
        <v>51627.48</v>
      </c>
      <c r="H672" s="10" t="s">
        <v>51</v>
      </c>
      <c r="I672" s="10" t="s">
        <v>52</v>
      </c>
      <c r="J672" s="10" t="s">
        <v>32</v>
      </c>
      <c r="K672" s="10" t="s">
        <v>23</v>
      </c>
      <c r="L672" s="10" t="s">
        <v>1771</v>
      </c>
    </row>
    <row r="673" spans="1:12" x14ac:dyDescent="0.35">
      <c r="A673" s="9">
        <v>672</v>
      </c>
      <c r="B673" s="19">
        <v>45977.107175925928</v>
      </c>
      <c r="C673" s="20">
        <v>45977</v>
      </c>
      <c r="D673" s="8" t="s">
        <v>2527</v>
      </c>
      <c r="E673" s="3">
        <v>0</v>
      </c>
      <c r="F673" s="13">
        <v>17.79</v>
      </c>
      <c r="G673" s="3">
        <v>51645.27</v>
      </c>
      <c r="H673" s="8" t="s">
        <v>51</v>
      </c>
      <c r="I673" s="8" t="s">
        <v>71</v>
      </c>
      <c r="J673" s="8" t="s">
        <v>32</v>
      </c>
      <c r="K673" s="8" t="s">
        <v>23</v>
      </c>
      <c r="L673" s="8" t="s">
        <v>2732</v>
      </c>
    </row>
    <row r="674" spans="1:12" x14ac:dyDescent="0.35">
      <c r="A674" s="11">
        <v>673</v>
      </c>
      <c r="B674" s="17">
        <v>45977.20888888889</v>
      </c>
      <c r="C674" s="18">
        <v>45977</v>
      </c>
      <c r="D674" s="10" t="s">
        <v>394</v>
      </c>
      <c r="E674" s="14">
        <v>500</v>
      </c>
      <c r="F674" s="5">
        <v>0</v>
      </c>
      <c r="G674" s="5">
        <v>51145.27</v>
      </c>
      <c r="H674" s="10" t="s">
        <v>51</v>
      </c>
      <c r="I674" s="10" t="s">
        <v>52</v>
      </c>
      <c r="J674" s="10" t="s">
        <v>32</v>
      </c>
      <c r="K674" s="10" t="s">
        <v>23</v>
      </c>
      <c r="L674" s="10" t="s">
        <v>1772</v>
      </c>
    </row>
    <row r="675" spans="1:12" x14ac:dyDescent="0.35">
      <c r="A675" s="9">
        <v>674</v>
      </c>
      <c r="B675" s="19">
        <v>45978.088564814818</v>
      </c>
      <c r="C675" s="20">
        <v>45978</v>
      </c>
      <c r="D675" s="8" t="s">
        <v>2527</v>
      </c>
      <c r="E675" s="3">
        <v>0</v>
      </c>
      <c r="F675" s="13">
        <v>17.62</v>
      </c>
      <c r="G675" s="3">
        <v>51162.89</v>
      </c>
      <c r="H675" s="8" t="s">
        <v>51</v>
      </c>
      <c r="I675" s="8" t="s">
        <v>71</v>
      </c>
      <c r="J675" s="8" t="s">
        <v>32</v>
      </c>
      <c r="K675" s="8" t="s">
        <v>23</v>
      </c>
      <c r="L675" s="8" t="s">
        <v>2733</v>
      </c>
    </row>
    <row r="676" spans="1:12" x14ac:dyDescent="0.35">
      <c r="A676" s="11">
        <v>675</v>
      </c>
      <c r="B676" s="17">
        <v>45978.20888888889</v>
      </c>
      <c r="C676" s="18">
        <v>45978</v>
      </c>
      <c r="D676" s="10" t="s">
        <v>394</v>
      </c>
      <c r="E676" s="14">
        <v>500</v>
      </c>
      <c r="F676" s="5">
        <v>0</v>
      </c>
      <c r="G676" s="5">
        <v>50662.89</v>
      </c>
      <c r="H676" s="10" t="s">
        <v>51</v>
      </c>
      <c r="I676" s="10" t="s">
        <v>52</v>
      </c>
      <c r="J676" s="10" t="s">
        <v>32</v>
      </c>
      <c r="K676" s="10" t="s">
        <v>23</v>
      </c>
      <c r="L676" s="10" t="s">
        <v>1774</v>
      </c>
    </row>
    <row r="677" spans="1:12" x14ac:dyDescent="0.35">
      <c r="A677" s="9">
        <v>676</v>
      </c>
      <c r="B677" s="19">
        <v>45978.38013888889</v>
      </c>
      <c r="C677" s="20">
        <v>45978</v>
      </c>
      <c r="D677" s="8" t="s">
        <v>394</v>
      </c>
      <c r="E677" s="12">
        <v>750</v>
      </c>
      <c r="F677" s="3">
        <v>0</v>
      </c>
      <c r="G677" s="3">
        <v>49912.89</v>
      </c>
      <c r="H677" s="8" t="s">
        <v>51</v>
      </c>
      <c r="I677" s="8" t="s">
        <v>52</v>
      </c>
      <c r="J677" s="8" t="s">
        <v>32</v>
      </c>
      <c r="K677" s="8" t="s">
        <v>23</v>
      </c>
      <c r="L677" s="8" t="s">
        <v>1777</v>
      </c>
    </row>
    <row r="678" spans="1:12" x14ac:dyDescent="0.35">
      <c r="A678" s="11">
        <v>677</v>
      </c>
      <c r="B678" s="17">
        <v>45978.534155092602</v>
      </c>
      <c r="C678" s="18">
        <v>45978</v>
      </c>
      <c r="D678" s="10" t="s">
        <v>394</v>
      </c>
      <c r="E678" s="14">
        <v>1600</v>
      </c>
      <c r="F678" s="5">
        <v>0</v>
      </c>
      <c r="G678" s="5">
        <v>48312.89</v>
      </c>
      <c r="H678" s="10" t="s">
        <v>51</v>
      </c>
      <c r="I678" s="10" t="s">
        <v>52</v>
      </c>
      <c r="J678" s="10" t="s">
        <v>32</v>
      </c>
      <c r="K678" s="10" t="s">
        <v>23</v>
      </c>
      <c r="L678" s="10" t="s">
        <v>1780</v>
      </c>
    </row>
    <row r="679" spans="1:12" x14ac:dyDescent="0.35">
      <c r="A679" s="9">
        <v>678</v>
      </c>
      <c r="B679" s="19">
        <v>45978.57644675926</v>
      </c>
      <c r="C679" s="20">
        <v>45978</v>
      </c>
      <c r="D679" s="8" t="s">
        <v>394</v>
      </c>
      <c r="E679" s="12">
        <v>3100</v>
      </c>
      <c r="F679" s="3">
        <v>0</v>
      </c>
      <c r="G679" s="3">
        <v>45212.89</v>
      </c>
      <c r="H679" s="8" t="s">
        <v>51</v>
      </c>
      <c r="I679" s="8" t="s">
        <v>52</v>
      </c>
      <c r="J679" s="8" t="s">
        <v>32</v>
      </c>
      <c r="K679" s="8" t="s">
        <v>23</v>
      </c>
      <c r="L679" s="8" t="s">
        <v>1783</v>
      </c>
    </row>
    <row r="680" spans="1:12" x14ac:dyDescent="0.35">
      <c r="A680" s="11">
        <v>679</v>
      </c>
      <c r="B680" s="17">
        <v>45978.603101851862</v>
      </c>
      <c r="C680" s="18">
        <v>45978</v>
      </c>
      <c r="D680" s="10" t="s">
        <v>394</v>
      </c>
      <c r="E680" s="14">
        <v>11200</v>
      </c>
      <c r="F680" s="5">
        <v>0</v>
      </c>
      <c r="G680" s="5">
        <v>34012.89</v>
      </c>
      <c r="H680" s="10" t="s">
        <v>51</v>
      </c>
      <c r="I680" s="10" t="s">
        <v>52</v>
      </c>
      <c r="J680" s="10" t="s">
        <v>32</v>
      </c>
      <c r="K680" s="10" t="s">
        <v>23</v>
      </c>
      <c r="L680" s="10" t="s">
        <v>1786</v>
      </c>
    </row>
    <row r="681" spans="1:12" x14ac:dyDescent="0.35">
      <c r="A681" s="9">
        <v>680</v>
      </c>
      <c r="B681" s="19">
        <v>45978.767824074072</v>
      </c>
      <c r="C681" s="20">
        <v>45978</v>
      </c>
      <c r="D681" s="8" t="s">
        <v>394</v>
      </c>
      <c r="E681" s="12">
        <v>200</v>
      </c>
      <c r="F681" s="3">
        <v>0</v>
      </c>
      <c r="G681" s="3">
        <v>33812.89</v>
      </c>
      <c r="H681" s="8" t="s">
        <v>51</v>
      </c>
      <c r="I681" s="8" t="s">
        <v>52</v>
      </c>
      <c r="J681" s="8" t="s">
        <v>32</v>
      </c>
      <c r="K681" s="8" t="s">
        <v>23</v>
      </c>
      <c r="L681" s="8" t="s">
        <v>1789</v>
      </c>
    </row>
    <row r="682" spans="1:12" x14ac:dyDescent="0.35">
      <c r="A682" s="11">
        <v>681</v>
      </c>
      <c r="B682" s="17">
        <v>45979.108402777783</v>
      </c>
      <c r="C682" s="18">
        <v>45979</v>
      </c>
      <c r="D682" s="10" t="s">
        <v>2527</v>
      </c>
      <c r="E682" s="5">
        <v>0</v>
      </c>
      <c r="F682" s="15">
        <v>11.64</v>
      </c>
      <c r="G682" s="5">
        <v>33824.53</v>
      </c>
      <c r="H682" s="10" t="s">
        <v>51</v>
      </c>
      <c r="I682" s="10" t="s">
        <v>71</v>
      </c>
      <c r="J682" s="10" t="s">
        <v>32</v>
      </c>
      <c r="K682" s="10" t="s">
        <v>23</v>
      </c>
      <c r="L682" s="10" t="s">
        <v>2734</v>
      </c>
    </row>
    <row r="683" spans="1:12" x14ac:dyDescent="0.35">
      <c r="A683" s="9">
        <v>682</v>
      </c>
      <c r="B683" s="19">
        <v>45979.20890046296</v>
      </c>
      <c r="C683" s="20">
        <v>45979</v>
      </c>
      <c r="D683" s="8" t="s">
        <v>394</v>
      </c>
      <c r="E683" s="12">
        <v>500</v>
      </c>
      <c r="F683" s="3">
        <v>0</v>
      </c>
      <c r="G683" s="3">
        <v>33324.53</v>
      </c>
      <c r="H683" s="8" t="s">
        <v>51</v>
      </c>
      <c r="I683" s="8" t="s">
        <v>52</v>
      </c>
      <c r="J683" s="8" t="s">
        <v>32</v>
      </c>
      <c r="K683" s="8" t="s">
        <v>23</v>
      </c>
      <c r="L683" s="8" t="s">
        <v>1790</v>
      </c>
    </row>
    <row r="684" spans="1:12" x14ac:dyDescent="0.35">
      <c r="A684" s="11">
        <v>683</v>
      </c>
      <c r="B684" s="17">
        <v>45979.766238425917</v>
      </c>
      <c r="C684" s="18">
        <v>45979</v>
      </c>
      <c r="D684" s="10" t="s">
        <v>394</v>
      </c>
      <c r="E684" s="14">
        <v>500</v>
      </c>
      <c r="F684" s="5">
        <v>0</v>
      </c>
      <c r="G684" s="5">
        <v>32824.53</v>
      </c>
      <c r="H684" s="10" t="s">
        <v>51</v>
      </c>
      <c r="I684" s="10" t="s">
        <v>52</v>
      </c>
      <c r="J684" s="10" t="s">
        <v>32</v>
      </c>
      <c r="K684" s="10" t="s">
        <v>23</v>
      </c>
      <c r="L684" s="10" t="s">
        <v>1793</v>
      </c>
    </row>
    <row r="685" spans="1:12" x14ac:dyDescent="0.35">
      <c r="A685" s="9">
        <v>684</v>
      </c>
      <c r="B685" s="19">
        <v>45980.090254629627</v>
      </c>
      <c r="C685" s="20">
        <v>45980</v>
      </c>
      <c r="D685" s="8" t="s">
        <v>2527</v>
      </c>
      <c r="E685" s="3">
        <v>0</v>
      </c>
      <c r="F685" s="13">
        <v>11.31</v>
      </c>
      <c r="G685" s="3">
        <v>32835.839999999997</v>
      </c>
      <c r="H685" s="8" t="s">
        <v>51</v>
      </c>
      <c r="I685" s="8" t="s">
        <v>71</v>
      </c>
      <c r="J685" s="8" t="s">
        <v>32</v>
      </c>
      <c r="K685" s="8" t="s">
        <v>23</v>
      </c>
      <c r="L685" s="8" t="s">
        <v>2735</v>
      </c>
    </row>
    <row r="686" spans="1:12" x14ac:dyDescent="0.35">
      <c r="A686" s="11">
        <v>685</v>
      </c>
      <c r="B686" s="17">
        <v>45980.20890046296</v>
      </c>
      <c r="C686" s="18">
        <v>45980</v>
      </c>
      <c r="D686" s="10" t="s">
        <v>394</v>
      </c>
      <c r="E686" s="14">
        <v>500</v>
      </c>
      <c r="F686" s="5">
        <v>0</v>
      </c>
      <c r="G686" s="5">
        <v>32335.84</v>
      </c>
      <c r="H686" s="10" t="s">
        <v>51</v>
      </c>
      <c r="I686" s="10" t="s">
        <v>52</v>
      </c>
      <c r="J686" s="10" t="s">
        <v>32</v>
      </c>
      <c r="K686" s="10" t="s">
        <v>23</v>
      </c>
      <c r="L686" s="10" t="s">
        <v>1795</v>
      </c>
    </row>
    <row r="687" spans="1:12" x14ac:dyDescent="0.35">
      <c r="A687" s="9">
        <v>686</v>
      </c>
      <c r="B687" s="19">
        <v>45980.501782407409</v>
      </c>
      <c r="C687" s="20">
        <v>45980</v>
      </c>
      <c r="D687" s="8" t="s">
        <v>394</v>
      </c>
      <c r="E687" s="12">
        <v>2000</v>
      </c>
      <c r="F687" s="3">
        <v>0</v>
      </c>
      <c r="G687" s="3">
        <v>30335.84</v>
      </c>
      <c r="H687" s="8" t="s">
        <v>51</v>
      </c>
      <c r="I687" s="8" t="s">
        <v>52</v>
      </c>
      <c r="J687" s="8" t="s">
        <v>32</v>
      </c>
      <c r="K687" s="8" t="s">
        <v>23</v>
      </c>
      <c r="L687" s="8" t="s">
        <v>1798</v>
      </c>
    </row>
    <row r="688" spans="1:12" x14ac:dyDescent="0.35">
      <c r="A688" s="11">
        <v>687</v>
      </c>
      <c r="B688" s="17">
        <v>45980.530590277784</v>
      </c>
      <c r="C688" s="18">
        <v>45980</v>
      </c>
      <c r="D688" s="10" t="s">
        <v>394</v>
      </c>
      <c r="E688" s="14">
        <v>4100</v>
      </c>
      <c r="F688" s="5">
        <v>0</v>
      </c>
      <c r="G688" s="5">
        <v>26235.84</v>
      </c>
      <c r="H688" s="10" t="s">
        <v>51</v>
      </c>
      <c r="I688" s="10" t="s">
        <v>52</v>
      </c>
      <c r="J688" s="10" t="s">
        <v>32</v>
      </c>
      <c r="K688" s="10" t="s">
        <v>23</v>
      </c>
      <c r="L688" s="10" t="s">
        <v>1801</v>
      </c>
    </row>
    <row r="689" spans="1:12" x14ac:dyDescent="0.35">
      <c r="A689" s="9">
        <v>688</v>
      </c>
      <c r="B689" s="19">
        <v>45980.542962962973</v>
      </c>
      <c r="C689" s="20">
        <v>45980</v>
      </c>
      <c r="D689" s="8" t="s">
        <v>394</v>
      </c>
      <c r="E689" s="12">
        <v>6400</v>
      </c>
      <c r="F689" s="3">
        <v>0</v>
      </c>
      <c r="G689" s="3">
        <v>19835.84</v>
      </c>
      <c r="H689" s="8" t="s">
        <v>51</v>
      </c>
      <c r="I689" s="8" t="s">
        <v>52</v>
      </c>
      <c r="J689" s="8" t="s">
        <v>32</v>
      </c>
      <c r="K689" s="8" t="s">
        <v>23</v>
      </c>
      <c r="L689" s="8" t="s">
        <v>1804</v>
      </c>
    </row>
    <row r="690" spans="1:12" x14ac:dyDescent="0.35">
      <c r="A690" s="11">
        <v>689</v>
      </c>
      <c r="B690" s="17">
        <v>45980.549861111111</v>
      </c>
      <c r="C690" s="18">
        <v>45980</v>
      </c>
      <c r="D690" s="10" t="s">
        <v>394</v>
      </c>
      <c r="E690" s="14">
        <v>3700</v>
      </c>
      <c r="F690" s="5">
        <v>0</v>
      </c>
      <c r="G690" s="5">
        <v>16135.84</v>
      </c>
      <c r="H690" s="10" t="s">
        <v>51</v>
      </c>
      <c r="I690" s="10" t="s">
        <v>52</v>
      </c>
      <c r="J690" s="10" t="s">
        <v>32</v>
      </c>
      <c r="K690" s="10" t="s">
        <v>23</v>
      </c>
      <c r="L690" s="10" t="s">
        <v>1807</v>
      </c>
    </row>
    <row r="691" spans="1:12" x14ac:dyDescent="0.35">
      <c r="A691" s="9">
        <v>690</v>
      </c>
      <c r="B691" s="19">
        <v>45981.107488425929</v>
      </c>
      <c r="C691" s="20">
        <v>45981</v>
      </c>
      <c r="D691" s="8" t="s">
        <v>2527</v>
      </c>
      <c r="E691" s="3">
        <v>0</v>
      </c>
      <c r="F691" s="13">
        <v>5.55</v>
      </c>
      <c r="G691" s="3">
        <v>16141.39</v>
      </c>
      <c r="H691" s="8" t="s">
        <v>51</v>
      </c>
      <c r="I691" s="8" t="s">
        <v>71</v>
      </c>
      <c r="J691" s="8" t="s">
        <v>32</v>
      </c>
      <c r="K691" s="8" t="s">
        <v>23</v>
      </c>
      <c r="L691" s="8" t="s">
        <v>2736</v>
      </c>
    </row>
    <row r="692" spans="1:12" x14ac:dyDescent="0.35">
      <c r="A692" s="11">
        <v>691</v>
      </c>
      <c r="B692" s="17">
        <v>45981.208819444437</v>
      </c>
      <c r="C692" s="18">
        <v>45981</v>
      </c>
      <c r="D692" s="10" t="s">
        <v>394</v>
      </c>
      <c r="E692" s="14">
        <v>500</v>
      </c>
      <c r="F692" s="5">
        <v>0</v>
      </c>
      <c r="G692" s="5">
        <v>15641.39</v>
      </c>
      <c r="H692" s="10" t="s">
        <v>51</v>
      </c>
      <c r="I692" s="10" t="s">
        <v>52</v>
      </c>
      <c r="J692" s="10" t="s">
        <v>32</v>
      </c>
      <c r="K692" s="10" t="s">
        <v>23</v>
      </c>
      <c r="L692" s="10" t="s">
        <v>1809</v>
      </c>
    </row>
    <row r="693" spans="1:12" x14ac:dyDescent="0.35">
      <c r="A693" s="9">
        <v>692</v>
      </c>
      <c r="B693" s="19">
        <v>45981.925706018519</v>
      </c>
      <c r="C693" s="20">
        <v>45981</v>
      </c>
      <c r="D693" s="8" t="s">
        <v>426</v>
      </c>
      <c r="E693" s="3">
        <v>0</v>
      </c>
      <c r="F693" s="13">
        <v>13950</v>
      </c>
      <c r="G693" s="3">
        <v>29591.39</v>
      </c>
      <c r="H693" s="8" t="s">
        <v>51</v>
      </c>
      <c r="I693" s="8" t="s">
        <v>71</v>
      </c>
      <c r="J693" s="8" t="s">
        <v>32</v>
      </c>
      <c r="K693" s="8" t="s">
        <v>23</v>
      </c>
      <c r="L693" s="8" t="s">
        <v>1813</v>
      </c>
    </row>
    <row r="694" spans="1:12" x14ac:dyDescent="0.35">
      <c r="A694" s="11">
        <v>693</v>
      </c>
      <c r="B694" s="17">
        <v>45982.090092592603</v>
      </c>
      <c r="C694" s="18">
        <v>45982</v>
      </c>
      <c r="D694" s="10" t="s">
        <v>2527</v>
      </c>
      <c r="E694" s="5">
        <v>0</v>
      </c>
      <c r="F694" s="15">
        <v>5.39</v>
      </c>
      <c r="G694" s="5">
        <v>29596.78</v>
      </c>
      <c r="H694" s="10" t="s">
        <v>51</v>
      </c>
      <c r="I694" s="10" t="s">
        <v>71</v>
      </c>
      <c r="J694" s="10" t="s">
        <v>32</v>
      </c>
      <c r="K694" s="10" t="s">
        <v>23</v>
      </c>
      <c r="L694" s="10" t="s">
        <v>2737</v>
      </c>
    </row>
    <row r="695" spans="1:12" x14ac:dyDescent="0.35">
      <c r="A695" s="9">
        <v>694</v>
      </c>
      <c r="B695" s="19">
        <v>45982.208796296298</v>
      </c>
      <c r="C695" s="20">
        <v>45982</v>
      </c>
      <c r="D695" s="8" t="s">
        <v>394</v>
      </c>
      <c r="E695" s="12">
        <v>500</v>
      </c>
      <c r="F695" s="3">
        <v>0</v>
      </c>
      <c r="G695" s="3">
        <v>29096.78</v>
      </c>
      <c r="H695" s="8" t="s">
        <v>51</v>
      </c>
      <c r="I695" s="8" t="s">
        <v>52</v>
      </c>
      <c r="J695" s="8" t="s">
        <v>32</v>
      </c>
      <c r="K695" s="8" t="s">
        <v>23</v>
      </c>
      <c r="L695" s="8" t="s">
        <v>1815</v>
      </c>
    </row>
    <row r="696" spans="1:12" x14ac:dyDescent="0.35">
      <c r="A696" s="11">
        <v>695</v>
      </c>
      <c r="B696" s="17">
        <v>45983.110266203701</v>
      </c>
      <c r="C696" s="18">
        <v>45983</v>
      </c>
      <c r="D696" s="10" t="s">
        <v>2527</v>
      </c>
      <c r="E696" s="5">
        <v>0</v>
      </c>
      <c r="F696" s="15">
        <v>10.02</v>
      </c>
      <c r="G696" s="5">
        <v>29106.799999999999</v>
      </c>
      <c r="H696" s="10" t="s">
        <v>51</v>
      </c>
      <c r="I696" s="10" t="s">
        <v>71</v>
      </c>
      <c r="J696" s="10" t="s">
        <v>32</v>
      </c>
      <c r="K696" s="10" t="s">
        <v>23</v>
      </c>
      <c r="L696" s="10" t="s">
        <v>2738</v>
      </c>
    </row>
    <row r="697" spans="1:12" x14ac:dyDescent="0.35">
      <c r="A697" s="9">
        <v>696</v>
      </c>
      <c r="B697" s="19">
        <v>45983.208784722221</v>
      </c>
      <c r="C697" s="20">
        <v>45983</v>
      </c>
      <c r="D697" s="8" t="s">
        <v>394</v>
      </c>
      <c r="E697" s="12">
        <v>500</v>
      </c>
      <c r="F697" s="3">
        <v>0</v>
      </c>
      <c r="G697" s="3">
        <v>28606.799999999999</v>
      </c>
      <c r="H697" s="8" t="s">
        <v>51</v>
      </c>
      <c r="I697" s="8" t="s">
        <v>52</v>
      </c>
      <c r="J697" s="8" t="s">
        <v>32</v>
      </c>
      <c r="K697" s="8" t="s">
        <v>23</v>
      </c>
      <c r="L697" s="8" t="s">
        <v>1816</v>
      </c>
    </row>
    <row r="698" spans="1:12" x14ac:dyDescent="0.35">
      <c r="A698" s="11">
        <v>697</v>
      </c>
      <c r="B698" s="17">
        <v>45984.089328703703</v>
      </c>
      <c r="C698" s="18">
        <v>45984</v>
      </c>
      <c r="D698" s="10" t="s">
        <v>2527</v>
      </c>
      <c r="E698" s="5">
        <v>0</v>
      </c>
      <c r="F698" s="15">
        <v>9.85</v>
      </c>
      <c r="G698" s="5">
        <v>28616.65</v>
      </c>
      <c r="H698" s="10" t="s">
        <v>51</v>
      </c>
      <c r="I698" s="10" t="s">
        <v>71</v>
      </c>
      <c r="J698" s="10" t="s">
        <v>32</v>
      </c>
      <c r="K698" s="10" t="s">
        <v>23</v>
      </c>
      <c r="L698" s="10" t="s">
        <v>2739</v>
      </c>
    </row>
    <row r="699" spans="1:12" x14ac:dyDescent="0.35">
      <c r="A699" s="9">
        <v>698</v>
      </c>
      <c r="B699" s="19">
        <v>45984.208819444437</v>
      </c>
      <c r="C699" s="20">
        <v>45984</v>
      </c>
      <c r="D699" s="8" t="s">
        <v>394</v>
      </c>
      <c r="E699" s="12">
        <v>500</v>
      </c>
      <c r="F699" s="3">
        <v>0</v>
      </c>
      <c r="G699" s="3">
        <v>28116.65</v>
      </c>
      <c r="H699" s="8" t="s">
        <v>51</v>
      </c>
      <c r="I699" s="8" t="s">
        <v>52</v>
      </c>
      <c r="J699" s="8" t="s">
        <v>32</v>
      </c>
      <c r="K699" s="8" t="s">
        <v>23</v>
      </c>
      <c r="L699" s="8" t="s">
        <v>1818</v>
      </c>
    </row>
    <row r="700" spans="1:12" x14ac:dyDescent="0.35">
      <c r="A700" s="11">
        <v>699</v>
      </c>
      <c r="B700" s="17">
        <v>45984.31832175926</v>
      </c>
      <c r="C700" s="18">
        <v>45984</v>
      </c>
      <c r="D700" s="10" t="s">
        <v>394</v>
      </c>
      <c r="E700" s="14">
        <v>2100</v>
      </c>
      <c r="F700" s="5">
        <v>0</v>
      </c>
      <c r="G700" s="5">
        <v>26016.65</v>
      </c>
      <c r="H700" s="10" t="s">
        <v>51</v>
      </c>
      <c r="I700" s="10" t="s">
        <v>52</v>
      </c>
      <c r="J700" s="10" t="s">
        <v>32</v>
      </c>
      <c r="K700" s="10" t="s">
        <v>23</v>
      </c>
      <c r="L700" s="10" t="s">
        <v>1822</v>
      </c>
    </row>
    <row r="701" spans="1:12" x14ac:dyDescent="0.35">
      <c r="A701" s="9">
        <v>700</v>
      </c>
      <c r="B701" s="19">
        <v>45984.355682870373</v>
      </c>
      <c r="C701" s="20">
        <v>45984</v>
      </c>
      <c r="D701" s="8" t="s">
        <v>394</v>
      </c>
      <c r="E701" s="12">
        <v>1600</v>
      </c>
      <c r="F701" s="3">
        <v>0</v>
      </c>
      <c r="G701" s="3">
        <v>24416.65</v>
      </c>
      <c r="H701" s="8" t="s">
        <v>51</v>
      </c>
      <c r="I701" s="8" t="s">
        <v>52</v>
      </c>
      <c r="J701" s="8" t="s">
        <v>32</v>
      </c>
      <c r="K701" s="8" t="s">
        <v>23</v>
      </c>
      <c r="L701" s="8" t="s">
        <v>1825</v>
      </c>
    </row>
    <row r="702" spans="1:12" x14ac:dyDescent="0.35">
      <c r="A702" s="11">
        <v>701</v>
      </c>
      <c r="B702" s="17">
        <v>45984.46565972222</v>
      </c>
      <c r="C702" s="18">
        <v>45984</v>
      </c>
      <c r="D702" s="10" t="s">
        <v>394</v>
      </c>
      <c r="E702" s="14">
        <v>2400</v>
      </c>
      <c r="F702" s="5">
        <v>0</v>
      </c>
      <c r="G702" s="5">
        <v>22016.65</v>
      </c>
      <c r="H702" s="10" t="s">
        <v>51</v>
      </c>
      <c r="I702" s="10" t="s">
        <v>52</v>
      </c>
      <c r="J702" s="10" t="s">
        <v>32</v>
      </c>
      <c r="K702" s="10" t="s">
        <v>23</v>
      </c>
      <c r="L702" s="10" t="s">
        <v>1828</v>
      </c>
    </row>
    <row r="703" spans="1:12" x14ac:dyDescent="0.35">
      <c r="A703" s="9">
        <v>702</v>
      </c>
      <c r="B703" s="19">
        <v>45985.107743055552</v>
      </c>
      <c r="C703" s="20">
        <v>45985</v>
      </c>
      <c r="D703" s="8" t="s">
        <v>2527</v>
      </c>
      <c r="E703" s="3">
        <v>0</v>
      </c>
      <c r="F703" s="13">
        <v>7.58</v>
      </c>
      <c r="G703" s="3">
        <v>22024.23</v>
      </c>
      <c r="H703" s="8" t="s">
        <v>51</v>
      </c>
      <c r="I703" s="8" t="s">
        <v>71</v>
      </c>
      <c r="J703" s="8" t="s">
        <v>32</v>
      </c>
      <c r="K703" s="8" t="s">
        <v>23</v>
      </c>
      <c r="L703" s="8" t="s">
        <v>2740</v>
      </c>
    </row>
    <row r="704" spans="1:12" x14ac:dyDescent="0.35">
      <c r="A704" s="11">
        <v>703</v>
      </c>
      <c r="B704" s="17">
        <v>45985.208506944437</v>
      </c>
      <c r="C704" s="18">
        <v>45985</v>
      </c>
      <c r="D704" s="10" t="s">
        <v>394</v>
      </c>
      <c r="E704" s="14">
        <v>500</v>
      </c>
      <c r="F704" s="5">
        <v>0</v>
      </c>
      <c r="G704" s="5">
        <v>21524.23</v>
      </c>
      <c r="H704" s="10" t="s">
        <v>51</v>
      </c>
      <c r="I704" s="10" t="s">
        <v>52</v>
      </c>
      <c r="J704" s="10" t="s">
        <v>32</v>
      </c>
      <c r="K704" s="10" t="s">
        <v>23</v>
      </c>
      <c r="L704" s="10" t="s">
        <v>1829</v>
      </c>
    </row>
    <row r="705" spans="1:12" x14ac:dyDescent="0.35">
      <c r="A705" s="9">
        <v>704</v>
      </c>
      <c r="B705" s="19">
        <v>45985.522893518522</v>
      </c>
      <c r="C705" s="20">
        <v>45985</v>
      </c>
      <c r="D705" s="8" t="s">
        <v>394</v>
      </c>
      <c r="E705" s="12">
        <v>11300</v>
      </c>
      <c r="F705" s="3">
        <v>0</v>
      </c>
      <c r="G705" s="3">
        <v>10224.23</v>
      </c>
      <c r="H705" s="8" t="s">
        <v>51</v>
      </c>
      <c r="I705" s="8" t="s">
        <v>52</v>
      </c>
      <c r="J705" s="8" t="s">
        <v>32</v>
      </c>
      <c r="K705" s="8" t="s">
        <v>23</v>
      </c>
      <c r="L705" s="8" t="s">
        <v>1832</v>
      </c>
    </row>
    <row r="706" spans="1:12" x14ac:dyDescent="0.35">
      <c r="A706" s="11">
        <v>705</v>
      </c>
      <c r="B706" s="17">
        <v>45985.925856481481</v>
      </c>
      <c r="C706" s="18">
        <v>45985</v>
      </c>
      <c r="D706" s="10" t="s">
        <v>426</v>
      </c>
      <c r="E706" s="5">
        <v>0</v>
      </c>
      <c r="F706" s="15">
        <v>7950</v>
      </c>
      <c r="G706" s="5">
        <v>18174.23</v>
      </c>
      <c r="H706" s="10" t="s">
        <v>51</v>
      </c>
      <c r="I706" s="10" t="s">
        <v>71</v>
      </c>
      <c r="J706" s="10" t="s">
        <v>32</v>
      </c>
      <c r="K706" s="10" t="s">
        <v>23</v>
      </c>
      <c r="L706" s="10" t="s">
        <v>1839</v>
      </c>
    </row>
    <row r="707" spans="1:12" x14ac:dyDescent="0.35">
      <c r="A707" s="9">
        <v>706</v>
      </c>
      <c r="B707" s="19">
        <v>45986.086504629631</v>
      </c>
      <c r="C707" s="20">
        <v>45986</v>
      </c>
      <c r="D707" s="8" t="s">
        <v>2527</v>
      </c>
      <c r="E707" s="3">
        <v>0</v>
      </c>
      <c r="F707" s="13">
        <v>3.51</v>
      </c>
      <c r="G707" s="3">
        <v>18177.740000000002</v>
      </c>
      <c r="H707" s="8" t="s">
        <v>51</v>
      </c>
      <c r="I707" s="8" t="s">
        <v>71</v>
      </c>
      <c r="J707" s="8" t="s">
        <v>32</v>
      </c>
      <c r="K707" s="8" t="s">
        <v>23</v>
      </c>
      <c r="L707" s="8" t="s">
        <v>2741</v>
      </c>
    </row>
    <row r="708" spans="1:12" x14ac:dyDescent="0.35">
      <c r="A708" s="11">
        <v>707</v>
      </c>
      <c r="B708" s="17">
        <v>45986.20884259259</v>
      </c>
      <c r="C708" s="18">
        <v>45986</v>
      </c>
      <c r="D708" s="10" t="s">
        <v>394</v>
      </c>
      <c r="E708" s="14">
        <v>500</v>
      </c>
      <c r="F708" s="5">
        <v>0</v>
      </c>
      <c r="G708" s="5">
        <v>17677.740000000002</v>
      </c>
      <c r="H708" s="10" t="s">
        <v>51</v>
      </c>
      <c r="I708" s="10" t="s">
        <v>52</v>
      </c>
      <c r="J708" s="10" t="s">
        <v>32</v>
      </c>
      <c r="K708" s="10" t="s">
        <v>23</v>
      </c>
      <c r="L708" s="10" t="s">
        <v>1841</v>
      </c>
    </row>
    <row r="709" spans="1:12" x14ac:dyDescent="0.35">
      <c r="A709" s="9">
        <v>708</v>
      </c>
      <c r="B709" s="19">
        <v>45987.10900462963</v>
      </c>
      <c r="C709" s="20">
        <v>45987</v>
      </c>
      <c r="D709" s="8" t="s">
        <v>2527</v>
      </c>
      <c r="E709" s="3">
        <v>0</v>
      </c>
      <c r="F709" s="13">
        <v>6.09</v>
      </c>
      <c r="G709" s="3">
        <v>17683.830000000002</v>
      </c>
      <c r="H709" s="8" t="s">
        <v>51</v>
      </c>
      <c r="I709" s="8" t="s">
        <v>71</v>
      </c>
      <c r="J709" s="8" t="s">
        <v>32</v>
      </c>
      <c r="K709" s="8" t="s">
        <v>23</v>
      </c>
      <c r="L709" s="8" t="s">
        <v>2742</v>
      </c>
    </row>
    <row r="710" spans="1:12" x14ac:dyDescent="0.35">
      <c r="A710" s="11">
        <v>709</v>
      </c>
      <c r="B710" s="17">
        <v>45987.208807870367</v>
      </c>
      <c r="C710" s="18">
        <v>45987</v>
      </c>
      <c r="D710" s="10" t="s">
        <v>394</v>
      </c>
      <c r="E710" s="14">
        <v>500</v>
      </c>
      <c r="F710" s="5">
        <v>0</v>
      </c>
      <c r="G710" s="5">
        <v>17183.830000000002</v>
      </c>
      <c r="H710" s="10" t="s">
        <v>51</v>
      </c>
      <c r="I710" s="10" t="s">
        <v>52</v>
      </c>
      <c r="J710" s="10" t="s">
        <v>32</v>
      </c>
      <c r="K710" s="10" t="s">
        <v>23</v>
      </c>
      <c r="L710" s="10" t="s">
        <v>1843</v>
      </c>
    </row>
    <row r="711" spans="1:12" x14ac:dyDescent="0.35">
      <c r="A711" s="9">
        <v>710</v>
      </c>
      <c r="B711" s="19">
        <v>45987.431921296287</v>
      </c>
      <c r="C711" s="20">
        <v>45987</v>
      </c>
      <c r="D711" s="8" t="s">
        <v>394</v>
      </c>
      <c r="E711" s="12">
        <v>2500</v>
      </c>
      <c r="F711" s="3">
        <v>0</v>
      </c>
      <c r="G711" s="3">
        <v>14683.83</v>
      </c>
      <c r="H711" s="8" t="s">
        <v>51</v>
      </c>
      <c r="I711" s="8" t="s">
        <v>52</v>
      </c>
      <c r="J711" s="8" t="s">
        <v>32</v>
      </c>
      <c r="K711" s="8" t="s">
        <v>23</v>
      </c>
      <c r="L711" s="8" t="s">
        <v>1845</v>
      </c>
    </row>
    <row r="712" spans="1:12" x14ac:dyDescent="0.35">
      <c r="A712" s="11">
        <v>711</v>
      </c>
      <c r="B712" s="17">
        <v>45987.545868055553</v>
      </c>
      <c r="C712" s="18">
        <v>45987</v>
      </c>
      <c r="D712" s="10" t="s">
        <v>394</v>
      </c>
      <c r="E712" s="14">
        <v>500</v>
      </c>
      <c r="F712" s="5">
        <v>0</v>
      </c>
      <c r="G712" s="5">
        <v>14183.83</v>
      </c>
      <c r="H712" s="10" t="s">
        <v>51</v>
      </c>
      <c r="I712" s="10" t="s">
        <v>52</v>
      </c>
      <c r="J712" s="10" t="s">
        <v>32</v>
      </c>
      <c r="K712" s="10" t="s">
        <v>23</v>
      </c>
      <c r="L712" s="10" t="s">
        <v>1848</v>
      </c>
    </row>
    <row r="713" spans="1:12" x14ac:dyDescent="0.35">
      <c r="A713" s="9">
        <v>712</v>
      </c>
      <c r="B713" s="19">
        <v>45987.594907407409</v>
      </c>
      <c r="C713" s="20">
        <v>45987</v>
      </c>
      <c r="D713" s="8" t="s">
        <v>394</v>
      </c>
      <c r="E713" s="12">
        <v>2000</v>
      </c>
      <c r="F713" s="3">
        <v>0</v>
      </c>
      <c r="G713" s="3">
        <v>12183.83</v>
      </c>
      <c r="H713" s="8" t="s">
        <v>51</v>
      </c>
      <c r="I713" s="8" t="s">
        <v>52</v>
      </c>
      <c r="J713" s="8" t="s">
        <v>32</v>
      </c>
      <c r="K713" s="8" t="s">
        <v>23</v>
      </c>
      <c r="L713" s="8" t="s">
        <v>1851</v>
      </c>
    </row>
    <row r="714" spans="1:12" x14ac:dyDescent="0.35">
      <c r="A714" s="11">
        <v>713</v>
      </c>
      <c r="B714" s="17">
        <v>45987.654432870368</v>
      </c>
      <c r="C714" s="18">
        <v>45987</v>
      </c>
      <c r="D714" s="10" t="s">
        <v>394</v>
      </c>
      <c r="E714" s="14">
        <v>1600</v>
      </c>
      <c r="F714" s="5">
        <v>0</v>
      </c>
      <c r="G714" s="5">
        <v>10583.83</v>
      </c>
      <c r="H714" s="10" t="s">
        <v>51</v>
      </c>
      <c r="I714" s="10" t="s">
        <v>52</v>
      </c>
      <c r="J714" s="10" t="s">
        <v>32</v>
      </c>
      <c r="K714" s="10" t="s">
        <v>23</v>
      </c>
      <c r="L714" s="10" t="s">
        <v>1854</v>
      </c>
    </row>
    <row r="715" spans="1:12" x14ac:dyDescent="0.35">
      <c r="A715" s="9">
        <v>714</v>
      </c>
      <c r="B715" s="19">
        <v>45987.655057870368</v>
      </c>
      <c r="C715" s="20">
        <v>45987</v>
      </c>
      <c r="D715" s="8" t="s">
        <v>394</v>
      </c>
      <c r="E715" s="12">
        <v>300</v>
      </c>
      <c r="F715" s="3">
        <v>0</v>
      </c>
      <c r="G715" s="3">
        <v>10283.83</v>
      </c>
      <c r="H715" s="8" t="s">
        <v>51</v>
      </c>
      <c r="I715" s="8" t="s">
        <v>52</v>
      </c>
      <c r="J715" s="8" t="s">
        <v>32</v>
      </c>
      <c r="K715" s="8" t="s">
        <v>23</v>
      </c>
      <c r="L715" s="8" t="s">
        <v>1856</v>
      </c>
    </row>
    <row r="716" spans="1:12" x14ac:dyDescent="0.35">
      <c r="A716" s="11">
        <v>715</v>
      </c>
      <c r="B716" s="17">
        <v>45988.088055555563</v>
      </c>
      <c r="C716" s="18">
        <v>45988</v>
      </c>
      <c r="D716" s="10" t="s">
        <v>2527</v>
      </c>
      <c r="E716" s="5">
        <v>0</v>
      </c>
      <c r="F716" s="15">
        <v>3.53</v>
      </c>
      <c r="G716" s="5">
        <v>10287.36</v>
      </c>
      <c r="H716" s="10" t="s">
        <v>51</v>
      </c>
      <c r="I716" s="10" t="s">
        <v>71</v>
      </c>
      <c r="J716" s="10" t="s">
        <v>32</v>
      </c>
      <c r="K716" s="10" t="s">
        <v>23</v>
      </c>
      <c r="L716" s="10" t="s">
        <v>2743</v>
      </c>
    </row>
    <row r="717" spans="1:12" x14ac:dyDescent="0.35">
      <c r="A717" s="9">
        <v>716</v>
      </c>
      <c r="B717" s="19">
        <v>45988.208819444437</v>
      </c>
      <c r="C717" s="20">
        <v>45988</v>
      </c>
      <c r="D717" s="8" t="s">
        <v>394</v>
      </c>
      <c r="E717" s="12">
        <v>500</v>
      </c>
      <c r="F717" s="3">
        <v>0</v>
      </c>
      <c r="G717" s="3">
        <v>9787.36</v>
      </c>
      <c r="H717" s="8" t="s">
        <v>51</v>
      </c>
      <c r="I717" s="8" t="s">
        <v>52</v>
      </c>
      <c r="J717" s="8" t="s">
        <v>32</v>
      </c>
      <c r="K717" s="8" t="s">
        <v>23</v>
      </c>
      <c r="L717" s="8" t="s">
        <v>1857</v>
      </c>
    </row>
    <row r="718" spans="1:12" x14ac:dyDescent="0.35">
      <c r="A718" s="11">
        <v>717</v>
      </c>
      <c r="B718" s="17">
        <v>45988.512696759259</v>
      </c>
      <c r="C718" s="18">
        <v>45988</v>
      </c>
      <c r="D718" s="10" t="s">
        <v>394</v>
      </c>
      <c r="E718" s="14">
        <v>2500</v>
      </c>
      <c r="F718" s="5">
        <v>0</v>
      </c>
      <c r="G718" s="5">
        <v>7287.36</v>
      </c>
      <c r="H718" s="10" t="s">
        <v>51</v>
      </c>
      <c r="I718" s="10" t="s">
        <v>52</v>
      </c>
      <c r="J718" s="10" t="s">
        <v>32</v>
      </c>
      <c r="K718" s="10" t="s">
        <v>23</v>
      </c>
      <c r="L718" s="10" t="s">
        <v>1860</v>
      </c>
    </row>
    <row r="719" spans="1:12" x14ac:dyDescent="0.35">
      <c r="A719" s="9">
        <v>718</v>
      </c>
      <c r="B719" s="19">
        <v>45988.925995370373</v>
      </c>
      <c r="C719" s="20">
        <v>45988</v>
      </c>
      <c r="D719" s="8" t="s">
        <v>426</v>
      </c>
      <c r="E719" s="3">
        <v>0</v>
      </c>
      <c r="F719" s="13">
        <v>9950</v>
      </c>
      <c r="G719" s="3">
        <v>17237.36</v>
      </c>
      <c r="H719" s="8" t="s">
        <v>51</v>
      </c>
      <c r="I719" s="8" t="s">
        <v>71</v>
      </c>
      <c r="J719" s="8" t="s">
        <v>32</v>
      </c>
      <c r="K719" s="8" t="s">
        <v>23</v>
      </c>
      <c r="L719" s="8" t="s">
        <v>1864</v>
      </c>
    </row>
    <row r="720" spans="1:12" x14ac:dyDescent="0.35">
      <c r="A720" s="11">
        <v>719</v>
      </c>
      <c r="B720" s="17">
        <v>45989.108495370368</v>
      </c>
      <c r="C720" s="18">
        <v>45989</v>
      </c>
      <c r="D720" s="10" t="s">
        <v>2527</v>
      </c>
      <c r="E720" s="5">
        <v>0</v>
      </c>
      <c r="F720" s="15">
        <v>2.5099999999999998</v>
      </c>
      <c r="G720" s="5">
        <v>17239.87</v>
      </c>
      <c r="H720" s="10" t="s">
        <v>51</v>
      </c>
      <c r="I720" s="10" t="s">
        <v>71</v>
      </c>
      <c r="J720" s="10" t="s">
        <v>32</v>
      </c>
      <c r="K720" s="10" t="s">
        <v>23</v>
      </c>
      <c r="L720" s="10" t="s">
        <v>2744</v>
      </c>
    </row>
    <row r="721" spans="1:12" x14ac:dyDescent="0.35">
      <c r="A721" s="9">
        <v>720</v>
      </c>
      <c r="B721" s="19">
        <v>45989.208796296298</v>
      </c>
      <c r="C721" s="20">
        <v>45989</v>
      </c>
      <c r="D721" s="8" t="s">
        <v>394</v>
      </c>
      <c r="E721" s="12">
        <v>500</v>
      </c>
      <c r="F721" s="3">
        <v>0</v>
      </c>
      <c r="G721" s="3">
        <v>16739.87</v>
      </c>
      <c r="H721" s="8" t="s">
        <v>51</v>
      </c>
      <c r="I721" s="8" t="s">
        <v>52</v>
      </c>
      <c r="J721" s="8" t="s">
        <v>32</v>
      </c>
      <c r="K721" s="8" t="s">
        <v>23</v>
      </c>
      <c r="L721" s="8" t="s">
        <v>1865</v>
      </c>
    </row>
    <row r="722" spans="1:12" x14ac:dyDescent="0.35">
      <c r="A722" s="11">
        <v>721</v>
      </c>
      <c r="B722" s="17">
        <v>45989.37740740741</v>
      </c>
      <c r="C722" s="18">
        <v>45989</v>
      </c>
      <c r="D722" s="10" t="s">
        <v>394</v>
      </c>
      <c r="E722" s="14">
        <v>750</v>
      </c>
      <c r="F722" s="5">
        <v>0</v>
      </c>
      <c r="G722" s="5">
        <v>15989.87</v>
      </c>
      <c r="H722" s="10" t="s">
        <v>51</v>
      </c>
      <c r="I722" s="10" t="s">
        <v>52</v>
      </c>
      <c r="J722" s="10" t="s">
        <v>32</v>
      </c>
      <c r="K722" s="10" t="s">
        <v>23</v>
      </c>
      <c r="L722" s="10" t="s">
        <v>1868</v>
      </c>
    </row>
    <row r="723" spans="1:12" x14ac:dyDescent="0.35">
      <c r="A723" s="9">
        <v>722</v>
      </c>
      <c r="B723" s="19">
        <v>45989.745497685188</v>
      </c>
      <c r="C723" s="20">
        <v>45989</v>
      </c>
      <c r="D723" s="8" t="s">
        <v>394</v>
      </c>
      <c r="E723" s="12">
        <v>3000</v>
      </c>
      <c r="F723" s="3">
        <v>0</v>
      </c>
      <c r="G723" s="3">
        <v>12989.87</v>
      </c>
      <c r="H723" s="8" t="s">
        <v>51</v>
      </c>
      <c r="I723" s="8" t="s">
        <v>52</v>
      </c>
      <c r="J723" s="8" t="s">
        <v>32</v>
      </c>
      <c r="K723" s="8" t="s">
        <v>23</v>
      </c>
      <c r="L723" s="8" t="s">
        <v>1871</v>
      </c>
    </row>
    <row r="724" spans="1:12" x14ac:dyDescent="0.35">
      <c r="A724" s="11">
        <v>723</v>
      </c>
      <c r="B724" s="17">
        <v>45989.747881944437</v>
      </c>
      <c r="C724" s="18">
        <v>45989</v>
      </c>
      <c r="D724" s="10" t="s">
        <v>394</v>
      </c>
      <c r="E724" s="14">
        <v>2000</v>
      </c>
      <c r="F724" s="5">
        <v>0</v>
      </c>
      <c r="G724" s="5">
        <v>10989.87</v>
      </c>
      <c r="H724" s="10" t="s">
        <v>51</v>
      </c>
      <c r="I724" s="10" t="s">
        <v>52</v>
      </c>
      <c r="J724" s="10" t="s">
        <v>32</v>
      </c>
      <c r="K724" s="10" t="s">
        <v>23</v>
      </c>
      <c r="L724" s="10" t="s">
        <v>1874</v>
      </c>
    </row>
    <row r="725" spans="1:12" x14ac:dyDescent="0.35">
      <c r="A725" s="9">
        <v>724</v>
      </c>
      <c r="B725" s="19">
        <v>45989.76871527778</v>
      </c>
      <c r="C725" s="20">
        <v>45989</v>
      </c>
      <c r="D725" s="8" t="s">
        <v>394</v>
      </c>
      <c r="E725" s="12">
        <v>1800</v>
      </c>
      <c r="F725" s="3">
        <v>0</v>
      </c>
      <c r="G725" s="3">
        <v>9189.8700000000008</v>
      </c>
      <c r="H725" s="8" t="s">
        <v>51</v>
      </c>
      <c r="I725" s="8" t="s">
        <v>52</v>
      </c>
      <c r="J725" s="8" t="s">
        <v>32</v>
      </c>
      <c r="K725" s="8" t="s">
        <v>23</v>
      </c>
      <c r="L725" s="8" t="s">
        <v>1877</v>
      </c>
    </row>
    <row r="726" spans="1:12" x14ac:dyDescent="0.35">
      <c r="A726" s="11">
        <v>725</v>
      </c>
      <c r="B726" s="17">
        <v>45990.087812500002</v>
      </c>
      <c r="C726" s="18">
        <v>45990</v>
      </c>
      <c r="D726" s="10" t="s">
        <v>2527</v>
      </c>
      <c r="E726" s="5">
        <v>0</v>
      </c>
      <c r="F726" s="15">
        <v>3.15</v>
      </c>
      <c r="G726" s="5">
        <v>9193.02</v>
      </c>
      <c r="H726" s="10" t="s">
        <v>51</v>
      </c>
      <c r="I726" s="10" t="s">
        <v>71</v>
      </c>
      <c r="J726" s="10" t="s">
        <v>32</v>
      </c>
      <c r="K726" s="10" t="s">
        <v>23</v>
      </c>
      <c r="L726" s="10" t="s">
        <v>2745</v>
      </c>
    </row>
    <row r="727" spans="1:12" x14ac:dyDescent="0.35">
      <c r="A727" s="9">
        <v>726</v>
      </c>
      <c r="B727" s="19">
        <v>45990.208784722221</v>
      </c>
      <c r="C727" s="20">
        <v>45990</v>
      </c>
      <c r="D727" s="8" t="s">
        <v>394</v>
      </c>
      <c r="E727" s="12">
        <v>500</v>
      </c>
      <c r="F727" s="3">
        <v>0</v>
      </c>
      <c r="G727" s="3">
        <v>8693.02</v>
      </c>
      <c r="H727" s="8" t="s">
        <v>51</v>
      </c>
      <c r="I727" s="8" t="s">
        <v>52</v>
      </c>
      <c r="J727" s="8" t="s">
        <v>32</v>
      </c>
      <c r="K727" s="8" t="s">
        <v>23</v>
      </c>
      <c r="L727" s="8" t="s">
        <v>1878</v>
      </c>
    </row>
    <row r="728" spans="1:12" x14ac:dyDescent="0.35">
      <c r="A728" s="11">
        <v>727</v>
      </c>
      <c r="B728" s="17">
        <v>45990.423726851863</v>
      </c>
      <c r="C728" s="18">
        <v>45990</v>
      </c>
      <c r="D728" s="10" t="s">
        <v>394</v>
      </c>
      <c r="E728" s="14">
        <v>3900</v>
      </c>
      <c r="F728" s="5">
        <v>0</v>
      </c>
      <c r="G728" s="5">
        <v>4793.0200000000004</v>
      </c>
      <c r="H728" s="10" t="s">
        <v>51</v>
      </c>
      <c r="I728" s="10" t="s">
        <v>52</v>
      </c>
      <c r="J728" s="10" t="s">
        <v>32</v>
      </c>
      <c r="K728" s="10" t="s">
        <v>23</v>
      </c>
      <c r="L728" s="10" t="s">
        <v>1882</v>
      </c>
    </row>
    <row r="729" spans="1:12" x14ac:dyDescent="0.35">
      <c r="A729" s="9">
        <v>728</v>
      </c>
      <c r="B729" s="19">
        <v>45991.111898148149</v>
      </c>
      <c r="C729" s="20">
        <v>45991</v>
      </c>
      <c r="D729" s="8" t="s">
        <v>2527</v>
      </c>
      <c r="E729" s="3">
        <v>0</v>
      </c>
      <c r="F729" s="13">
        <v>1.64</v>
      </c>
      <c r="G729" s="3">
        <v>4794.66</v>
      </c>
      <c r="H729" s="8" t="s">
        <v>51</v>
      </c>
      <c r="I729" s="8" t="s">
        <v>71</v>
      </c>
      <c r="J729" s="8" t="s">
        <v>32</v>
      </c>
      <c r="K729" s="8" t="s">
        <v>23</v>
      </c>
      <c r="L729" s="8" t="s">
        <v>2746</v>
      </c>
    </row>
    <row r="730" spans="1:12" x14ac:dyDescent="0.35">
      <c r="A730" s="11">
        <v>729</v>
      </c>
      <c r="B730" s="17">
        <v>45991.208784722221</v>
      </c>
      <c r="C730" s="18">
        <v>45991</v>
      </c>
      <c r="D730" s="10" t="s">
        <v>394</v>
      </c>
      <c r="E730" s="14">
        <v>500</v>
      </c>
      <c r="F730" s="5">
        <v>0</v>
      </c>
      <c r="G730" s="5">
        <v>4294.66</v>
      </c>
      <c r="H730" s="10" t="s">
        <v>51</v>
      </c>
      <c r="I730" s="10" t="s">
        <v>52</v>
      </c>
      <c r="J730" s="10" t="s">
        <v>32</v>
      </c>
      <c r="K730" s="10" t="s">
        <v>23</v>
      </c>
      <c r="L730" s="10" t="s">
        <v>1884</v>
      </c>
    </row>
    <row r="731" spans="1:12" x14ac:dyDescent="0.35">
      <c r="A731" s="9">
        <v>730</v>
      </c>
      <c r="B731" s="19">
        <v>45992.090405092589</v>
      </c>
      <c r="C731" s="20">
        <v>45992</v>
      </c>
      <c r="D731" s="8" t="s">
        <v>2527</v>
      </c>
      <c r="E731" s="3">
        <v>0</v>
      </c>
      <c r="F731" s="13">
        <v>1.47</v>
      </c>
      <c r="G731" s="3">
        <v>4296.13</v>
      </c>
      <c r="H731" s="8" t="s">
        <v>51</v>
      </c>
      <c r="I731" s="8" t="s">
        <v>71</v>
      </c>
      <c r="J731" s="8" t="s">
        <v>32</v>
      </c>
      <c r="K731" s="8" t="s">
        <v>24</v>
      </c>
      <c r="L731" s="8" t="s">
        <v>2747</v>
      </c>
    </row>
    <row r="732" spans="1:12" x14ac:dyDescent="0.35">
      <c r="A732" s="11">
        <v>731</v>
      </c>
      <c r="B732" s="17">
        <v>45992.208749999998</v>
      </c>
      <c r="C732" s="18">
        <v>45992</v>
      </c>
      <c r="D732" s="10" t="s">
        <v>394</v>
      </c>
      <c r="E732" s="14">
        <v>500</v>
      </c>
      <c r="F732" s="5">
        <v>0</v>
      </c>
      <c r="G732" s="5">
        <v>3796.13</v>
      </c>
      <c r="H732" s="10" t="s">
        <v>51</v>
      </c>
      <c r="I732" s="10" t="s">
        <v>52</v>
      </c>
      <c r="J732" s="10" t="s">
        <v>32</v>
      </c>
      <c r="K732" s="10" t="s">
        <v>24</v>
      </c>
      <c r="L732" s="10" t="s">
        <v>1886</v>
      </c>
    </row>
    <row r="733" spans="1:12" x14ac:dyDescent="0.35">
      <c r="A733" s="9">
        <v>732</v>
      </c>
      <c r="B733" s="19">
        <v>45993.107094907413</v>
      </c>
      <c r="C733" s="20">
        <v>45993</v>
      </c>
      <c r="D733" s="8" t="s">
        <v>2527</v>
      </c>
      <c r="E733" s="3">
        <v>0</v>
      </c>
      <c r="F733" s="13">
        <v>1.3</v>
      </c>
      <c r="G733" s="3">
        <v>3797.43</v>
      </c>
      <c r="H733" s="8" t="s">
        <v>51</v>
      </c>
      <c r="I733" s="8" t="s">
        <v>71</v>
      </c>
      <c r="J733" s="8" t="s">
        <v>32</v>
      </c>
      <c r="K733" s="8" t="s">
        <v>24</v>
      </c>
      <c r="L733" s="8" t="s">
        <v>2748</v>
      </c>
    </row>
    <row r="734" spans="1:12" x14ac:dyDescent="0.35">
      <c r="A734" s="11">
        <v>733</v>
      </c>
      <c r="B734" s="17">
        <v>45993.208761574067</v>
      </c>
      <c r="C734" s="18">
        <v>45993</v>
      </c>
      <c r="D734" s="10" t="s">
        <v>394</v>
      </c>
      <c r="E734" s="14">
        <v>500</v>
      </c>
      <c r="F734" s="5">
        <v>0</v>
      </c>
      <c r="G734" s="5">
        <v>3297.43</v>
      </c>
      <c r="H734" s="10" t="s">
        <v>51</v>
      </c>
      <c r="I734" s="10" t="s">
        <v>52</v>
      </c>
      <c r="J734" s="10" t="s">
        <v>32</v>
      </c>
      <c r="K734" s="10" t="s">
        <v>24</v>
      </c>
      <c r="L734" s="10" t="s">
        <v>1888</v>
      </c>
    </row>
    <row r="735" spans="1:12" x14ac:dyDescent="0.35">
      <c r="A735" s="9">
        <v>734</v>
      </c>
      <c r="B735" s="19">
        <v>45994.087453703702</v>
      </c>
      <c r="C735" s="20">
        <v>45994</v>
      </c>
      <c r="D735" s="8" t="s">
        <v>2527</v>
      </c>
      <c r="E735" s="3">
        <v>0</v>
      </c>
      <c r="F735" s="13">
        <v>1.1299999999999999</v>
      </c>
      <c r="G735" s="3">
        <v>3298.56</v>
      </c>
      <c r="H735" s="8" t="s">
        <v>51</v>
      </c>
      <c r="I735" s="8" t="s">
        <v>71</v>
      </c>
      <c r="J735" s="8" t="s">
        <v>32</v>
      </c>
      <c r="K735" s="8" t="s">
        <v>24</v>
      </c>
      <c r="L735" s="8" t="s">
        <v>2749</v>
      </c>
    </row>
    <row r="736" spans="1:12" x14ac:dyDescent="0.35">
      <c r="A736" s="11">
        <v>735</v>
      </c>
      <c r="B736" s="17">
        <v>45994.208726851852</v>
      </c>
      <c r="C736" s="18">
        <v>45994</v>
      </c>
      <c r="D736" s="10" t="s">
        <v>394</v>
      </c>
      <c r="E736" s="14">
        <v>500</v>
      </c>
      <c r="F736" s="5">
        <v>0</v>
      </c>
      <c r="G736" s="5">
        <v>2798.56</v>
      </c>
      <c r="H736" s="10" t="s">
        <v>51</v>
      </c>
      <c r="I736" s="10" t="s">
        <v>52</v>
      </c>
      <c r="J736" s="10" t="s">
        <v>32</v>
      </c>
      <c r="K736" s="10" t="s">
        <v>24</v>
      </c>
      <c r="L736" s="10" t="s">
        <v>1889</v>
      </c>
    </row>
    <row r="737" spans="1:12" x14ac:dyDescent="0.35">
      <c r="A737" s="9">
        <v>736</v>
      </c>
      <c r="B737" s="19">
        <v>45994.958472222221</v>
      </c>
      <c r="C737" s="20">
        <v>45994</v>
      </c>
      <c r="D737" s="8" t="s">
        <v>394</v>
      </c>
      <c r="E737" s="12">
        <v>1000</v>
      </c>
      <c r="F737" s="3">
        <v>0</v>
      </c>
      <c r="G737" s="3">
        <v>1798.56</v>
      </c>
      <c r="H737" s="8" t="s">
        <v>51</v>
      </c>
      <c r="I737" s="8" t="s">
        <v>52</v>
      </c>
      <c r="J737" s="8" t="s">
        <v>32</v>
      </c>
      <c r="K737" s="8" t="s">
        <v>24</v>
      </c>
      <c r="L737" s="8" t="s">
        <v>1893</v>
      </c>
    </row>
    <row r="738" spans="1:12" x14ac:dyDescent="0.35">
      <c r="A738" s="11">
        <v>737</v>
      </c>
      <c r="B738" s="17">
        <v>45995.10665509259</v>
      </c>
      <c r="C738" s="18">
        <v>45995</v>
      </c>
      <c r="D738" s="10" t="s">
        <v>2527</v>
      </c>
      <c r="E738" s="5">
        <v>0</v>
      </c>
      <c r="F738" s="15">
        <v>0.61</v>
      </c>
      <c r="G738" s="5">
        <v>1799.17</v>
      </c>
      <c r="H738" s="10" t="s">
        <v>51</v>
      </c>
      <c r="I738" s="10" t="s">
        <v>71</v>
      </c>
      <c r="J738" s="10" t="s">
        <v>32</v>
      </c>
      <c r="K738" s="10" t="s">
        <v>24</v>
      </c>
      <c r="L738" s="10" t="s">
        <v>2750</v>
      </c>
    </row>
    <row r="739" spans="1:12" x14ac:dyDescent="0.35">
      <c r="A739" s="9">
        <v>738</v>
      </c>
      <c r="B739" s="19">
        <v>45995.208738425928</v>
      </c>
      <c r="C739" s="20">
        <v>45995</v>
      </c>
      <c r="D739" s="8" t="s">
        <v>394</v>
      </c>
      <c r="E739" s="12">
        <v>500</v>
      </c>
      <c r="F739" s="3">
        <v>0</v>
      </c>
      <c r="G739" s="3">
        <v>1299.17</v>
      </c>
      <c r="H739" s="8" t="s">
        <v>51</v>
      </c>
      <c r="I739" s="8" t="s">
        <v>52</v>
      </c>
      <c r="J739" s="8" t="s">
        <v>32</v>
      </c>
      <c r="K739" s="8" t="s">
        <v>24</v>
      </c>
      <c r="L739" s="8" t="s">
        <v>1895</v>
      </c>
    </row>
    <row r="740" spans="1:12" x14ac:dyDescent="0.35">
      <c r="A740" s="11">
        <v>739</v>
      </c>
      <c r="B740" s="17">
        <v>45996.085949074077</v>
      </c>
      <c r="C740" s="18">
        <v>45996</v>
      </c>
      <c r="D740" s="10" t="s">
        <v>2527</v>
      </c>
      <c r="E740" s="5">
        <v>0</v>
      </c>
      <c r="F740" s="15">
        <v>0.44</v>
      </c>
      <c r="G740" s="5">
        <v>1299.6099999999999</v>
      </c>
      <c r="H740" s="10" t="s">
        <v>51</v>
      </c>
      <c r="I740" s="10" t="s">
        <v>71</v>
      </c>
      <c r="J740" s="10" t="s">
        <v>32</v>
      </c>
      <c r="K740" s="10" t="s">
        <v>24</v>
      </c>
      <c r="L740" s="10" t="s">
        <v>2751</v>
      </c>
    </row>
    <row r="741" spans="1:12" x14ac:dyDescent="0.35">
      <c r="A741" s="9">
        <v>740</v>
      </c>
      <c r="B741" s="19">
        <v>45996.208715277768</v>
      </c>
      <c r="C741" s="20">
        <v>45996</v>
      </c>
      <c r="D741" s="8" t="s">
        <v>394</v>
      </c>
      <c r="E741" s="12">
        <v>500</v>
      </c>
      <c r="F741" s="3">
        <v>0</v>
      </c>
      <c r="G741" s="3">
        <v>799.61</v>
      </c>
      <c r="H741" s="8" t="s">
        <v>51</v>
      </c>
      <c r="I741" s="8" t="s">
        <v>52</v>
      </c>
      <c r="J741" s="8" t="s">
        <v>32</v>
      </c>
      <c r="K741" s="8" t="s">
        <v>24</v>
      </c>
      <c r="L741" s="8" t="s">
        <v>1896</v>
      </c>
    </row>
    <row r="742" spans="1:12" x14ac:dyDescent="0.35">
      <c r="A742" s="11">
        <v>741</v>
      </c>
      <c r="B742" s="17">
        <v>45997.103391203702</v>
      </c>
      <c r="C742" s="18">
        <v>45997</v>
      </c>
      <c r="D742" s="10" t="s">
        <v>2527</v>
      </c>
      <c r="E742" s="5">
        <v>0</v>
      </c>
      <c r="F742" s="15">
        <v>0.27</v>
      </c>
      <c r="G742" s="5">
        <v>799.88</v>
      </c>
      <c r="H742" s="10" t="s">
        <v>51</v>
      </c>
      <c r="I742" s="10" t="s">
        <v>71</v>
      </c>
      <c r="J742" s="10" t="s">
        <v>32</v>
      </c>
      <c r="K742" s="10" t="s">
        <v>24</v>
      </c>
      <c r="L742" s="10" t="s">
        <v>2752</v>
      </c>
    </row>
    <row r="743" spans="1:12" x14ac:dyDescent="0.35">
      <c r="A743" s="9">
        <v>742</v>
      </c>
      <c r="B743" s="19">
        <v>45997.208726851852</v>
      </c>
      <c r="C743" s="20">
        <v>45997</v>
      </c>
      <c r="D743" s="8" t="s">
        <v>394</v>
      </c>
      <c r="E743" s="12">
        <v>500</v>
      </c>
      <c r="F743" s="3">
        <v>0</v>
      </c>
      <c r="G743" s="3">
        <v>299.88</v>
      </c>
      <c r="H743" s="8" t="s">
        <v>51</v>
      </c>
      <c r="I743" s="8" t="s">
        <v>52</v>
      </c>
      <c r="J743" s="8" t="s">
        <v>32</v>
      </c>
      <c r="K743" s="8" t="s">
        <v>24</v>
      </c>
      <c r="L743" s="8" t="s">
        <v>1898</v>
      </c>
    </row>
    <row r="744" spans="1:12" x14ac:dyDescent="0.35">
      <c r="A744" s="11">
        <v>743</v>
      </c>
      <c r="B744" s="17">
        <v>45998.084374999999</v>
      </c>
      <c r="C744" s="18">
        <v>45998</v>
      </c>
      <c r="D744" s="10" t="s">
        <v>2527</v>
      </c>
      <c r="E744" s="5">
        <v>0</v>
      </c>
      <c r="F744" s="15">
        <v>0.09</v>
      </c>
      <c r="G744" s="5">
        <v>299.97000000000003</v>
      </c>
      <c r="H744" s="10" t="s">
        <v>51</v>
      </c>
      <c r="I744" s="10" t="s">
        <v>71</v>
      </c>
      <c r="J744" s="10" t="s">
        <v>32</v>
      </c>
      <c r="K744" s="10" t="s">
        <v>24</v>
      </c>
      <c r="L744" s="10" t="s">
        <v>2753</v>
      </c>
    </row>
    <row r="745" spans="1:12" x14ac:dyDescent="0.35">
      <c r="A745" s="9">
        <v>744</v>
      </c>
      <c r="B745" s="19">
        <v>45999.107858796298</v>
      </c>
      <c r="C745" s="20">
        <v>45999</v>
      </c>
      <c r="D745" s="8" t="s">
        <v>2527</v>
      </c>
      <c r="E745" s="3">
        <v>0</v>
      </c>
      <c r="F745" s="13">
        <v>0.09</v>
      </c>
      <c r="G745" s="3">
        <v>300.06</v>
      </c>
      <c r="H745" s="8" t="s">
        <v>51</v>
      </c>
      <c r="I745" s="8" t="s">
        <v>71</v>
      </c>
      <c r="J745" s="8" t="s">
        <v>32</v>
      </c>
      <c r="K745" s="8" t="s">
        <v>24</v>
      </c>
      <c r="L745" s="8" t="s">
        <v>2754</v>
      </c>
    </row>
    <row r="746" spans="1:12" x14ac:dyDescent="0.35">
      <c r="A746" s="11">
        <v>745</v>
      </c>
      <c r="B746" s="17">
        <v>46000.086122685178</v>
      </c>
      <c r="C746" s="18">
        <v>46000</v>
      </c>
      <c r="D746" s="10" t="s">
        <v>2527</v>
      </c>
      <c r="E746" s="5">
        <v>0</v>
      </c>
      <c r="F746" s="15">
        <v>0.09</v>
      </c>
      <c r="G746" s="5">
        <v>300.14999999999998</v>
      </c>
      <c r="H746" s="10" t="s">
        <v>51</v>
      </c>
      <c r="I746" s="10" t="s">
        <v>71</v>
      </c>
      <c r="J746" s="10" t="s">
        <v>32</v>
      </c>
      <c r="K746" s="10" t="s">
        <v>24</v>
      </c>
      <c r="L746" s="10" t="s">
        <v>2755</v>
      </c>
    </row>
    <row r="747" spans="1:12" x14ac:dyDescent="0.35">
      <c r="A747" s="9">
        <v>746</v>
      </c>
      <c r="B747" s="19">
        <v>46001.104328703703</v>
      </c>
      <c r="C747" s="20">
        <v>46001</v>
      </c>
      <c r="D747" s="8" t="s">
        <v>2527</v>
      </c>
      <c r="E747" s="3">
        <v>0</v>
      </c>
      <c r="F747" s="13">
        <v>0.09</v>
      </c>
      <c r="G747" s="3">
        <v>300.24</v>
      </c>
      <c r="H747" s="8" t="s">
        <v>51</v>
      </c>
      <c r="I747" s="8" t="s">
        <v>71</v>
      </c>
      <c r="J747" s="8" t="s">
        <v>32</v>
      </c>
      <c r="K747" s="8" t="s">
        <v>24</v>
      </c>
      <c r="L747" s="8" t="s">
        <v>2756</v>
      </c>
    </row>
    <row r="748" spans="1:12" x14ac:dyDescent="0.35">
      <c r="A748" s="11">
        <v>747</v>
      </c>
      <c r="B748" s="17">
        <v>46002.083680555559</v>
      </c>
      <c r="C748" s="18">
        <v>46002</v>
      </c>
      <c r="D748" s="10" t="s">
        <v>2527</v>
      </c>
      <c r="E748" s="5">
        <v>0</v>
      </c>
      <c r="F748" s="15">
        <v>0.09</v>
      </c>
      <c r="G748" s="5">
        <v>300.33</v>
      </c>
      <c r="H748" s="10" t="s">
        <v>51</v>
      </c>
      <c r="I748" s="10" t="s">
        <v>71</v>
      </c>
      <c r="J748" s="10" t="s">
        <v>32</v>
      </c>
      <c r="K748" s="10" t="s">
        <v>24</v>
      </c>
      <c r="L748" s="10" t="s">
        <v>2757</v>
      </c>
    </row>
    <row r="749" spans="1:12" x14ac:dyDescent="0.35">
      <c r="A749" s="9">
        <v>748</v>
      </c>
      <c r="B749" s="19">
        <v>46003.10796296296</v>
      </c>
      <c r="C749" s="20">
        <v>46003</v>
      </c>
      <c r="D749" s="8" t="s">
        <v>2527</v>
      </c>
      <c r="E749" s="3">
        <v>0</v>
      </c>
      <c r="F749" s="13">
        <v>0.09</v>
      </c>
      <c r="G749" s="3">
        <v>300.42</v>
      </c>
      <c r="H749" s="8" t="s">
        <v>51</v>
      </c>
      <c r="I749" s="8" t="s">
        <v>71</v>
      </c>
      <c r="J749" s="8" t="s">
        <v>32</v>
      </c>
      <c r="K749" s="8" t="s">
        <v>24</v>
      </c>
      <c r="L749" s="8" t="s">
        <v>2758</v>
      </c>
    </row>
    <row r="750" spans="1:12" x14ac:dyDescent="0.35">
      <c r="A750" s="11">
        <v>749</v>
      </c>
      <c r="B750" s="17">
        <v>46004.08185185185</v>
      </c>
      <c r="C750" s="18">
        <v>46004</v>
      </c>
      <c r="D750" s="10" t="s">
        <v>2527</v>
      </c>
      <c r="E750" s="5">
        <v>0</v>
      </c>
      <c r="F750" s="15">
        <v>0.09</v>
      </c>
      <c r="G750" s="5">
        <v>300.51</v>
      </c>
      <c r="H750" s="10" t="s">
        <v>51</v>
      </c>
      <c r="I750" s="10" t="s">
        <v>71</v>
      </c>
      <c r="J750" s="10" t="s">
        <v>32</v>
      </c>
      <c r="K750" s="10" t="s">
        <v>24</v>
      </c>
      <c r="L750" s="10" t="s">
        <v>2759</v>
      </c>
    </row>
    <row r="751" spans="1:12" x14ac:dyDescent="0.35">
      <c r="A751" s="9">
        <v>750</v>
      </c>
      <c r="B751" s="19">
        <v>46005.111921296288</v>
      </c>
      <c r="C751" s="20">
        <v>46005</v>
      </c>
      <c r="D751" s="8" t="s">
        <v>2527</v>
      </c>
      <c r="E751" s="3">
        <v>0</v>
      </c>
      <c r="F751" s="13">
        <v>0.09</v>
      </c>
      <c r="G751" s="3">
        <v>300.60000000000002</v>
      </c>
      <c r="H751" s="8" t="s">
        <v>51</v>
      </c>
      <c r="I751" s="8" t="s">
        <v>71</v>
      </c>
      <c r="J751" s="8" t="s">
        <v>32</v>
      </c>
      <c r="K751" s="8" t="s">
        <v>24</v>
      </c>
      <c r="L751" s="8" t="s">
        <v>2760</v>
      </c>
    </row>
    <row r="752" spans="1:12" x14ac:dyDescent="0.35">
      <c r="A752" s="11">
        <v>751</v>
      </c>
      <c r="B752" s="17">
        <v>46006.078877314823</v>
      </c>
      <c r="C752" s="18">
        <v>46006</v>
      </c>
      <c r="D752" s="10" t="s">
        <v>2527</v>
      </c>
      <c r="E752" s="5">
        <v>0</v>
      </c>
      <c r="F752" s="15">
        <v>0.09</v>
      </c>
      <c r="G752" s="5">
        <v>300.69</v>
      </c>
      <c r="H752" s="10" t="s">
        <v>51</v>
      </c>
      <c r="I752" s="10" t="s">
        <v>71</v>
      </c>
      <c r="J752" s="10" t="s">
        <v>32</v>
      </c>
      <c r="K752" s="10" t="s">
        <v>24</v>
      </c>
      <c r="L752" s="10" t="s">
        <v>2761</v>
      </c>
    </row>
    <row r="753" spans="1:12" x14ac:dyDescent="0.35">
      <c r="A753" s="9">
        <v>752</v>
      </c>
      <c r="B753" s="19">
        <v>46007.11886574074</v>
      </c>
      <c r="C753" s="20">
        <v>46007</v>
      </c>
      <c r="D753" s="8" t="s">
        <v>2527</v>
      </c>
      <c r="E753" s="3">
        <v>0</v>
      </c>
      <c r="F753" s="13">
        <v>0.09</v>
      </c>
      <c r="G753" s="3">
        <v>300.77999999999997</v>
      </c>
      <c r="H753" s="8" t="s">
        <v>51</v>
      </c>
      <c r="I753" s="8" t="s">
        <v>71</v>
      </c>
      <c r="J753" s="8" t="s">
        <v>32</v>
      </c>
      <c r="K753" s="8" t="s">
        <v>24</v>
      </c>
      <c r="L753" s="8" t="s">
        <v>2762</v>
      </c>
    </row>
    <row r="754" spans="1:12" x14ac:dyDescent="0.35">
      <c r="A754" s="11">
        <v>753</v>
      </c>
      <c r="B754" s="17">
        <v>46008.07707175926</v>
      </c>
      <c r="C754" s="18">
        <v>46008</v>
      </c>
      <c r="D754" s="10" t="s">
        <v>2527</v>
      </c>
      <c r="E754" s="5">
        <v>0</v>
      </c>
      <c r="F754" s="15">
        <v>0.09</v>
      </c>
      <c r="G754" s="5">
        <v>300.87</v>
      </c>
      <c r="H754" s="10" t="s">
        <v>51</v>
      </c>
      <c r="I754" s="10" t="s">
        <v>71</v>
      </c>
      <c r="J754" s="10" t="s">
        <v>32</v>
      </c>
      <c r="K754" s="10" t="s">
        <v>24</v>
      </c>
      <c r="L754" s="10" t="s">
        <v>2763</v>
      </c>
    </row>
    <row r="755" spans="1:12" x14ac:dyDescent="0.35">
      <c r="A755" s="9">
        <v>754</v>
      </c>
      <c r="B755" s="19">
        <v>46008.926087962973</v>
      </c>
      <c r="C755" s="20">
        <v>46008</v>
      </c>
      <c r="D755" s="8" t="s">
        <v>426</v>
      </c>
      <c r="E755" s="3">
        <v>0</v>
      </c>
      <c r="F755" s="13">
        <v>3600</v>
      </c>
      <c r="G755" s="3">
        <v>3900.87</v>
      </c>
      <c r="H755" s="8" t="s">
        <v>51</v>
      </c>
      <c r="I755" s="8" t="s">
        <v>71</v>
      </c>
      <c r="J755" s="8" t="s">
        <v>32</v>
      </c>
      <c r="K755" s="8" t="s">
        <v>24</v>
      </c>
      <c r="L755" s="8" t="s">
        <v>1911</v>
      </c>
    </row>
    <row r="756" spans="1:12" x14ac:dyDescent="0.35">
      <c r="A756" s="11">
        <v>755</v>
      </c>
      <c r="B756" s="17">
        <v>46009.123807870368</v>
      </c>
      <c r="C756" s="18">
        <v>46009</v>
      </c>
      <c r="D756" s="10" t="s">
        <v>2527</v>
      </c>
      <c r="E756" s="5">
        <v>0</v>
      </c>
      <c r="F756" s="15">
        <v>0.09</v>
      </c>
      <c r="G756" s="5">
        <v>3900.96</v>
      </c>
      <c r="H756" s="10" t="s">
        <v>51</v>
      </c>
      <c r="I756" s="10" t="s">
        <v>71</v>
      </c>
      <c r="J756" s="10" t="s">
        <v>32</v>
      </c>
      <c r="K756" s="10" t="s">
        <v>24</v>
      </c>
      <c r="L756" s="10" t="s">
        <v>2764</v>
      </c>
    </row>
    <row r="757" spans="1:12" x14ac:dyDescent="0.35">
      <c r="A757" s="9">
        <v>756</v>
      </c>
      <c r="B757" s="19">
        <v>46009.208368055559</v>
      </c>
      <c r="C757" s="20">
        <v>46009</v>
      </c>
      <c r="D757" s="8" t="s">
        <v>394</v>
      </c>
      <c r="E757" s="12">
        <v>500</v>
      </c>
      <c r="F757" s="3">
        <v>0</v>
      </c>
      <c r="G757" s="3">
        <v>3400.96</v>
      </c>
      <c r="H757" s="8" t="s">
        <v>51</v>
      </c>
      <c r="I757" s="8" t="s">
        <v>52</v>
      </c>
      <c r="J757" s="8" t="s">
        <v>32</v>
      </c>
      <c r="K757" s="8" t="s">
        <v>24</v>
      </c>
      <c r="L757" s="8" t="s">
        <v>1912</v>
      </c>
    </row>
    <row r="758" spans="1:12" x14ac:dyDescent="0.35">
      <c r="A758" s="11">
        <v>757</v>
      </c>
      <c r="B758" s="17">
        <v>46010.079201388893</v>
      </c>
      <c r="C758" s="18">
        <v>46010</v>
      </c>
      <c r="D758" s="10" t="s">
        <v>2527</v>
      </c>
      <c r="E758" s="5">
        <v>0</v>
      </c>
      <c r="F758" s="15">
        <v>1.17</v>
      </c>
      <c r="G758" s="5">
        <v>3402.13</v>
      </c>
      <c r="H758" s="10" t="s">
        <v>51</v>
      </c>
      <c r="I758" s="10" t="s">
        <v>71</v>
      </c>
      <c r="J758" s="10" t="s">
        <v>32</v>
      </c>
      <c r="K758" s="10" t="s">
        <v>24</v>
      </c>
      <c r="L758" s="10" t="s">
        <v>2765</v>
      </c>
    </row>
    <row r="759" spans="1:12" x14ac:dyDescent="0.35">
      <c r="A759" s="9">
        <v>758</v>
      </c>
      <c r="B759" s="19">
        <v>46010.208368055559</v>
      </c>
      <c r="C759" s="20">
        <v>46010</v>
      </c>
      <c r="D759" s="8" t="s">
        <v>394</v>
      </c>
      <c r="E759" s="12">
        <v>500</v>
      </c>
      <c r="F759" s="3">
        <v>0</v>
      </c>
      <c r="G759" s="3">
        <v>2902.13</v>
      </c>
      <c r="H759" s="8" t="s">
        <v>51</v>
      </c>
      <c r="I759" s="8" t="s">
        <v>52</v>
      </c>
      <c r="J759" s="8" t="s">
        <v>32</v>
      </c>
      <c r="K759" s="8" t="s">
        <v>24</v>
      </c>
      <c r="L759" s="8" t="s">
        <v>1914</v>
      </c>
    </row>
    <row r="760" spans="1:12" x14ac:dyDescent="0.35">
      <c r="A760" s="11">
        <v>759</v>
      </c>
      <c r="B760" s="17">
        <v>46010.580555555563</v>
      </c>
      <c r="C760" s="18">
        <v>46010</v>
      </c>
      <c r="D760" s="10" t="s">
        <v>394</v>
      </c>
      <c r="E760" s="14">
        <v>2660</v>
      </c>
      <c r="F760" s="5">
        <v>0</v>
      </c>
      <c r="G760" s="5">
        <v>242.13</v>
      </c>
      <c r="H760" s="10" t="s">
        <v>51</v>
      </c>
      <c r="I760" s="10" t="s">
        <v>52</v>
      </c>
      <c r="J760" s="10" t="s">
        <v>32</v>
      </c>
      <c r="K760" s="10" t="s">
        <v>24</v>
      </c>
      <c r="L760" s="10" t="s">
        <v>1922</v>
      </c>
    </row>
    <row r="761" spans="1:12" x14ac:dyDescent="0.35">
      <c r="A761" s="9">
        <v>760</v>
      </c>
      <c r="B761" s="19">
        <v>46010.926226851851</v>
      </c>
      <c r="C761" s="20">
        <v>46010</v>
      </c>
      <c r="D761" s="8" t="s">
        <v>426</v>
      </c>
      <c r="E761" s="3">
        <v>0</v>
      </c>
      <c r="F761" s="13">
        <v>66450</v>
      </c>
      <c r="G761" s="3">
        <v>66692.13</v>
      </c>
      <c r="H761" s="8" t="s">
        <v>51</v>
      </c>
      <c r="I761" s="8" t="s">
        <v>71</v>
      </c>
      <c r="J761" s="8" t="s">
        <v>32</v>
      </c>
      <c r="K761" s="8" t="s">
        <v>24</v>
      </c>
      <c r="L761" s="8" t="s">
        <v>1929</v>
      </c>
    </row>
    <row r="762" spans="1:12" x14ac:dyDescent="0.35">
      <c r="A762" s="11">
        <v>761</v>
      </c>
      <c r="B762" s="17">
        <v>46011.11755787037</v>
      </c>
      <c r="C762" s="18">
        <v>46011</v>
      </c>
      <c r="D762" s="10" t="s">
        <v>2527</v>
      </c>
      <c r="E762" s="5">
        <v>0</v>
      </c>
      <c r="F762" s="15">
        <v>0.09</v>
      </c>
      <c r="G762" s="5">
        <v>66692.22</v>
      </c>
      <c r="H762" s="10" t="s">
        <v>51</v>
      </c>
      <c r="I762" s="10" t="s">
        <v>71</v>
      </c>
      <c r="J762" s="10" t="s">
        <v>32</v>
      </c>
      <c r="K762" s="10" t="s">
        <v>24</v>
      </c>
      <c r="L762" s="10" t="s">
        <v>2766</v>
      </c>
    </row>
    <row r="763" spans="1:12" x14ac:dyDescent="0.35">
      <c r="A763" s="9">
        <v>762</v>
      </c>
      <c r="B763" s="19">
        <v>46011.208587962959</v>
      </c>
      <c r="C763" s="20">
        <v>46011</v>
      </c>
      <c r="D763" s="8" t="s">
        <v>394</v>
      </c>
      <c r="E763" s="12">
        <v>500</v>
      </c>
      <c r="F763" s="3">
        <v>0</v>
      </c>
      <c r="G763" s="3">
        <v>66192.22</v>
      </c>
      <c r="H763" s="8" t="s">
        <v>51</v>
      </c>
      <c r="I763" s="8" t="s">
        <v>52</v>
      </c>
      <c r="J763" s="8" t="s">
        <v>32</v>
      </c>
      <c r="K763" s="8" t="s">
        <v>24</v>
      </c>
      <c r="L763" s="8" t="s">
        <v>1930</v>
      </c>
    </row>
    <row r="764" spans="1:12" x14ac:dyDescent="0.35">
      <c r="A764" s="11">
        <v>763</v>
      </c>
      <c r="B764" s="17">
        <v>46011.646145833343</v>
      </c>
      <c r="C764" s="18">
        <v>46011</v>
      </c>
      <c r="D764" s="10" t="s">
        <v>394</v>
      </c>
      <c r="E764" s="14">
        <v>4700</v>
      </c>
      <c r="F764" s="5">
        <v>0</v>
      </c>
      <c r="G764" s="5">
        <v>61492.22</v>
      </c>
      <c r="H764" s="10" t="s">
        <v>51</v>
      </c>
      <c r="I764" s="10" t="s">
        <v>52</v>
      </c>
      <c r="J764" s="10" t="s">
        <v>32</v>
      </c>
      <c r="K764" s="10" t="s">
        <v>24</v>
      </c>
      <c r="L764" s="10" t="s">
        <v>1933</v>
      </c>
    </row>
    <row r="765" spans="1:12" x14ac:dyDescent="0.35">
      <c r="A765" s="9">
        <v>764</v>
      </c>
      <c r="B765" s="19">
        <v>46011.66170138889</v>
      </c>
      <c r="C765" s="20">
        <v>46011</v>
      </c>
      <c r="D765" s="8" t="s">
        <v>394</v>
      </c>
      <c r="E765" s="12">
        <v>2900</v>
      </c>
      <c r="F765" s="3">
        <v>0</v>
      </c>
      <c r="G765" s="3">
        <v>58592.22</v>
      </c>
      <c r="H765" s="8" t="s">
        <v>51</v>
      </c>
      <c r="I765" s="8" t="s">
        <v>52</v>
      </c>
      <c r="J765" s="8" t="s">
        <v>32</v>
      </c>
      <c r="K765" s="8" t="s">
        <v>24</v>
      </c>
      <c r="L765" s="8" t="s">
        <v>1936</v>
      </c>
    </row>
    <row r="766" spans="1:12" x14ac:dyDescent="0.35">
      <c r="A766" s="11">
        <v>765</v>
      </c>
      <c r="B766" s="17">
        <v>46011.699189814812</v>
      </c>
      <c r="C766" s="18">
        <v>46011</v>
      </c>
      <c r="D766" s="10" t="s">
        <v>394</v>
      </c>
      <c r="E766" s="14">
        <v>3100</v>
      </c>
      <c r="F766" s="5">
        <v>0</v>
      </c>
      <c r="G766" s="5">
        <v>55492.22</v>
      </c>
      <c r="H766" s="10" t="s">
        <v>51</v>
      </c>
      <c r="I766" s="10" t="s">
        <v>52</v>
      </c>
      <c r="J766" s="10" t="s">
        <v>32</v>
      </c>
      <c r="K766" s="10" t="s">
        <v>24</v>
      </c>
      <c r="L766" s="10" t="s">
        <v>1939</v>
      </c>
    </row>
    <row r="767" spans="1:12" x14ac:dyDescent="0.35">
      <c r="A767" s="9">
        <v>766</v>
      </c>
      <c r="B767" s="19">
        <v>46012.081759259258</v>
      </c>
      <c r="C767" s="20">
        <v>46012</v>
      </c>
      <c r="D767" s="8" t="s">
        <v>2527</v>
      </c>
      <c r="E767" s="3">
        <v>0</v>
      </c>
      <c r="F767" s="13">
        <v>19.12</v>
      </c>
      <c r="G767" s="3">
        <v>55511.34</v>
      </c>
      <c r="H767" s="8" t="s">
        <v>51</v>
      </c>
      <c r="I767" s="8" t="s">
        <v>71</v>
      </c>
      <c r="J767" s="8" t="s">
        <v>32</v>
      </c>
      <c r="K767" s="8" t="s">
        <v>24</v>
      </c>
      <c r="L767" s="8" t="s">
        <v>2767</v>
      </c>
    </row>
    <row r="768" spans="1:12" x14ac:dyDescent="0.35">
      <c r="A768" s="11">
        <v>767</v>
      </c>
      <c r="B768" s="17">
        <v>46012.208599537043</v>
      </c>
      <c r="C768" s="18">
        <v>46012</v>
      </c>
      <c r="D768" s="10" t="s">
        <v>394</v>
      </c>
      <c r="E768" s="14">
        <v>500</v>
      </c>
      <c r="F768" s="5">
        <v>0</v>
      </c>
      <c r="G768" s="5">
        <v>55011.34</v>
      </c>
      <c r="H768" s="10" t="s">
        <v>51</v>
      </c>
      <c r="I768" s="10" t="s">
        <v>52</v>
      </c>
      <c r="J768" s="10" t="s">
        <v>32</v>
      </c>
      <c r="K768" s="10" t="s">
        <v>24</v>
      </c>
      <c r="L768" s="10" t="s">
        <v>1940</v>
      </c>
    </row>
    <row r="769" spans="1:12" x14ac:dyDescent="0.35">
      <c r="A769" s="9">
        <v>768</v>
      </c>
      <c r="B769" s="19">
        <v>46012.340046296304</v>
      </c>
      <c r="C769" s="20">
        <v>46012</v>
      </c>
      <c r="D769" s="8" t="s">
        <v>394</v>
      </c>
      <c r="E769" s="12">
        <v>10900</v>
      </c>
      <c r="F769" s="3">
        <v>0</v>
      </c>
      <c r="G769" s="3">
        <v>44111.34</v>
      </c>
      <c r="H769" s="8" t="s">
        <v>51</v>
      </c>
      <c r="I769" s="8" t="s">
        <v>52</v>
      </c>
      <c r="J769" s="8" t="s">
        <v>32</v>
      </c>
      <c r="K769" s="8" t="s">
        <v>24</v>
      </c>
      <c r="L769" s="8" t="s">
        <v>1944</v>
      </c>
    </row>
    <row r="770" spans="1:12" x14ac:dyDescent="0.35">
      <c r="A770" s="11">
        <v>769</v>
      </c>
      <c r="B770" s="17">
        <v>46013.110891203702</v>
      </c>
      <c r="C770" s="18">
        <v>46013</v>
      </c>
      <c r="D770" s="10" t="s">
        <v>2527</v>
      </c>
      <c r="E770" s="5">
        <v>0</v>
      </c>
      <c r="F770" s="15">
        <v>15.2</v>
      </c>
      <c r="G770" s="5">
        <v>44126.54</v>
      </c>
      <c r="H770" s="10" t="s">
        <v>51</v>
      </c>
      <c r="I770" s="10" t="s">
        <v>71</v>
      </c>
      <c r="J770" s="10" t="s">
        <v>32</v>
      </c>
      <c r="K770" s="10" t="s">
        <v>24</v>
      </c>
      <c r="L770" s="10" t="s">
        <v>2768</v>
      </c>
    </row>
    <row r="771" spans="1:12" x14ac:dyDescent="0.35">
      <c r="A771" s="9">
        <v>770</v>
      </c>
      <c r="B771" s="19">
        <v>46013.208611111113</v>
      </c>
      <c r="C771" s="20">
        <v>46013</v>
      </c>
      <c r="D771" s="8" t="s">
        <v>394</v>
      </c>
      <c r="E771" s="12">
        <v>500</v>
      </c>
      <c r="F771" s="3">
        <v>0</v>
      </c>
      <c r="G771" s="3">
        <v>43626.54</v>
      </c>
      <c r="H771" s="8" t="s">
        <v>51</v>
      </c>
      <c r="I771" s="8" t="s">
        <v>52</v>
      </c>
      <c r="J771" s="8" t="s">
        <v>32</v>
      </c>
      <c r="K771" s="8" t="s">
        <v>24</v>
      </c>
      <c r="L771" s="8" t="s">
        <v>1945</v>
      </c>
    </row>
    <row r="772" spans="1:12" x14ac:dyDescent="0.35">
      <c r="A772" s="11">
        <v>771</v>
      </c>
      <c r="B772" s="17">
        <v>46013.582951388889</v>
      </c>
      <c r="C772" s="18">
        <v>46013</v>
      </c>
      <c r="D772" s="10" t="s">
        <v>394</v>
      </c>
      <c r="E772" s="14">
        <v>2280.5</v>
      </c>
      <c r="F772" s="5">
        <v>0</v>
      </c>
      <c r="G772" s="5">
        <v>41346.04</v>
      </c>
      <c r="H772" s="10" t="s">
        <v>51</v>
      </c>
      <c r="I772" s="10" t="s">
        <v>52</v>
      </c>
      <c r="J772" s="10" t="s">
        <v>32</v>
      </c>
      <c r="K772" s="10" t="s">
        <v>24</v>
      </c>
      <c r="L772" s="10" t="s">
        <v>1949</v>
      </c>
    </row>
    <row r="773" spans="1:12" x14ac:dyDescent="0.35">
      <c r="A773" s="9">
        <v>772</v>
      </c>
      <c r="B773" s="19">
        <v>46014.079872685194</v>
      </c>
      <c r="C773" s="20">
        <v>46014</v>
      </c>
      <c r="D773" s="8" t="s">
        <v>2527</v>
      </c>
      <c r="E773" s="3">
        <v>0</v>
      </c>
      <c r="F773" s="13">
        <v>14.24</v>
      </c>
      <c r="G773" s="3">
        <v>41360.28</v>
      </c>
      <c r="H773" s="8" t="s">
        <v>51</v>
      </c>
      <c r="I773" s="8" t="s">
        <v>71</v>
      </c>
      <c r="J773" s="8" t="s">
        <v>32</v>
      </c>
      <c r="K773" s="8" t="s">
        <v>24</v>
      </c>
      <c r="L773" s="8" t="s">
        <v>2769</v>
      </c>
    </row>
    <row r="774" spans="1:12" x14ac:dyDescent="0.35">
      <c r="A774" s="11">
        <v>773</v>
      </c>
      <c r="B774" s="17">
        <v>46014.208587962959</v>
      </c>
      <c r="C774" s="18">
        <v>46014</v>
      </c>
      <c r="D774" s="10" t="s">
        <v>394</v>
      </c>
      <c r="E774" s="14">
        <v>500</v>
      </c>
      <c r="F774" s="5">
        <v>0</v>
      </c>
      <c r="G774" s="5">
        <v>40860.28</v>
      </c>
      <c r="H774" s="10" t="s">
        <v>51</v>
      </c>
      <c r="I774" s="10" t="s">
        <v>52</v>
      </c>
      <c r="J774" s="10" t="s">
        <v>32</v>
      </c>
      <c r="K774" s="10" t="s">
        <v>24</v>
      </c>
      <c r="L774" s="10" t="s">
        <v>1950</v>
      </c>
    </row>
    <row r="775" spans="1:12" x14ac:dyDescent="0.35">
      <c r="A775" s="9">
        <v>774</v>
      </c>
      <c r="B775" s="19">
        <v>46014.709004629629</v>
      </c>
      <c r="C775" s="20">
        <v>46014</v>
      </c>
      <c r="D775" s="8" t="s">
        <v>394</v>
      </c>
      <c r="E775" s="12">
        <v>4950</v>
      </c>
      <c r="F775" s="3">
        <v>0</v>
      </c>
      <c r="G775" s="3">
        <v>35910.28</v>
      </c>
      <c r="H775" s="8" t="s">
        <v>51</v>
      </c>
      <c r="I775" s="8" t="s">
        <v>52</v>
      </c>
      <c r="J775" s="8" t="s">
        <v>32</v>
      </c>
      <c r="K775" s="8" t="s">
        <v>24</v>
      </c>
      <c r="L775" s="8" t="s">
        <v>1954</v>
      </c>
    </row>
    <row r="776" spans="1:12" x14ac:dyDescent="0.35">
      <c r="A776" s="11">
        <v>775</v>
      </c>
      <c r="B776" s="17">
        <v>46014.926712962973</v>
      </c>
      <c r="C776" s="18">
        <v>46014</v>
      </c>
      <c r="D776" s="10" t="s">
        <v>426</v>
      </c>
      <c r="E776" s="5">
        <v>0</v>
      </c>
      <c r="F776" s="15">
        <v>249950</v>
      </c>
      <c r="G776" s="5">
        <v>285860.28000000003</v>
      </c>
      <c r="H776" s="10" t="s">
        <v>51</v>
      </c>
      <c r="I776" s="10" t="s">
        <v>71</v>
      </c>
      <c r="J776" s="10" t="s">
        <v>32</v>
      </c>
      <c r="K776" s="10" t="s">
        <v>24</v>
      </c>
      <c r="L776" s="10" t="s">
        <v>1958</v>
      </c>
    </row>
    <row r="777" spans="1:12" x14ac:dyDescent="0.35">
      <c r="A777" s="9">
        <v>776</v>
      </c>
      <c r="B777" s="19">
        <v>46015.117060185177</v>
      </c>
      <c r="C777" s="20">
        <v>46015</v>
      </c>
      <c r="D777" s="8" t="s">
        <v>2527</v>
      </c>
      <c r="E777" s="3">
        <v>0</v>
      </c>
      <c r="F777" s="13">
        <v>12.37</v>
      </c>
      <c r="G777" s="3">
        <v>285872.65000000002</v>
      </c>
      <c r="H777" s="8" t="s">
        <v>51</v>
      </c>
      <c r="I777" s="8" t="s">
        <v>71</v>
      </c>
      <c r="J777" s="8" t="s">
        <v>32</v>
      </c>
      <c r="K777" s="8" t="s">
        <v>24</v>
      </c>
      <c r="L777" s="8" t="s">
        <v>2770</v>
      </c>
    </row>
    <row r="778" spans="1:12" x14ac:dyDescent="0.35">
      <c r="A778" s="11">
        <v>777</v>
      </c>
      <c r="B778" s="17">
        <v>46015.208611111113</v>
      </c>
      <c r="C778" s="18">
        <v>46015</v>
      </c>
      <c r="D778" s="10" t="s">
        <v>394</v>
      </c>
      <c r="E778" s="14">
        <v>500</v>
      </c>
      <c r="F778" s="5">
        <v>0</v>
      </c>
      <c r="G778" s="5">
        <v>285372.65000000002</v>
      </c>
      <c r="H778" s="10" t="s">
        <v>51</v>
      </c>
      <c r="I778" s="10" t="s">
        <v>52</v>
      </c>
      <c r="J778" s="10" t="s">
        <v>32</v>
      </c>
      <c r="K778" s="10" t="s">
        <v>24</v>
      </c>
      <c r="L778" s="10" t="s">
        <v>1960</v>
      </c>
    </row>
    <row r="779" spans="1:12" x14ac:dyDescent="0.35">
      <c r="A779" s="9">
        <v>778</v>
      </c>
      <c r="B779" s="19">
        <v>46016.084062499998</v>
      </c>
      <c r="C779" s="20">
        <v>46016</v>
      </c>
      <c r="D779" s="8" t="s">
        <v>2527</v>
      </c>
      <c r="E779" s="3">
        <v>0</v>
      </c>
      <c r="F779" s="13">
        <v>56.76</v>
      </c>
      <c r="G779" s="3">
        <v>285429.40999999997</v>
      </c>
      <c r="H779" s="8" t="s">
        <v>51</v>
      </c>
      <c r="I779" s="8" t="s">
        <v>71</v>
      </c>
      <c r="J779" s="8" t="s">
        <v>32</v>
      </c>
      <c r="K779" s="8" t="s">
        <v>24</v>
      </c>
      <c r="L779" s="8" t="s">
        <v>2771</v>
      </c>
    </row>
    <row r="780" spans="1:12" x14ac:dyDescent="0.35">
      <c r="A780" s="11">
        <v>779</v>
      </c>
      <c r="B780" s="17">
        <v>46016.209224537037</v>
      </c>
      <c r="C780" s="18">
        <v>46016</v>
      </c>
      <c r="D780" s="10" t="s">
        <v>394</v>
      </c>
      <c r="E780" s="14">
        <v>500</v>
      </c>
      <c r="F780" s="5">
        <v>0</v>
      </c>
      <c r="G780" s="5">
        <v>284929.40999999997</v>
      </c>
      <c r="H780" s="10" t="s">
        <v>51</v>
      </c>
      <c r="I780" s="10" t="s">
        <v>52</v>
      </c>
      <c r="J780" s="10" t="s">
        <v>32</v>
      </c>
      <c r="K780" s="10" t="s">
        <v>24</v>
      </c>
      <c r="L780" s="10" t="s">
        <v>1961</v>
      </c>
    </row>
    <row r="781" spans="1:12" x14ac:dyDescent="0.35">
      <c r="A781" s="9">
        <v>780</v>
      </c>
      <c r="B781" s="19">
        <v>46016.797500000001</v>
      </c>
      <c r="C781" s="20">
        <v>46016</v>
      </c>
      <c r="D781" s="8" t="s">
        <v>394</v>
      </c>
      <c r="E781" s="12">
        <v>1200</v>
      </c>
      <c r="F781" s="3">
        <v>0</v>
      </c>
      <c r="G781" s="3">
        <v>283729.40999999997</v>
      </c>
      <c r="H781" s="8" t="s">
        <v>51</v>
      </c>
      <c r="I781" s="8" t="s">
        <v>52</v>
      </c>
      <c r="J781" s="8" t="s">
        <v>32</v>
      </c>
      <c r="K781" s="8" t="s">
        <v>24</v>
      </c>
      <c r="L781" s="8" t="s">
        <v>1965</v>
      </c>
    </row>
    <row r="782" spans="1:12" x14ac:dyDescent="0.35">
      <c r="A782" s="11">
        <v>781</v>
      </c>
      <c r="B782" s="17">
        <v>46017.119722222233</v>
      </c>
      <c r="C782" s="18">
        <v>46017</v>
      </c>
      <c r="D782" s="10" t="s">
        <v>2527</v>
      </c>
      <c r="E782" s="5">
        <v>0</v>
      </c>
      <c r="F782" s="15">
        <v>56.56</v>
      </c>
      <c r="G782" s="5">
        <v>283785.96999999997</v>
      </c>
      <c r="H782" s="10" t="s">
        <v>51</v>
      </c>
      <c r="I782" s="10" t="s">
        <v>71</v>
      </c>
      <c r="J782" s="10" t="s">
        <v>32</v>
      </c>
      <c r="K782" s="10" t="s">
        <v>24</v>
      </c>
      <c r="L782" s="10" t="s">
        <v>2772</v>
      </c>
    </row>
    <row r="783" spans="1:12" x14ac:dyDescent="0.35">
      <c r="A783" s="9">
        <v>782</v>
      </c>
      <c r="B783" s="19">
        <v>46017.20921296296</v>
      </c>
      <c r="C783" s="20">
        <v>46017</v>
      </c>
      <c r="D783" s="8" t="s">
        <v>394</v>
      </c>
      <c r="E783" s="12">
        <v>500</v>
      </c>
      <c r="F783" s="3">
        <v>0</v>
      </c>
      <c r="G783" s="3">
        <v>283285.96999999997</v>
      </c>
      <c r="H783" s="8" t="s">
        <v>51</v>
      </c>
      <c r="I783" s="8" t="s">
        <v>52</v>
      </c>
      <c r="J783" s="8" t="s">
        <v>32</v>
      </c>
      <c r="K783" s="8" t="s">
        <v>24</v>
      </c>
      <c r="L783" s="8" t="s">
        <v>1966</v>
      </c>
    </row>
    <row r="784" spans="1:12" x14ac:dyDescent="0.35">
      <c r="A784" s="11">
        <v>783</v>
      </c>
      <c r="B784" s="17">
        <v>46017.383634259262</v>
      </c>
      <c r="C784" s="18">
        <v>46017</v>
      </c>
      <c r="D784" s="10" t="s">
        <v>394</v>
      </c>
      <c r="E784" s="14">
        <v>2100</v>
      </c>
      <c r="F784" s="5">
        <v>0</v>
      </c>
      <c r="G784" s="5">
        <v>281185.96999999997</v>
      </c>
      <c r="H784" s="10" t="s">
        <v>51</v>
      </c>
      <c r="I784" s="10" t="s">
        <v>52</v>
      </c>
      <c r="J784" s="10" t="s">
        <v>32</v>
      </c>
      <c r="K784" s="10" t="s">
        <v>24</v>
      </c>
      <c r="L784" s="10" t="s">
        <v>1970</v>
      </c>
    </row>
    <row r="785" spans="1:12" x14ac:dyDescent="0.35">
      <c r="A785" s="9">
        <v>784</v>
      </c>
      <c r="B785" s="19">
        <v>46017.394363425927</v>
      </c>
      <c r="C785" s="20">
        <v>46017</v>
      </c>
      <c r="D785" s="8" t="s">
        <v>394</v>
      </c>
      <c r="E785" s="12">
        <v>11000</v>
      </c>
      <c r="F785" s="3">
        <v>0</v>
      </c>
      <c r="G785" s="3">
        <v>270185.96999999997</v>
      </c>
      <c r="H785" s="8" t="s">
        <v>51</v>
      </c>
      <c r="I785" s="8" t="s">
        <v>52</v>
      </c>
      <c r="J785" s="8" t="s">
        <v>32</v>
      </c>
      <c r="K785" s="8" t="s">
        <v>24</v>
      </c>
      <c r="L785" s="8" t="s">
        <v>1973</v>
      </c>
    </row>
    <row r="786" spans="1:12" x14ac:dyDescent="0.35">
      <c r="A786" s="11">
        <v>785</v>
      </c>
      <c r="B786" s="17">
        <v>46017.40284722222</v>
      </c>
      <c r="C786" s="18">
        <v>46017</v>
      </c>
      <c r="D786" s="10" t="s">
        <v>394</v>
      </c>
      <c r="E786" s="14">
        <v>6500</v>
      </c>
      <c r="F786" s="5">
        <v>0</v>
      </c>
      <c r="G786" s="5">
        <v>263685.96999999997</v>
      </c>
      <c r="H786" s="10" t="s">
        <v>51</v>
      </c>
      <c r="I786" s="10" t="s">
        <v>52</v>
      </c>
      <c r="J786" s="10" t="s">
        <v>32</v>
      </c>
      <c r="K786" s="10" t="s">
        <v>24</v>
      </c>
      <c r="L786" s="10" t="s">
        <v>1976</v>
      </c>
    </row>
    <row r="787" spans="1:12" x14ac:dyDescent="0.35">
      <c r="A787" s="9">
        <v>786</v>
      </c>
      <c r="B787" s="19">
        <v>46017.785821759258</v>
      </c>
      <c r="C787" s="20">
        <v>46017</v>
      </c>
      <c r="D787" s="8" t="s">
        <v>394</v>
      </c>
      <c r="E787" s="12">
        <v>1610</v>
      </c>
      <c r="F787" s="3">
        <v>0</v>
      </c>
      <c r="G787" s="3">
        <v>262075.97</v>
      </c>
      <c r="H787" s="8" t="s">
        <v>51</v>
      </c>
      <c r="I787" s="8" t="s">
        <v>52</v>
      </c>
      <c r="J787" s="8" t="s">
        <v>32</v>
      </c>
      <c r="K787" s="8" t="s">
        <v>24</v>
      </c>
      <c r="L787" s="8" t="s">
        <v>1979</v>
      </c>
    </row>
    <row r="788" spans="1:12" x14ac:dyDescent="0.35">
      <c r="A788" s="11">
        <v>787</v>
      </c>
      <c r="B788" s="17">
        <v>46018.081689814811</v>
      </c>
      <c r="C788" s="18">
        <v>46018</v>
      </c>
      <c r="D788" s="10" t="s">
        <v>2527</v>
      </c>
      <c r="E788" s="5">
        <v>0</v>
      </c>
      <c r="F788" s="15">
        <v>53.95</v>
      </c>
      <c r="G788" s="5">
        <v>262129.92000000001</v>
      </c>
      <c r="H788" s="10" t="s">
        <v>51</v>
      </c>
      <c r="I788" s="10" t="s">
        <v>71</v>
      </c>
      <c r="J788" s="10" t="s">
        <v>32</v>
      </c>
      <c r="K788" s="10" t="s">
        <v>24</v>
      </c>
      <c r="L788" s="10" t="s">
        <v>2773</v>
      </c>
    </row>
    <row r="789" spans="1:12" x14ac:dyDescent="0.35">
      <c r="A789" s="9">
        <v>788</v>
      </c>
      <c r="B789" s="19">
        <v>46018.20921296296</v>
      </c>
      <c r="C789" s="20">
        <v>46018</v>
      </c>
      <c r="D789" s="8" t="s">
        <v>394</v>
      </c>
      <c r="E789" s="12">
        <v>500</v>
      </c>
      <c r="F789" s="3">
        <v>0</v>
      </c>
      <c r="G789" s="3">
        <v>261629.92</v>
      </c>
      <c r="H789" s="8" t="s">
        <v>51</v>
      </c>
      <c r="I789" s="8" t="s">
        <v>52</v>
      </c>
      <c r="J789" s="8" t="s">
        <v>32</v>
      </c>
      <c r="K789" s="8" t="s">
        <v>24</v>
      </c>
      <c r="L789" s="8" t="s">
        <v>1981</v>
      </c>
    </row>
    <row r="790" spans="1:12" x14ac:dyDescent="0.35">
      <c r="A790" s="11">
        <v>789</v>
      </c>
      <c r="B790" s="17">
        <v>46018.78837962963</v>
      </c>
      <c r="C790" s="18">
        <v>46018</v>
      </c>
      <c r="D790" s="10" t="s">
        <v>394</v>
      </c>
      <c r="E790" s="14">
        <v>1000</v>
      </c>
      <c r="F790" s="5">
        <v>0</v>
      </c>
      <c r="G790" s="5">
        <v>260629.92</v>
      </c>
      <c r="H790" s="10" t="s">
        <v>51</v>
      </c>
      <c r="I790" s="10" t="s">
        <v>52</v>
      </c>
      <c r="J790" s="10" t="s">
        <v>32</v>
      </c>
      <c r="K790" s="10" t="s">
        <v>24</v>
      </c>
      <c r="L790" s="10" t="s">
        <v>1984</v>
      </c>
    </row>
    <row r="791" spans="1:12" x14ac:dyDescent="0.35">
      <c r="A791" s="9">
        <v>790</v>
      </c>
      <c r="B791" s="19">
        <v>46018.797789351847</v>
      </c>
      <c r="C791" s="20">
        <v>46018</v>
      </c>
      <c r="D791" s="8" t="s">
        <v>394</v>
      </c>
      <c r="E791" s="12">
        <v>1500</v>
      </c>
      <c r="F791" s="3">
        <v>0</v>
      </c>
      <c r="G791" s="3">
        <v>259129.92</v>
      </c>
      <c r="H791" s="8" t="s">
        <v>51</v>
      </c>
      <c r="I791" s="8" t="s">
        <v>52</v>
      </c>
      <c r="J791" s="8" t="s">
        <v>32</v>
      </c>
      <c r="K791" s="8" t="s">
        <v>24</v>
      </c>
      <c r="L791" s="8" t="s">
        <v>1987</v>
      </c>
    </row>
    <row r="792" spans="1:12" x14ac:dyDescent="0.35">
      <c r="A792" s="11">
        <v>791</v>
      </c>
      <c r="B792" s="17">
        <v>46018.946087962962</v>
      </c>
      <c r="C792" s="18">
        <v>46018</v>
      </c>
      <c r="D792" s="10" t="s">
        <v>394</v>
      </c>
      <c r="E792" s="14">
        <v>2000</v>
      </c>
      <c r="F792" s="5">
        <v>0</v>
      </c>
      <c r="G792" s="5">
        <v>257129.92</v>
      </c>
      <c r="H792" s="10" t="s">
        <v>51</v>
      </c>
      <c r="I792" s="10" t="s">
        <v>52</v>
      </c>
      <c r="J792" s="10" t="s">
        <v>32</v>
      </c>
      <c r="K792" s="10" t="s">
        <v>24</v>
      </c>
      <c r="L792" s="10" t="s">
        <v>1989</v>
      </c>
    </row>
    <row r="793" spans="1:12" x14ac:dyDescent="0.35">
      <c r="A793" s="9">
        <v>792</v>
      </c>
      <c r="B793" s="19">
        <v>46019.128101851849</v>
      </c>
      <c r="C793" s="20">
        <v>46019</v>
      </c>
      <c r="D793" s="8" t="s">
        <v>2527</v>
      </c>
      <c r="E793" s="3">
        <v>0</v>
      </c>
      <c r="F793" s="13">
        <v>53.36</v>
      </c>
      <c r="G793" s="3">
        <v>257183.28</v>
      </c>
      <c r="H793" s="8" t="s">
        <v>51</v>
      </c>
      <c r="I793" s="8" t="s">
        <v>71</v>
      </c>
      <c r="J793" s="8" t="s">
        <v>32</v>
      </c>
      <c r="K793" s="8" t="s">
        <v>24</v>
      </c>
      <c r="L793" s="8" t="s">
        <v>2774</v>
      </c>
    </row>
    <row r="794" spans="1:12" x14ac:dyDescent="0.35">
      <c r="A794" s="11">
        <v>793</v>
      </c>
      <c r="B794" s="17">
        <v>46019.209201388891</v>
      </c>
      <c r="C794" s="18">
        <v>46019</v>
      </c>
      <c r="D794" s="10" t="s">
        <v>394</v>
      </c>
      <c r="E794" s="14">
        <v>500</v>
      </c>
      <c r="F794" s="5">
        <v>0</v>
      </c>
      <c r="G794" s="5">
        <v>256683.28</v>
      </c>
      <c r="H794" s="10" t="s">
        <v>51</v>
      </c>
      <c r="I794" s="10" t="s">
        <v>52</v>
      </c>
      <c r="J794" s="10" t="s">
        <v>32</v>
      </c>
      <c r="K794" s="10" t="s">
        <v>24</v>
      </c>
      <c r="L794" s="10" t="s">
        <v>1990</v>
      </c>
    </row>
    <row r="795" spans="1:12" x14ac:dyDescent="0.35">
      <c r="A795" s="9">
        <v>794</v>
      </c>
      <c r="B795" s="19">
        <v>46019.610277777778</v>
      </c>
      <c r="C795" s="20">
        <v>46019</v>
      </c>
      <c r="D795" s="8" t="s">
        <v>394</v>
      </c>
      <c r="E795" s="12">
        <v>126886.46</v>
      </c>
      <c r="F795" s="3">
        <v>0</v>
      </c>
      <c r="G795" s="3">
        <v>129796.82</v>
      </c>
      <c r="H795" s="8" t="s">
        <v>51</v>
      </c>
      <c r="I795" s="8" t="s">
        <v>52</v>
      </c>
      <c r="J795" s="8" t="s">
        <v>32</v>
      </c>
      <c r="K795" s="8" t="s">
        <v>24</v>
      </c>
      <c r="L795" s="8" t="s">
        <v>1994</v>
      </c>
    </row>
    <row r="796" spans="1:12" x14ac:dyDescent="0.35">
      <c r="A796" s="11">
        <v>795</v>
      </c>
      <c r="B796" s="17">
        <v>46019.735509259262</v>
      </c>
      <c r="C796" s="18">
        <v>46019</v>
      </c>
      <c r="D796" s="10" t="s">
        <v>394</v>
      </c>
      <c r="E796" s="14">
        <v>1500</v>
      </c>
      <c r="F796" s="5">
        <v>0</v>
      </c>
      <c r="G796" s="5">
        <v>128296.82</v>
      </c>
      <c r="H796" s="10" t="s">
        <v>51</v>
      </c>
      <c r="I796" s="10" t="s">
        <v>52</v>
      </c>
      <c r="J796" s="10" t="s">
        <v>32</v>
      </c>
      <c r="K796" s="10" t="s">
        <v>24</v>
      </c>
      <c r="L796" s="10" t="s">
        <v>1996</v>
      </c>
    </row>
    <row r="797" spans="1:12" x14ac:dyDescent="0.35">
      <c r="A797" s="9">
        <v>796</v>
      </c>
      <c r="B797" s="19">
        <v>46020.08353009259</v>
      </c>
      <c r="C797" s="20">
        <v>46020</v>
      </c>
      <c r="D797" s="8" t="s">
        <v>2527</v>
      </c>
      <c r="E797" s="3">
        <v>0</v>
      </c>
      <c r="F797" s="13">
        <v>37.86</v>
      </c>
      <c r="G797" s="3">
        <v>128334.68</v>
      </c>
      <c r="H797" s="8" t="s">
        <v>51</v>
      </c>
      <c r="I797" s="8" t="s">
        <v>71</v>
      </c>
      <c r="J797" s="8" t="s">
        <v>32</v>
      </c>
      <c r="K797" s="8" t="s">
        <v>24</v>
      </c>
      <c r="L797" s="8" t="s">
        <v>2775</v>
      </c>
    </row>
    <row r="798" spans="1:12" x14ac:dyDescent="0.35">
      <c r="A798" s="11">
        <v>797</v>
      </c>
      <c r="B798" s="17">
        <v>46020.209201388891</v>
      </c>
      <c r="C798" s="18">
        <v>46020</v>
      </c>
      <c r="D798" s="10" t="s">
        <v>394</v>
      </c>
      <c r="E798" s="14">
        <v>500</v>
      </c>
      <c r="F798" s="5">
        <v>0</v>
      </c>
      <c r="G798" s="5">
        <v>127834.68</v>
      </c>
      <c r="H798" s="10" t="s">
        <v>51</v>
      </c>
      <c r="I798" s="10" t="s">
        <v>52</v>
      </c>
      <c r="J798" s="10" t="s">
        <v>32</v>
      </c>
      <c r="K798" s="10" t="s">
        <v>24</v>
      </c>
      <c r="L798" s="10" t="s">
        <v>1997</v>
      </c>
    </row>
    <row r="799" spans="1:12" x14ac:dyDescent="0.35">
      <c r="A799" s="9">
        <v>798</v>
      </c>
      <c r="B799" s="19">
        <v>46020.438391203701</v>
      </c>
      <c r="C799" s="20">
        <v>46020</v>
      </c>
      <c r="D799" s="8" t="s">
        <v>394</v>
      </c>
      <c r="E799" s="12">
        <v>1300</v>
      </c>
      <c r="F799" s="3">
        <v>0</v>
      </c>
      <c r="G799" s="3">
        <v>126534.68</v>
      </c>
      <c r="H799" s="8" t="s">
        <v>51</v>
      </c>
      <c r="I799" s="8" t="s">
        <v>52</v>
      </c>
      <c r="J799" s="8" t="s">
        <v>32</v>
      </c>
      <c r="K799" s="8" t="s">
        <v>24</v>
      </c>
      <c r="L799" s="8" t="s">
        <v>2000</v>
      </c>
    </row>
    <row r="800" spans="1:12" x14ac:dyDescent="0.35">
      <c r="A800" s="11">
        <v>799</v>
      </c>
      <c r="B800" s="17">
        <v>46020.455682870372</v>
      </c>
      <c r="C800" s="18">
        <v>46020</v>
      </c>
      <c r="D800" s="10" t="s">
        <v>394</v>
      </c>
      <c r="E800" s="14">
        <v>31500</v>
      </c>
      <c r="F800" s="5">
        <v>0</v>
      </c>
      <c r="G800" s="5">
        <v>95034.68</v>
      </c>
      <c r="H800" s="10" t="s">
        <v>51</v>
      </c>
      <c r="I800" s="10" t="s">
        <v>52</v>
      </c>
      <c r="J800" s="10" t="s">
        <v>32</v>
      </c>
      <c r="K800" s="10" t="s">
        <v>24</v>
      </c>
      <c r="L800" s="10" t="s">
        <v>2003</v>
      </c>
    </row>
    <row r="801" spans="1:12" x14ac:dyDescent="0.35">
      <c r="A801" s="9">
        <v>800</v>
      </c>
      <c r="B801" s="19">
        <v>46020.826099537036</v>
      </c>
      <c r="C801" s="20">
        <v>46020</v>
      </c>
      <c r="D801" s="8" t="s">
        <v>394</v>
      </c>
      <c r="E801" s="12">
        <v>10</v>
      </c>
      <c r="F801" s="3">
        <v>0</v>
      </c>
      <c r="G801" s="3">
        <v>95024.68</v>
      </c>
      <c r="H801" s="8" t="s">
        <v>51</v>
      </c>
      <c r="I801" s="8" t="s">
        <v>52</v>
      </c>
      <c r="J801" s="8" t="s">
        <v>32</v>
      </c>
      <c r="K801" s="8" t="s">
        <v>24</v>
      </c>
      <c r="L801" s="8" t="s">
        <v>2004</v>
      </c>
    </row>
    <row r="802" spans="1:12" x14ac:dyDescent="0.35">
      <c r="A802" s="11">
        <v>801</v>
      </c>
      <c r="B802" s="17">
        <v>46020.826354166667</v>
      </c>
      <c r="C802" s="18">
        <v>46020</v>
      </c>
      <c r="D802" s="10" t="s">
        <v>394</v>
      </c>
      <c r="E802" s="14">
        <v>10</v>
      </c>
      <c r="F802" s="5">
        <v>0</v>
      </c>
      <c r="G802" s="5">
        <v>95014.68</v>
      </c>
      <c r="H802" s="10" t="s">
        <v>51</v>
      </c>
      <c r="I802" s="10" t="s">
        <v>52</v>
      </c>
      <c r="J802" s="10" t="s">
        <v>32</v>
      </c>
      <c r="K802" s="10" t="s">
        <v>24</v>
      </c>
      <c r="L802" s="10" t="s">
        <v>2006</v>
      </c>
    </row>
    <row r="803" spans="1:12" x14ac:dyDescent="0.35">
      <c r="A803" s="9">
        <v>802</v>
      </c>
      <c r="B803" s="19">
        <v>46020.975729166668</v>
      </c>
      <c r="C803" s="20">
        <v>46020</v>
      </c>
      <c r="D803" s="8" t="s">
        <v>394</v>
      </c>
      <c r="E803" s="12">
        <v>2000</v>
      </c>
      <c r="F803" s="3">
        <v>0</v>
      </c>
      <c r="G803" s="3">
        <v>93014.68</v>
      </c>
      <c r="H803" s="8" t="s">
        <v>51</v>
      </c>
      <c r="I803" s="8" t="s">
        <v>52</v>
      </c>
      <c r="J803" s="8" t="s">
        <v>32</v>
      </c>
      <c r="K803" s="8" t="s">
        <v>24</v>
      </c>
      <c r="L803" s="8" t="s">
        <v>2009</v>
      </c>
    </row>
    <row r="804" spans="1:12" x14ac:dyDescent="0.35">
      <c r="A804" s="11">
        <v>803</v>
      </c>
      <c r="B804" s="17">
        <v>46021.131539351853</v>
      </c>
      <c r="C804" s="18">
        <v>46021</v>
      </c>
      <c r="D804" s="10" t="s">
        <v>2527</v>
      </c>
      <c r="E804" s="5">
        <v>0</v>
      </c>
      <c r="F804" s="15">
        <v>32.049999999999997</v>
      </c>
      <c r="G804" s="5">
        <v>93046.73</v>
      </c>
      <c r="H804" s="10" t="s">
        <v>51</v>
      </c>
      <c r="I804" s="10" t="s">
        <v>71</v>
      </c>
      <c r="J804" s="10" t="s">
        <v>32</v>
      </c>
      <c r="K804" s="10" t="s">
        <v>24</v>
      </c>
      <c r="L804" s="10" t="s">
        <v>2776</v>
      </c>
    </row>
    <row r="805" spans="1:12" x14ac:dyDescent="0.35">
      <c r="A805" s="9">
        <v>804</v>
      </c>
      <c r="B805" s="19">
        <v>46021.209189814806</v>
      </c>
      <c r="C805" s="20">
        <v>46021</v>
      </c>
      <c r="D805" s="8" t="s">
        <v>394</v>
      </c>
      <c r="E805" s="12">
        <v>500</v>
      </c>
      <c r="F805" s="3">
        <v>0</v>
      </c>
      <c r="G805" s="3">
        <v>92546.73</v>
      </c>
      <c r="H805" s="8" t="s">
        <v>51</v>
      </c>
      <c r="I805" s="8" t="s">
        <v>52</v>
      </c>
      <c r="J805" s="8" t="s">
        <v>32</v>
      </c>
      <c r="K805" s="8" t="s">
        <v>24</v>
      </c>
      <c r="L805" s="8" t="s">
        <v>2010</v>
      </c>
    </row>
    <row r="806" spans="1:12" x14ac:dyDescent="0.35">
      <c r="A806" s="11">
        <v>805</v>
      </c>
      <c r="B806" s="17">
        <v>46021.949664351851</v>
      </c>
      <c r="C806" s="18">
        <v>46021</v>
      </c>
      <c r="D806" s="10" t="s">
        <v>394</v>
      </c>
      <c r="E806" s="14">
        <v>600</v>
      </c>
      <c r="F806" s="5">
        <v>0</v>
      </c>
      <c r="G806" s="5">
        <v>91946.73</v>
      </c>
      <c r="H806" s="10" t="s">
        <v>51</v>
      </c>
      <c r="I806" s="10" t="s">
        <v>52</v>
      </c>
      <c r="J806" s="10" t="s">
        <v>32</v>
      </c>
      <c r="K806" s="10" t="s">
        <v>24</v>
      </c>
      <c r="L806" s="10" t="s">
        <v>2013</v>
      </c>
    </row>
    <row r="807" spans="1:12" x14ac:dyDescent="0.35">
      <c r="A807" s="9">
        <v>806</v>
      </c>
      <c r="B807" s="19">
        <v>46022.082268518519</v>
      </c>
      <c r="C807" s="20">
        <v>46022</v>
      </c>
      <c r="D807" s="8" t="s">
        <v>2527</v>
      </c>
      <c r="E807" s="3">
        <v>0</v>
      </c>
      <c r="F807" s="13">
        <v>31.68</v>
      </c>
      <c r="G807" s="3">
        <v>91978.41</v>
      </c>
      <c r="H807" s="8" t="s">
        <v>51</v>
      </c>
      <c r="I807" s="8" t="s">
        <v>71</v>
      </c>
      <c r="J807" s="8" t="s">
        <v>32</v>
      </c>
      <c r="K807" s="8" t="s">
        <v>24</v>
      </c>
      <c r="L807" s="8" t="s">
        <v>2777</v>
      </c>
    </row>
    <row r="808" spans="1:12" x14ac:dyDescent="0.35">
      <c r="A808" s="11">
        <v>807</v>
      </c>
      <c r="B808" s="17">
        <v>46022.209131944437</v>
      </c>
      <c r="C808" s="18">
        <v>46022</v>
      </c>
      <c r="D808" s="10" t="s">
        <v>394</v>
      </c>
      <c r="E808" s="14">
        <v>500</v>
      </c>
      <c r="F808" s="5">
        <v>0</v>
      </c>
      <c r="G808" s="5">
        <v>91478.41</v>
      </c>
      <c r="H808" s="10" t="s">
        <v>51</v>
      </c>
      <c r="I808" s="10" t="s">
        <v>52</v>
      </c>
      <c r="J808" s="10" t="s">
        <v>32</v>
      </c>
      <c r="K808" s="10" t="s">
        <v>24</v>
      </c>
      <c r="L808" s="10" t="s">
        <v>2014</v>
      </c>
    </row>
    <row r="809" spans="1:12" x14ac:dyDescent="0.35">
      <c r="A809" s="9">
        <v>808</v>
      </c>
      <c r="B809" s="19">
        <v>46022.902673611112</v>
      </c>
      <c r="C809" s="20">
        <v>46022</v>
      </c>
      <c r="D809" s="8" t="s">
        <v>394</v>
      </c>
      <c r="E809" s="12">
        <v>10</v>
      </c>
      <c r="F809" s="3">
        <v>0</v>
      </c>
      <c r="G809" s="3">
        <v>91468.41</v>
      </c>
      <c r="H809" s="8" t="s">
        <v>51</v>
      </c>
      <c r="I809" s="8" t="s">
        <v>52</v>
      </c>
      <c r="J809" s="8" t="s">
        <v>32</v>
      </c>
      <c r="K809" s="8" t="s">
        <v>24</v>
      </c>
      <c r="L809" s="8" t="s">
        <v>2016</v>
      </c>
    </row>
    <row r="810" spans="1:12" x14ac:dyDescent="0.35">
      <c r="A810" s="11">
        <v>809</v>
      </c>
      <c r="B810" s="17">
        <v>46023.147905092592</v>
      </c>
      <c r="C810" s="18">
        <v>46023</v>
      </c>
      <c r="D810" s="10" t="s">
        <v>2527</v>
      </c>
      <c r="E810" s="5">
        <v>0</v>
      </c>
      <c r="F810" s="15">
        <v>31.52</v>
      </c>
      <c r="G810" s="5">
        <v>91499.93</v>
      </c>
      <c r="H810" s="10" t="s">
        <v>51</v>
      </c>
      <c r="I810" s="10" t="s">
        <v>71</v>
      </c>
      <c r="J810" s="10" t="s">
        <v>32</v>
      </c>
      <c r="K810" s="10" t="s">
        <v>25</v>
      </c>
      <c r="L810" s="10" t="s">
        <v>2778</v>
      </c>
    </row>
    <row r="811" spans="1:12" x14ac:dyDescent="0.35">
      <c r="A811" s="9">
        <v>810</v>
      </c>
      <c r="B811" s="19">
        <v>46023.209143518521</v>
      </c>
      <c r="C811" s="20">
        <v>46023</v>
      </c>
      <c r="D811" s="8" t="s">
        <v>394</v>
      </c>
      <c r="E811" s="12">
        <v>500</v>
      </c>
      <c r="F811" s="3">
        <v>0</v>
      </c>
      <c r="G811" s="3">
        <v>90999.93</v>
      </c>
      <c r="H811" s="8" t="s">
        <v>51</v>
      </c>
      <c r="I811" s="8" t="s">
        <v>52</v>
      </c>
      <c r="J811" s="8" t="s">
        <v>32</v>
      </c>
      <c r="K811" s="8" t="s">
        <v>25</v>
      </c>
      <c r="L811" s="8" t="s">
        <v>2019</v>
      </c>
    </row>
    <row r="812" spans="1:12" x14ac:dyDescent="0.35">
      <c r="A812" s="11">
        <v>811</v>
      </c>
      <c r="B812" s="17">
        <v>46023.612604166658</v>
      </c>
      <c r="C812" s="18">
        <v>46023</v>
      </c>
      <c r="D812" s="10" t="s">
        <v>394</v>
      </c>
      <c r="E812" s="14">
        <v>750</v>
      </c>
      <c r="F812" s="5">
        <v>0</v>
      </c>
      <c r="G812" s="5">
        <v>90249.93</v>
      </c>
      <c r="H812" s="10" t="s">
        <v>51</v>
      </c>
      <c r="I812" s="10" t="s">
        <v>52</v>
      </c>
      <c r="J812" s="10" t="s">
        <v>32</v>
      </c>
      <c r="K812" s="10" t="s">
        <v>25</v>
      </c>
      <c r="L812" s="10" t="s">
        <v>2021</v>
      </c>
    </row>
    <row r="813" spans="1:12" x14ac:dyDescent="0.35">
      <c r="A813" s="9">
        <v>812</v>
      </c>
      <c r="B813" s="19">
        <v>46023.817141203697</v>
      </c>
      <c r="C813" s="20">
        <v>46023</v>
      </c>
      <c r="D813" s="8" t="s">
        <v>394</v>
      </c>
      <c r="E813" s="12">
        <v>4000</v>
      </c>
      <c r="F813" s="3">
        <v>0</v>
      </c>
      <c r="G813" s="3">
        <v>86249.93</v>
      </c>
      <c r="H813" s="8" t="s">
        <v>51</v>
      </c>
      <c r="I813" s="8" t="s">
        <v>52</v>
      </c>
      <c r="J813" s="8" t="s">
        <v>32</v>
      </c>
      <c r="K813" s="8" t="s">
        <v>25</v>
      </c>
      <c r="L813" s="8" t="s">
        <v>2024</v>
      </c>
    </row>
    <row r="814" spans="1:12" x14ac:dyDescent="0.35">
      <c r="A814" s="11">
        <v>813</v>
      </c>
      <c r="B814" s="17">
        <v>46023.853252314817</v>
      </c>
      <c r="C814" s="18">
        <v>46023</v>
      </c>
      <c r="D814" s="10" t="s">
        <v>394</v>
      </c>
      <c r="E814" s="14">
        <v>2800</v>
      </c>
      <c r="F814" s="5">
        <v>0</v>
      </c>
      <c r="G814" s="5">
        <v>83449.929999999993</v>
      </c>
      <c r="H814" s="10" t="s">
        <v>51</v>
      </c>
      <c r="I814" s="10" t="s">
        <v>52</v>
      </c>
      <c r="J814" s="10" t="s">
        <v>32</v>
      </c>
      <c r="K814" s="10" t="s">
        <v>25</v>
      </c>
      <c r="L814" s="10" t="s">
        <v>2027</v>
      </c>
    </row>
    <row r="815" spans="1:12" x14ac:dyDescent="0.35">
      <c r="A815" s="9">
        <v>814</v>
      </c>
      <c r="B815" s="19">
        <v>46023.907048611109</v>
      </c>
      <c r="C815" s="20">
        <v>46023</v>
      </c>
      <c r="D815" s="8" t="s">
        <v>394</v>
      </c>
      <c r="E815" s="12">
        <v>10000</v>
      </c>
      <c r="F815" s="3">
        <v>0</v>
      </c>
      <c r="G815" s="3">
        <v>73449.929999999993</v>
      </c>
      <c r="H815" s="8" t="s">
        <v>51</v>
      </c>
      <c r="I815" s="8" t="s">
        <v>52</v>
      </c>
      <c r="J815" s="8" t="s">
        <v>32</v>
      </c>
      <c r="K815" s="8" t="s">
        <v>25</v>
      </c>
      <c r="L815" s="8" t="s">
        <v>2030</v>
      </c>
    </row>
    <row r="816" spans="1:12" x14ac:dyDescent="0.35">
      <c r="A816" s="11">
        <v>815</v>
      </c>
      <c r="B816" s="17">
        <v>46024.083171296297</v>
      </c>
      <c r="C816" s="18">
        <v>46024</v>
      </c>
      <c r="D816" s="10" t="s">
        <v>2527</v>
      </c>
      <c r="E816" s="5">
        <v>0</v>
      </c>
      <c r="F816" s="15">
        <v>25.3</v>
      </c>
      <c r="G816" s="5">
        <v>73475.23</v>
      </c>
      <c r="H816" s="10" t="s">
        <v>51</v>
      </c>
      <c r="I816" s="10" t="s">
        <v>71</v>
      </c>
      <c r="J816" s="10" t="s">
        <v>32</v>
      </c>
      <c r="K816" s="10" t="s">
        <v>25</v>
      </c>
      <c r="L816" s="10" t="s">
        <v>2779</v>
      </c>
    </row>
    <row r="817" spans="1:12" x14ac:dyDescent="0.35">
      <c r="A817" s="9">
        <v>816</v>
      </c>
      <c r="B817" s="19">
        <v>46024.234039351853</v>
      </c>
      <c r="C817" s="20">
        <v>46024</v>
      </c>
      <c r="D817" s="8" t="s">
        <v>2525</v>
      </c>
      <c r="E817" s="3">
        <v>0</v>
      </c>
      <c r="F817" s="13">
        <v>534000</v>
      </c>
      <c r="G817" s="3">
        <v>607475.23</v>
      </c>
      <c r="H817" s="8" t="s">
        <v>51</v>
      </c>
      <c r="I817" s="8" t="s">
        <v>71</v>
      </c>
      <c r="J817" s="8" t="s">
        <v>32</v>
      </c>
      <c r="K817" s="8" t="s">
        <v>25</v>
      </c>
      <c r="L817" s="8" t="s">
        <v>2780</v>
      </c>
    </row>
    <row r="818" spans="1:12" x14ac:dyDescent="0.35">
      <c r="A818" s="11">
        <v>817</v>
      </c>
      <c r="B818" s="17">
        <v>46024.296967592592</v>
      </c>
      <c r="C818" s="18">
        <v>46024</v>
      </c>
      <c r="D818" s="10" t="s">
        <v>394</v>
      </c>
      <c r="E818" s="14">
        <v>150000</v>
      </c>
      <c r="F818" s="5">
        <v>0</v>
      </c>
      <c r="G818" s="5">
        <v>457475.23</v>
      </c>
      <c r="H818" s="10" t="s">
        <v>51</v>
      </c>
      <c r="I818" s="10" t="s">
        <v>52</v>
      </c>
      <c r="J818" s="10" t="s">
        <v>32</v>
      </c>
      <c r="K818" s="10" t="s">
        <v>25</v>
      </c>
      <c r="L818" s="10" t="s">
        <v>2033</v>
      </c>
    </row>
    <row r="819" spans="1:12" x14ac:dyDescent="0.35">
      <c r="A819" s="9">
        <v>818</v>
      </c>
      <c r="B819" s="19">
        <v>46024.617881944447</v>
      </c>
      <c r="C819" s="20">
        <v>46024</v>
      </c>
      <c r="D819" s="8" t="s">
        <v>394</v>
      </c>
      <c r="E819" s="12">
        <v>10</v>
      </c>
      <c r="F819" s="3">
        <v>0</v>
      </c>
      <c r="G819" s="3">
        <v>457465.23</v>
      </c>
      <c r="H819" s="8" t="s">
        <v>51</v>
      </c>
      <c r="I819" s="8" t="s">
        <v>52</v>
      </c>
      <c r="J819" s="8" t="s">
        <v>32</v>
      </c>
      <c r="K819" s="8" t="s">
        <v>25</v>
      </c>
      <c r="L819" s="8" t="s">
        <v>2034</v>
      </c>
    </row>
    <row r="820" spans="1:12" x14ac:dyDescent="0.35">
      <c r="A820" s="11">
        <v>819</v>
      </c>
      <c r="B820" s="17">
        <v>46024.618217592593</v>
      </c>
      <c r="C820" s="18">
        <v>46024</v>
      </c>
      <c r="D820" s="10" t="s">
        <v>394</v>
      </c>
      <c r="E820" s="14">
        <v>900</v>
      </c>
      <c r="F820" s="5">
        <v>0</v>
      </c>
      <c r="G820" s="5">
        <v>456565.23</v>
      </c>
      <c r="H820" s="10" t="s">
        <v>51</v>
      </c>
      <c r="I820" s="10" t="s">
        <v>52</v>
      </c>
      <c r="J820" s="10" t="s">
        <v>32</v>
      </c>
      <c r="K820" s="10" t="s">
        <v>25</v>
      </c>
      <c r="L820" s="10" t="s">
        <v>2037</v>
      </c>
    </row>
    <row r="821" spans="1:12" x14ac:dyDescent="0.35">
      <c r="A821" s="9">
        <v>820</v>
      </c>
      <c r="B821" s="19">
        <v>46024.765555555547</v>
      </c>
      <c r="C821" s="20">
        <v>46024</v>
      </c>
      <c r="D821" s="8" t="s">
        <v>394</v>
      </c>
      <c r="E821" s="12">
        <v>10</v>
      </c>
      <c r="F821" s="3">
        <v>0</v>
      </c>
      <c r="G821" s="3">
        <v>456555.23</v>
      </c>
      <c r="H821" s="8" t="s">
        <v>51</v>
      </c>
      <c r="I821" s="8" t="s">
        <v>52</v>
      </c>
      <c r="J821" s="8" t="s">
        <v>32</v>
      </c>
      <c r="K821" s="8" t="s">
        <v>25</v>
      </c>
      <c r="L821" s="8" t="s">
        <v>2039</v>
      </c>
    </row>
    <row r="822" spans="1:12" x14ac:dyDescent="0.35">
      <c r="A822" s="11">
        <v>821</v>
      </c>
      <c r="B822" s="17">
        <v>46024.768553240741</v>
      </c>
      <c r="C822" s="18">
        <v>46024</v>
      </c>
      <c r="D822" s="10" t="s">
        <v>394</v>
      </c>
      <c r="E822" s="14">
        <v>14000</v>
      </c>
      <c r="F822" s="5">
        <v>0</v>
      </c>
      <c r="G822" s="5">
        <v>442555.23</v>
      </c>
      <c r="H822" s="10" t="s">
        <v>51</v>
      </c>
      <c r="I822" s="10" t="s">
        <v>52</v>
      </c>
      <c r="J822" s="10" t="s">
        <v>32</v>
      </c>
      <c r="K822" s="10" t="s">
        <v>25</v>
      </c>
      <c r="L822" s="10" t="s">
        <v>2042</v>
      </c>
    </row>
    <row r="823" spans="1:12" x14ac:dyDescent="0.35">
      <c r="A823" s="9">
        <v>822</v>
      </c>
      <c r="B823" s="19">
        <v>46024.92796296296</v>
      </c>
      <c r="C823" s="20">
        <v>46024</v>
      </c>
      <c r="D823" s="8" t="s">
        <v>394</v>
      </c>
      <c r="E823" s="12">
        <v>1447</v>
      </c>
      <c r="F823" s="3">
        <v>0</v>
      </c>
      <c r="G823" s="3">
        <v>441108.23</v>
      </c>
      <c r="H823" s="8" t="s">
        <v>51</v>
      </c>
      <c r="I823" s="8" t="s">
        <v>52</v>
      </c>
      <c r="J823" s="8" t="s">
        <v>32</v>
      </c>
      <c r="K823" s="8" t="s">
        <v>25</v>
      </c>
      <c r="L823" s="8" t="s">
        <v>2045</v>
      </c>
    </row>
    <row r="824" spans="1:12" x14ac:dyDescent="0.35">
      <c r="A824" s="11">
        <v>823</v>
      </c>
      <c r="B824" s="17">
        <v>46025.137291666673</v>
      </c>
      <c r="C824" s="18">
        <v>46025</v>
      </c>
      <c r="D824" s="10" t="s">
        <v>2527</v>
      </c>
      <c r="E824" s="5">
        <v>0</v>
      </c>
      <c r="F824" s="15">
        <v>25.3</v>
      </c>
      <c r="G824" s="5">
        <v>441133.53</v>
      </c>
      <c r="H824" s="10" t="s">
        <v>51</v>
      </c>
      <c r="I824" s="10" t="s">
        <v>71</v>
      </c>
      <c r="J824" s="10" t="s">
        <v>32</v>
      </c>
      <c r="K824" s="10" t="s">
        <v>25</v>
      </c>
      <c r="L824" s="10" t="s">
        <v>2781</v>
      </c>
    </row>
    <row r="825" spans="1:12" x14ac:dyDescent="0.35">
      <c r="A825" s="9">
        <v>824</v>
      </c>
      <c r="B825" s="19">
        <v>46025.439722222232</v>
      </c>
      <c r="C825" s="20">
        <v>46025</v>
      </c>
      <c r="D825" s="8" t="s">
        <v>394</v>
      </c>
      <c r="E825" s="12">
        <v>870</v>
      </c>
      <c r="F825" s="3">
        <v>0</v>
      </c>
      <c r="G825" s="3">
        <v>440263.53</v>
      </c>
      <c r="H825" s="8" t="s">
        <v>51</v>
      </c>
      <c r="I825" s="8" t="s">
        <v>52</v>
      </c>
      <c r="J825" s="8" t="s">
        <v>32</v>
      </c>
      <c r="K825" s="8" t="s">
        <v>25</v>
      </c>
      <c r="L825" s="8" t="s">
        <v>2047</v>
      </c>
    </row>
    <row r="826" spans="1:12" x14ac:dyDescent="0.35">
      <c r="A826" s="11">
        <v>825</v>
      </c>
      <c r="B826" s="17">
        <v>46025.806932870371</v>
      </c>
      <c r="C826" s="18">
        <v>46025</v>
      </c>
      <c r="D826" s="10" t="s">
        <v>394</v>
      </c>
      <c r="E826" s="14">
        <v>3400</v>
      </c>
      <c r="F826" s="5">
        <v>0</v>
      </c>
      <c r="G826" s="5">
        <v>436863.53</v>
      </c>
      <c r="H826" s="10" t="s">
        <v>51</v>
      </c>
      <c r="I826" s="10" t="s">
        <v>52</v>
      </c>
      <c r="J826" s="10" t="s">
        <v>32</v>
      </c>
      <c r="K826" s="10" t="s">
        <v>25</v>
      </c>
      <c r="L826" s="10" t="s">
        <v>2050</v>
      </c>
    </row>
    <row r="827" spans="1:12" x14ac:dyDescent="0.35">
      <c r="A827" s="9">
        <v>826</v>
      </c>
      <c r="B827" s="19">
        <v>46026.080879629633</v>
      </c>
      <c r="C827" s="20">
        <v>46026</v>
      </c>
      <c r="D827" s="8" t="s">
        <v>2527</v>
      </c>
      <c r="E827" s="3">
        <v>0</v>
      </c>
      <c r="F827" s="13">
        <v>74.98</v>
      </c>
      <c r="G827" s="3">
        <v>436938.51</v>
      </c>
      <c r="H827" s="8" t="s">
        <v>51</v>
      </c>
      <c r="I827" s="8" t="s">
        <v>71</v>
      </c>
      <c r="J827" s="8" t="s">
        <v>32</v>
      </c>
      <c r="K827" s="8" t="s">
        <v>25</v>
      </c>
      <c r="L827" s="8" t="s">
        <v>2782</v>
      </c>
    </row>
    <row r="828" spans="1:12" x14ac:dyDescent="0.35">
      <c r="A828" s="11">
        <v>827</v>
      </c>
      <c r="B828" s="17">
        <v>46027.134652777779</v>
      </c>
      <c r="C828" s="18">
        <v>46027</v>
      </c>
      <c r="D828" s="10" t="s">
        <v>2527</v>
      </c>
      <c r="E828" s="5">
        <v>0</v>
      </c>
      <c r="F828" s="15">
        <v>74.98</v>
      </c>
      <c r="G828" s="5">
        <v>437013.49</v>
      </c>
      <c r="H828" s="10" t="s">
        <v>51</v>
      </c>
      <c r="I828" s="10" t="s">
        <v>71</v>
      </c>
      <c r="J828" s="10" t="s">
        <v>32</v>
      </c>
      <c r="K828" s="10" t="s">
        <v>25</v>
      </c>
      <c r="L828" s="10" t="s">
        <v>2783</v>
      </c>
    </row>
    <row r="829" spans="1:12" x14ac:dyDescent="0.35">
      <c r="A829" s="9">
        <v>828</v>
      </c>
      <c r="B829" s="19">
        <v>46027.30159722222</v>
      </c>
      <c r="C829" s="20">
        <v>46027</v>
      </c>
      <c r="D829" s="8" t="s">
        <v>394</v>
      </c>
      <c r="E829" s="12">
        <v>5000</v>
      </c>
      <c r="F829" s="3">
        <v>0</v>
      </c>
      <c r="G829" s="3">
        <v>432013.49</v>
      </c>
      <c r="H829" s="8" t="s">
        <v>51</v>
      </c>
      <c r="I829" s="8" t="s">
        <v>52</v>
      </c>
      <c r="J829" s="8" t="s">
        <v>32</v>
      </c>
      <c r="K829" s="8" t="s">
        <v>25</v>
      </c>
      <c r="L829" s="8" t="s">
        <v>2052</v>
      </c>
    </row>
    <row r="830" spans="1:12" x14ac:dyDescent="0.35">
      <c r="A830" s="11">
        <v>829</v>
      </c>
      <c r="B830" s="17">
        <v>46027.526006944441</v>
      </c>
      <c r="C830" s="18">
        <v>46027</v>
      </c>
      <c r="D830" s="10" t="s">
        <v>394</v>
      </c>
      <c r="E830" s="14">
        <v>10</v>
      </c>
      <c r="F830" s="5">
        <v>0</v>
      </c>
      <c r="G830" s="5">
        <v>432003.49</v>
      </c>
      <c r="H830" s="10" t="s">
        <v>51</v>
      </c>
      <c r="I830" s="10" t="s">
        <v>52</v>
      </c>
      <c r="J830" s="10" t="s">
        <v>32</v>
      </c>
      <c r="K830" s="10" t="s">
        <v>25</v>
      </c>
      <c r="L830" s="10" t="s">
        <v>2053</v>
      </c>
    </row>
    <row r="831" spans="1:12" x14ac:dyDescent="0.35">
      <c r="A831" s="9">
        <v>830</v>
      </c>
      <c r="B831" s="19">
        <v>46027.526099537034</v>
      </c>
      <c r="C831" s="20">
        <v>46027</v>
      </c>
      <c r="D831" s="8" t="s">
        <v>394</v>
      </c>
      <c r="E831" s="12">
        <v>10</v>
      </c>
      <c r="F831" s="3">
        <v>0</v>
      </c>
      <c r="G831" s="3">
        <v>431993.49</v>
      </c>
      <c r="H831" s="8" t="s">
        <v>51</v>
      </c>
      <c r="I831" s="8" t="s">
        <v>52</v>
      </c>
      <c r="J831" s="8" t="s">
        <v>32</v>
      </c>
      <c r="K831" s="8" t="s">
        <v>25</v>
      </c>
      <c r="L831" s="8" t="s">
        <v>2056</v>
      </c>
    </row>
    <row r="832" spans="1:12" x14ac:dyDescent="0.35">
      <c r="A832" s="11">
        <v>831</v>
      </c>
      <c r="B832" s="17">
        <v>46027.526516203703</v>
      </c>
      <c r="C832" s="18">
        <v>46027</v>
      </c>
      <c r="D832" s="10" t="s">
        <v>394</v>
      </c>
      <c r="E832" s="14">
        <v>8000</v>
      </c>
      <c r="F832" s="5">
        <v>0</v>
      </c>
      <c r="G832" s="5">
        <v>423993.49</v>
      </c>
      <c r="H832" s="10" t="s">
        <v>51</v>
      </c>
      <c r="I832" s="10" t="s">
        <v>52</v>
      </c>
      <c r="J832" s="10" t="s">
        <v>32</v>
      </c>
      <c r="K832" s="10" t="s">
        <v>25</v>
      </c>
      <c r="L832" s="10" t="s">
        <v>2059</v>
      </c>
    </row>
    <row r="833" spans="1:12" x14ac:dyDescent="0.35">
      <c r="A833" s="9">
        <v>832</v>
      </c>
      <c r="B833" s="19">
        <v>46027.565011574072</v>
      </c>
      <c r="C833" s="20">
        <v>46027</v>
      </c>
      <c r="D833" s="8" t="s">
        <v>394</v>
      </c>
      <c r="E833" s="12">
        <v>750</v>
      </c>
      <c r="F833" s="3">
        <v>0</v>
      </c>
      <c r="G833" s="3">
        <v>423243.49</v>
      </c>
      <c r="H833" s="8" t="s">
        <v>51</v>
      </c>
      <c r="I833" s="8" t="s">
        <v>52</v>
      </c>
      <c r="J833" s="8" t="s">
        <v>32</v>
      </c>
      <c r="K833" s="8" t="s">
        <v>25</v>
      </c>
      <c r="L833" s="8" t="s">
        <v>2061</v>
      </c>
    </row>
    <row r="834" spans="1:12" x14ac:dyDescent="0.35">
      <c r="A834" s="11">
        <v>833</v>
      </c>
      <c r="B834" s="17">
        <v>46027.624606481477</v>
      </c>
      <c r="C834" s="18">
        <v>46027</v>
      </c>
      <c r="D834" s="10" t="s">
        <v>394</v>
      </c>
      <c r="E834" s="14">
        <v>4300</v>
      </c>
      <c r="F834" s="5">
        <v>0</v>
      </c>
      <c r="G834" s="5">
        <v>418943.49</v>
      </c>
      <c r="H834" s="10" t="s">
        <v>51</v>
      </c>
      <c r="I834" s="10" t="s">
        <v>52</v>
      </c>
      <c r="J834" s="10" t="s">
        <v>32</v>
      </c>
      <c r="K834" s="10" t="s">
        <v>25</v>
      </c>
      <c r="L834" s="10" t="s">
        <v>2064</v>
      </c>
    </row>
    <row r="835" spans="1:12" x14ac:dyDescent="0.35">
      <c r="A835" s="9">
        <v>834</v>
      </c>
      <c r="B835" s="19">
        <v>46028.082094907397</v>
      </c>
      <c r="C835" s="20">
        <v>46028</v>
      </c>
      <c r="D835" s="8" t="s">
        <v>2527</v>
      </c>
      <c r="E835" s="3">
        <v>0</v>
      </c>
      <c r="F835" s="13">
        <v>72.819999999999993</v>
      </c>
      <c r="G835" s="3">
        <v>419016.31</v>
      </c>
      <c r="H835" s="8" t="s">
        <v>51</v>
      </c>
      <c r="I835" s="8" t="s">
        <v>71</v>
      </c>
      <c r="J835" s="8" t="s">
        <v>32</v>
      </c>
      <c r="K835" s="8" t="s">
        <v>25</v>
      </c>
      <c r="L835" s="8" t="s">
        <v>2784</v>
      </c>
    </row>
    <row r="836" spans="1:12" x14ac:dyDescent="0.35">
      <c r="A836" s="11">
        <v>835</v>
      </c>
      <c r="B836" s="17">
        <v>46028.466319444437</v>
      </c>
      <c r="C836" s="18">
        <v>46028</v>
      </c>
      <c r="D836" s="10" t="s">
        <v>394</v>
      </c>
      <c r="E836" s="14">
        <v>5000</v>
      </c>
      <c r="F836" s="5">
        <v>0</v>
      </c>
      <c r="G836" s="5">
        <v>414016.31</v>
      </c>
      <c r="H836" s="10" t="s">
        <v>51</v>
      </c>
      <c r="I836" s="10" t="s">
        <v>52</v>
      </c>
      <c r="J836" s="10" t="s">
        <v>32</v>
      </c>
      <c r="K836" s="10" t="s">
        <v>25</v>
      </c>
      <c r="L836" s="10" t="s">
        <v>2067</v>
      </c>
    </row>
    <row r="837" spans="1:12" x14ac:dyDescent="0.35">
      <c r="A837" s="9">
        <v>836</v>
      </c>
      <c r="B837" s="19">
        <v>46028.479108796288</v>
      </c>
      <c r="C837" s="20">
        <v>46028</v>
      </c>
      <c r="D837" s="8" t="s">
        <v>394</v>
      </c>
      <c r="E837" s="12">
        <v>1000</v>
      </c>
      <c r="F837" s="3">
        <v>0</v>
      </c>
      <c r="G837" s="3">
        <v>413016.31</v>
      </c>
      <c r="H837" s="8" t="s">
        <v>51</v>
      </c>
      <c r="I837" s="8" t="s">
        <v>52</v>
      </c>
      <c r="J837" s="8" t="s">
        <v>32</v>
      </c>
      <c r="K837" s="8" t="s">
        <v>25</v>
      </c>
      <c r="L837" s="8" t="s">
        <v>2069</v>
      </c>
    </row>
    <row r="838" spans="1:12" x14ac:dyDescent="0.35">
      <c r="A838" s="11">
        <v>837</v>
      </c>
      <c r="B838" s="17">
        <v>46028.577256944453</v>
      </c>
      <c r="C838" s="18">
        <v>46028</v>
      </c>
      <c r="D838" s="10" t="s">
        <v>394</v>
      </c>
      <c r="E838" s="14">
        <v>10</v>
      </c>
      <c r="F838" s="5">
        <v>0</v>
      </c>
      <c r="G838" s="5">
        <v>413006.31</v>
      </c>
      <c r="H838" s="10" t="s">
        <v>51</v>
      </c>
      <c r="I838" s="10" t="s">
        <v>52</v>
      </c>
      <c r="J838" s="10" t="s">
        <v>32</v>
      </c>
      <c r="K838" s="10" t="s">
        <v>25</v>
      </c>
      <c r="L838" s="10" t="s">
        <v>2071</v>
      </c>
    </row>
    <row r="839" spans="1:12" x14ac:dyDescent="0.35">
      <c r="A839" s="9">
        <v>838</v>
      </c>
      <c r="B839" s="19">
        <v>46028.577361111107</v>
      </c>
      <c r="C839" s="20">
        <v>46028</v>
      </c>
      <c r="D839" s="8" t="s">
        <v>394</v>
      </c>
      <c r="E839" s="12">
        <v>10</v>
      </c>
      <c r="F839" s="3">
        <v>0</v>
      </c>
      <c r="G839" s="3">
        <v>412996.31</v>
      </c>
      <c r="H839" s="8" t="s">
        <v>51</v>
      </c>
      <c r="I839" s="8" t="s">
        <v>52</v>
      </c>
      <c r="J839" s="8" t="s">
        <v>32</v>
      </c>
      <c r="K839" s="8" t="s">
        <v>25</v>
      </c>
      <c r="L839" s="8" t="s">
        <v>2072</v>
      </c>
    </row>
    <row r="840" spans="1:12" x14ac:dyDescent="0.35">
      <c r="A840" s="11">
        <v>839</v>
      </c>
      <c r="B840" s="17">
        <v>46028.577662037038</v>
      </c>
      <c r="C840" s="18">
        <v>46028</v>
      </c>
      <c r="D840" s="10" t="s">
        <v>394</v>
      </c>
      <c r="E840" s="14">
        <v>900</v>
      </c>
      <c r="F840" s="5">
        <v>0</v>
      </c>
      <c r="G840" s="5">
        <v>412096.31</v>
      </c>
      <c r="H840" s="10" t="s">
        <v>51</v>
      </c>
      <c r="I840" s="10" t="s">
        <v>52</v>
      </c>
      <c r="J840" s="10" t="s">
        <v>32</v>
      </c>
      <c r="K840" s="10" t="s">
        <v>25</v>
      </c>
      <c r="L840" s="10" t="s">
        <v>2075</v>
      </c>
    </row>
    <row r="841" spans="1:12" x14ac:dyDescent="0.35">
      <c r="A841" s="9">
        <v>840</v>
      </c>
      <c r="B841" s="19">
        <v>46028.614652777767</v>
      </c>
      <c r="C841" s="20">
        <v>46028</v>
      </c>
      <c r="D841" s="8" t="s">
        <v>394</v>
      </c>
      <c r="E841" s="12">
        <v>18938</v>
      </c>
      <c r="F841" s="3">
        <v>0</v>
      </c>
      <c r="G841" s="3">
        <v>393158.31</v>
      </c>
      <c r="H841" s="8" t="s">
        <v>51</v>
      </c>
      <c r="I841" s="8" t="s">
        <v>52</v>
      </c>
      <c r="J841" s="8" t="s">
        <v>32</v>
      </c>
      <c r="K841" s="8" t="s">
        <v>25</v>
      </c>
      <c r="L841" s="8" t="s">
        <v>2078</v>
      </c>
    </row>
    <row r="842" spans="1:12" x14ac:dyDescent="0.35">
      <c r="A842" s="11">
        <v>841</v>
      </c>
      <c r="B842" s="17">
        <v>46028.637372685182</v>
      </c>
      <c r="C842" s="18">
        <v>46028</v>
      </c>
      <c r="D842" s="10" t="s">
        <v>394</v>
      </c>
      <c r="E842" s="14">
        <v>6000</v>
      </c>
      <c r="F842" s="5">
        <v>0</v>
      </c>
      <c r="G842" s="5">
        <v>387158.31</v>
      </c>
      <c r="H842" s="10" t="s">
        <v>51</v>
      </c>
      <c r="I842" s="10" t="s">
        <v>52</v>
      </c>
      <c r="J842" s="10" t="s">
        <v>32</v>
      </c>
      <c r="K842" s="10" t="s">
        <v>25</v>
      </c>
      <c r="L842" s="10" t="s">
        <v>2081</v>
      </c>
    </row>
    <row r="843" spans="1:12" x14ac:dyDescent="0.35">
      <c r="A843" s="9">
        <v>842</v>
      </c>
      <c r="B843" s="19">
        <v>46029.134351851862</v>
      </c>
      <c r="C843" s="20">
        <v>46029</v>
      </c>
      <c r="D843" s="8" t="s">
        <v>2527</v>
      </c>
      <c r="E843" s="3">
        <v>0</v>
      </c>
      <c r="F843" s="13">
        <v>69</v>
      </c>
      <c r="G843" s="3">
        <v>387227.31</v>
      </c>
      <c r="H843" s="8" t="s">
        <v>51</v>
      </c>
      <c r="I843" s="8" t="s">
        <v>71</v>
      </c>
      <c r="J843" s="8" t="s">
        <v>32</v>
      </c>
      <c r="K843" s="8" t="s">
        <v>25</v>
      </c>
      <c r="L843" s="8" t="s">
        <v>2785</v>
      </c>
    </row>
    <row r="844" spans="1:12" x14ac:dyDescent="0.35">
      <c r="A844" s="11">
        <v>843</v>
      </c>
      <c r="B844" s="17">
        <v>46029.739988425928</v>
      </c>
      <c r="C844" s="18">
        <v>46029</v>
      </c>
      <c r="D844" s="10" t="s">
        <v>394</v>
      </c>
      <c r="E844" s="14">
        <v>10</v>
      </c>
      <c r="F844" s="5">
        <v>0</v>
      </c>
      <c r="G844" s="5">
        <v>387217.31</v>
      </c>
      <c r="H844" s="10" t="s">
        <v>51</v>
      </c>
      <c r="I844" s="10" t="s">
        <v>52</v>
      </c>
      <c r="J844" s="10" t="s">
        <v>32</v>
      </c>
      <c r="K844" s="10" t="s">
        <v>25</v>
      </c>
      <c r="L844" s="10" t="s">
        <v>2082</v>
      </c>
    </row>
    <row r="845" spans="1:12" x14ac:dyDescent="0.35">
      <c r="A845" s="9">
        <v>844</v>
      </c>
      <c r="B845" s="19">
        <v>46029.740266203713</v>
      </c>
      <c r="C845" s="20">
        <v>46029</v>
      </c>
      <c r="D845" s="8" t="s">
        <v>394</v>
      </c>
      <c r="E845" s="12">
        <v>900</v>
      </c>
      <c r="F845" s="3">
        <v>0</v>
      </c>
      <c r="G845" s="3">
        <v>386317.31</v>
      </c>
      <c r="H845" s="8" t="s">
        <v>51</v>
      </c>
      <c r="I845" s="8" t="s">
        <v>52</v>
      </c>
      <c r="J845" s="8" t="s">
        <v>32</v>
      </c>
      <c r="K845" s="8" t="s">
        <v>25</v>
      </c>
      <c r="L845" s="8" t="s">
        <v>2085</v>
      </c>
    </row>
    <row r="846" spans="1:12" x14ac:dyDescent="0.35">
      <c r="A846" s="11">
        <v>845</v>
      </c>
      <c r="B846" s="17">
        <v>46029.789189814823</v>
      </c>
      <c r="C846" s="18">
        <v>46029</v>
      </c>
      <c r="D846" s="10" t="s">
        <v>394</v>
      </c>
      <c r="E846" s="14">
        <v>9900</v>
      </c>
      <c r="F846" s="5">
        <v>0</v>
      </c>
      <c r="G846" s="5">
        <v>376417.31</v>
      </c>
      <c r="H846" s="10" t="s">
        <v>51</v>
      </c>
      <c r="I846" s="10" t="s">
        <v>52</v>
      </c>
      <c r="J846" s="10" t="s">
        <v>32</v>
      </c>
      <c r="K846" s="10" t="s">
        <v>25</v>
      </c>
      <c r="L846" s="10" t="s">
        <v>2088</v>
      </c>
    </row>
    <row r="847" spans="1:12" x14ac:dyDescent="0.35">
      <c r="A847" s="9">
        <v>846</v>
      </c>
      <c r="B847" s="19">
        <v>46029.797581018523</v>
      </c>
      <c r="C847" s="20">
        <v>46029</v>
      </c>
      <c r="D847" s="8" t="s">
        <v>394</v>
      </c>
      <c r="E847" s="12">
        <v>1500</v>
      </c>
      <c r="F847" s="3">
        <v>0</v>
      </c>
      <c r="G847" s="3">
        <v>374917.31</v>
      </c>
      <c r="H847" s="8" t="s">
        <v>51</v>
      </c>
      <c r="I847" s="8" t="s">
        <v>52</v>
      </c>
      <c r="J847" s="8" t="s">
        <v>32</v>
      </c>
      <c r="K847" s="8" t="s">
        <v>25</v>
      </c>
      <c r="L847" s="8" t="s">
        <v>2091</v>
      </c>
    </row>
    <row r="848" spans="1:12" x14ac:dyDescent="0.35">
      <c r="A848" s="11">
        <v>847</v>
      </c>
      <c r="B848" s="17">
        <v>46030.079918981479</v>
      </c>
      <c r="C848" s="18">
        <v>46030</v>
      </c>
      <c r="D848" s="10" t="s">
        <v>2527</v>
      </c>
      <c r="E848" s="5">
        <v>0</v>
      </c>
      <c r="F848" s="15">
        <v>67.53</v>
      </c>
      <c r="G848" s="5">
        <v>374984.84</v>
      </c>
      <c r="H848" s="10" t="s">
        <v>51</v>
      </c>
      <c r="I848" s="10" t="s">
        <v>71</v>
      </c>
      <c r="J848" s="10" t="s">
        <v>32</v>
      </c>
      <c r="K848" s="10" t="s">
        <v>25</v>
      </c>
      <c r="L848" s="10" t="s">
        <v>2786</v>
      </c>
    </row>
    <row r="849" spans="1:12" x14ac:dyDescent="0.35">
      <c r="A849" s="9">
        <v>848</v>
      </c>
      <c r="B849" s="19">
        <v>46030.445497685178</v>
      </c>
      <c r="C849" s="20">
        <v>46030</v>
      </c>
      <c r="D849" s="8" t="s">
        <v>394</v>
      </c>
      <c r="E849" s="12">
        <v>22500</v>
      </c>
      <c r="F849" s="3">
        <v>0</v>
      </c>
      <c r="G849" s="3">
        <v>352484.84</v>
      </c>
      <c r="H849" s="8" t="s">
        <v>51</v>
      </c>
      <c r="I849" s="8" t="s">
        <v>52</v>
      </c>
      <c r="J849" s="8" t="s">
        <v>32</v>
      </c>
      <c r="K849" s="8" t="s">
        <v>25</v>
      </c>
      <c r="L849" s="8" t="s">
        <v>2094</v>
      </c>
    </row>
    <row r="850" spans="1:12" x14ac:dyDescent="0.35">
      <c r="A850" s="11">
        <v>849</v>
      </c>
      <c r="B850" s="17">
        <v>46030.445520833331</v>
      </c>
      <c r="C850" s="18">
        <v>46030</v>
      </c>
      <c r="D850" s="10" t="s">
        <v>394</v>
      </c>
      <c r="E850" s="14">
        <v>50</v>
      </c>
      <c r="F850" s="5">
        <v>0</v>
      </c>
      <c r="G850" s="5">
        <v>352434.84</v>
      </c>
      <c r="H850" s="10" t="s">
        <v>51</v>
      </c>
      <c r="I850" s="10" t="s">
        <v>52</v>
      </c>
      <c r="J850" s="10" t="s">
        <v>32</v>
      </c>
      <c r="K850" s="10" t="s">
        <v>25</v>
      </c>
      <c r="L850" s="10" t="s">
        <v>2097</v>
      </c>
    </row>
    <row r="851" spans="1:12" x14ac:dyDescent="0.35">
      <c r="A851" s="9">
        <v>850</v>
      </c>
      <c r="B851" s="19">
        <v>46030.528831018521</v>
      </c>
      <c r="C851" s="20">
        <v>46030</v>
      </c>
      <c r="D851" s="8" t="s">
        <v>394</v>
      </c>
      <c r="E851" s="12">
        <v>8620</v>
      </c>
      <c r="F851" s="3">
        <v>0</v>
      </c>
      <c r="G851" s="3">
        <v>343814.84</v>
      </c>
      <c r="H851" s="8" t="s">
        <v>51</v>
      </c>
      <c r="I851" s="8" t="s">
        <v>52</v>
      </c>
      <c r="J851" s="8" t="s">
        <v>32</v>
      </c>
      <c r="K851" s="8" t="s">
        <v>25</v>
      </c>
      <c r="L851" s="8" t="s">
        <v>2100</v>
      </c>
    </row>
    <row r="852" spans="1:12" x14ac:dyDescent="0.35">
      <c r="A852" s="11">
        <v>851</v>
      </c>
      <c r="B852" s="17">
        <v>46030.546759259261</v>
      </c>
      <c r="C852" s="18">
        <v>46030</v>
      </c>
      <c r="D852" s="10" t="s">
        <v>394</v>
      </c>
      <c r="E852" s="14">
        <v>10</v>
      </c>
      <c r="F852" s="5">
        <v>0</v>
      </c>
      <c r="G852" s="5">
        <v>343804.84</v>
      </c>
      <c r="H852" s="10" t="s">
        <v>51</v>
      </c>
      <c r="I852" s="10" t="s">
        <v>52</v>
      </c>
      <c r="J852" s="10" t="s">
        <v>32</v>
      </c>
      <c r="K852" s="10" t="s">
        <v>25</v>
      </c>
      <c r="L852" s="10" t="s">
        <v>2101</v>
      </c>
    </row>
    <row r="853" spans="1:12" x14ac:dyDescent="0.35">
      <c r="A853" s="9">
        <v>852</v>
      </c>
      <c r="B853" s="19">
        <v>46030.547037037039</v>
      </c>
      <c r="C853" s="20">
        <v>46030</v>
      </c>
      <c r="D853" s="8" t="s">
        <v>394</v>
      </c>
      <c r="E853" s="12">
        <v>900</v>
      </c>
      <c r="F853" s="3">
        <v>0</v>
      </c>
      <c r="G853" s="3">
        <v>342904.84</v>
      </c>
      <c r="H853" s="8" t="s">
        <v>51</v>
      </c>
      <c r="I853" s="8" t="s">
        <v>52</v>
      </c>
      <c r="J853" s="8" t="s">
        <v>32</v>
      </c>
      <c r="K853" s="8" t="s">
        <v>25</v>
      </c>
      <c r="L853" s="8" t="s">
        <v>2104</v>
      </c>
    </row>
    <row r="854" spans="1:12" x14ac:dyDescent="0.35">
      <c r="A854" s="11">
        <v>853</v>
      </c>
      <c r="B854" s="17">
        <v>46031.132777777777</v>
      </c>
      <c r="C854" s="18">
        <v>46031</v>
      </c>
      <c r="D854" s="10" t="s">
        <v>2527</v>
      </c>
      <c r="E854" s="5">
        <v>0</v>
      </c>
      <c r="F854" s="15">
        <v>63.68</v>
      </c>
      <c r="G854" s="5">
        <v>342968.52</v>
      </c>
      <c r="H854" s="10" t="s">
        <v>51</v>
      </c>
      <c r="I854" s="10" t="s">
        <v>71</v>
      </c>
      <c r="J854" s="10" t="s">
        <v>32</v>
      </c>
      <c r="K854" s="10" t="s">
        <v>25</v>
      </c>
      <c r="L854" s="10" t="s">
        <v>2787</v>
      </c>
    </row>
    <row r="855" spans="1:12" x14ac:dyDescent="0.35">
      <c r="A855" s="9">
        <v>854</v>
      </c>
      <c r="B855" s="19">
        <v>46031.904502314806</v>
      </c>
      <c r="C855" s="20">
        <v>46031</v>
      </c>
      <c r="D855" s="8" t="s">
        <v>394</v>
      </c>
      <c r="E855" s="12">
        <v>732</v>
      </c>
      <c r="F855" s="3">
        <v>0</v>
      </c>
      <c r="G855" s="3">
        <v>342236.52</v>
      </c>
      <c r="H855" s="8" t="s">
        <v>51</v>
      </c>
      <c r="I855" s="8" t="s">
        <v>52</v>
      </c>
      <c r="J855" s="8" t="s">
        <v>32</v>
      </c>
      <c r="K855" s="8" t="s">
        <v>25</v>
      </c>
      <c r="L855" s="8" t="s">
        <v>2106</v>
      </c>
    </row>
    <row r="856" spans="1:12" x14ac:dyDescent="0.35">
      <c r="A856" s="11">
        <v>855</v>
      </c>
      <c r="B856" s="17">
        <v>46032.051041666673</v>
      </c>
      <c r="C856" s="18">
        <v>46032</v>
      </c>
      <c r="D856" s="10" t="s">
        <v>394</v>
      </c>
      <c r="E856" s="14">
        <v>20000</v>
      </c>
      <c r="F856" s="5">
        <v>0</v>
      </c>
      <c r="G856" s="5">
        <v>322236.52</v>
      </c>
      <c r="H856" s="10" t="s">
        <v>51</v>
      </c>
      <c r="I856" s="10" t="s">
        <v>52</v>
      </c>
      <c r="J856" s="10" t="s">
        <v>32</v>
      </c>
      <c r="K856" s="10" t="s">
        <v>25</v>
      </c>
      <c r="L856" s="10" t="s">
        <v>2109</v>
      </c>
    </row>
    <row r="857" spans="1:12" x14ac:dyDescent="0.35">
      <c r="A857" s="9">
        <v>856</v>
      </c>
      <c r="B857" s="19">
        <v>46032.051053240742</v>
      </c>
      <c r="C857" s="20">
        <v>46032</v>
      </c>
      <c r="D857" s="8" t="s">
        <v>394</v>
      </c>
      <c r="E857" s="12">
        <v>50</v>
      </c>
      <c r="F857" s="3">
        <v>0</v>
      </c>
      <c r="G857" s="3">
        <v>322186.52</v>
      </c>
      <c r="H857" s="8" t="s">
        <v>51</v>
      </c>
      <c r="I857" s="8" t="s">
        <v>52</v>
      </c>
      <c r="J857" s="8" t="s">
        <v>32</v>
      </c>
      <c r="K857" s="8" t="s">
        <v>25</v>
      </c>
      <c r="L857" s="8" t="s">
        <v>2111</v>
      </c>
    </row>
    <row r="858" spans="1:12" x14ac:dyDescent="0.35">
      <c r="A858" s="11">
        <v>857</v>
      </c>
      <c r="B858" s="17">
        <v>46032.051319444443</v>
      </c>
      <c r="C858" s="18">
        <v>46032</v>
      </c>
      <c r="D858" s="10" t="s">
        <v>394</v>
      </c>
      <c r="E858" s="14">
        <v>5000</v>
      </c>
      <c r="F858" s="5">
        <v>0</v>
      </c>
      <c r="G858" s="5">
        <v>317186.52</v>
      </c>
      <c r="H858" s="10" t="s">
        <v>51</v>
      </c>
      <c r="I858" s="10" t="s">
        <v>52</v>
      </c>
      <c r="J858" s="10" t="s">
        <v>32</v>
      </c>
      <c r="K858" s="10" t="s">
        <v>25</v>
      </c>
      <c r="L858" s="10" t="s">
        <v>2113</v>
      </c>
    </row>
    <row r="859" spans="1:12" x14ac:dyDescent="0.35">
      <c r="A859" s="9">
        <v>858</v>
      </c>
      <c r="B859" s="19">
        <v>46032.081597222219</v>
      </c>
      <c r="C859" s="20">
        <v>46032</v>
      </c>
      <c r="D859" s="8" t="s">
        <v>2527</v>
      </c>
      <c r="E859" s="3">
        <v>0</v>
      </c>
      <c r="F859" s="13">
        <v>63.6</v>
      </c>
      <c r="G859" s="3">
        <v>317250.12</v>
      </c>
      <c r="H859" s="8" t="s">
        <v>51</v>
      </c>
      <c r="I859" s="8" t="s">
        <v>71</v>
      </c>
      <c r="J859" s="8" t="s">
        <v>32</v>
      </c>
      <c r="K859" s="8" t="s">
        <v>25</v>
      </c>
      <c r="L859" s="8" t="s">
        <v>2788</v>
      </c>
    </row>
    <row r="860" spans="1:12" x14ac:dyDescent="0.35">
      <c r="A860" s="11">
        <v>859</v>
      </c>
      <c r="B860" s="17">
        <v>46033.135729166657</v>
      </c>
      <c r="C860" s="18">
        <v>46033</v>
      </c>
      <c r="D860" s="10" t="s">
        <v>2527</v>
      </c>
      <c r="E860" s="5">
        <v>0</v>
      </c>
      <c r="F860" s="15">
        <v>60.58</v>
      </c>
      <c r="G860" s="5">
        <v>317310.7</v>
      </c>
      <c r="H860" s="10" t="s">
        <v>51</v>
      </c>
      <c r="I860" s="10" t="s">
        <v>71</v>
      </c>
      <c r="J860" s="10" t="s">
        <v>32</v>
      </c>
      <c r="K860" s="10" t="s">
        <v>25</v>
      </c>
      <c r="L860" s="10" t="s">
        <v>2789</v>
      </c>
    </row>
    <row r="861" spans="1:12" x14ac:dyDescent="0.35">
      <c r="A861" s="9">
        <v>860</v>
      </c>
      <c r="B861" s="19">
        <v>46033.384027777778</v>
      </c>
      <c r="C861" s="20">
        <v>46033</v>
      </c>
      <c r="D861" s="8" t="s">
        <v>394</v>
      </c>
      <c r="E861" s="12">
        <v>10</v>
      </c>
      <c r="F861" s="3">
        <v>0</v>
      </c>
      <c r="G861" s="3">
        <v>317300.7</v>
      </c>
      <c r="H861" s="8" t="s">
        <v>51</v>
      </c>
      <c r="I861" s="8" t="s">
        <v>52</v>
      </c>
      <c r="J861" s="8" t="s">
        <v>32</v>
      </c>
      <c r="K861" s="8" t="s">
        <v>25</v>
      </c>
      <c r="L861" s="8" t="s">
        <v>2114</v>
      </c>
    </row>
    <row r="862" spans="1:12" x14ac:dyDescent="0.35">
      <c r="A862" s="11">
        <v>861</v>
      </c>
      <c r="B862" s="17">
        <v>46033.384259259263</v>
      </c>
      <c r="C862" s="18">
        <v>46033</v>
      </c>
      <c r="D862" s="10" t="s">
        <v>394</v>
      </c>
      <c r="E862" s="14">
        <v>900</v>
      </c>
      <c r="F862" s="5">
        <v>0</v>
      </c>
      <c r="G862" s="5">
        <v>316400.7</v>
      </c>
      <c r="H862" s="10" t="s">
        <v>51</v>
      </c>
      <c r="I862" s="10" t="s">
        <v>52</v>
      </c>
      <c r="J862" s="10" t="s">
        <v>32</v>
      </c>
      <c r="K862" s="10" t="s">
        <v>25</v>
      </c>
      <c r="L862" s="10" t="s">
        <v>2117</v>
      </c>
    </row>
    <row r="863" spans="1:12" x14ac:dyDescent="0.35">
      <c r="A863" s="9">
        <v>862</v>
      </c>
      <c r="B863" s="19">
        <v>46033.563055555547</v>
      </c>
      <c r="C863" s="20">
        <v>46033</v>
      </c>
      <c r="D863" s="8" t="s">
        <v>394</v>
      </c>
      <c r="E863" s="12">
        <v>3000</v>
      </c>
      <c r="F863" s="3">
        <v>0</v>
      </c>
      <c r="G863" s="3">
        <v>313400.7</v>
      </c>
      <c r="H863" s="8" t="s">
        <v>51</v>
      </c>
      <c r="I863" s="8" t="s">
        <v>52</v>
      </c>
      <c r="J863" s="8" t="s">
        <v>32</v>
      </c>
      <c r="K863" s="8" t="s">
        <v>25</v>
      </c>
      <c r="L863" s="8" t="s">
        <v>2120</v>
      </c>
    </row>
    <row r="864" spans="1:12" x14ac:dyDescent="0.35">
      <c r="A864" s="11">
        <v>863</v>
      </c>
      <c r="B864" s="17">
        <v>46033.570590277777</v>
      </c>
      <c r="C864" s="18">
        <v>46033</v>
      </c>
      <c r="D864" s="10" t="s">
        <v>394</v>
      </c>
      <c r="E864" s="14">
        <v>1800</v>
      </c>
      <c r="F864" s="5">
        <v>0</v>
      </c>
      <c r="G864" s="5">
        <v>311600.7</v>
      </c>
      <c r="H864" s="10" t="s">
        <v>51</v>
      </c>
      <c r="I864" s="10" t="s">
        <v>52</v>
      </c>
      <c r="J864" s="10" t="s">
        <v>32</v>
      </c>
      <c r="K864" s="10" t="s">
        <v>25</v>
      </c>
      <c r="L864" s="10" t="s">
        <v>2123</v>
      </c>
    </row>
    <row r="865" spans="1:12" x14ac:dyDescent="0.35">
      <c r="A865" s="9">
        <v>864</v>
      </c>
      <c r="B865" s="19">
        <v>46033.800636574073</v>
      </c>
      <c r="C865" s="20">
        <v>46033</v>
      </c>
      <c r="D865" s="8" t="s">
        <v>394</v>
      </c>
      <c r="E865" s="12">
        <v>2000</v>
      </c>
      <c r="F865" s="3">
        <v>0</v>
      </c>
      <c r="G865" s="3">
        <v>309600.7</v>
      </c>
      <c r="H865" s="8" t="s">
        <v>51</v>
      </c>
      <c r="I865" s="8" t="s">
        <v>52</v>
      </c>
      <c r="J865" s="8" t="s">
        <v>32</v>
      </c>
      <c r="K865" s="8" t="s">
        <v>25</v>
      </c>
      <c r="L865" s="8" t="s">
        <v>2126</v>
      </c>
    </row>
    <row r="866" spans="1:12" x14ac:dyDescent="0.35">
      <c r="A866" s="11">
        <v>865</v>
      </c>
      <c r="B866" s="17">
        <v>46034.052986111114</v>
      </c>
      <c r="C866" s="18">
        <v>46034</v>
      </c>
      <c r="D866" s="10" t="s">
        <v>2527</v>
      </c>
      <c r="E866" s="5">
        <v>0</v>
      </c>
      <c r="F866" s="15">
        <v>59.67</v>
      </c>
      <c r="G866" s="5">
        <v>309660.37</v>
      </c>
      <c r="H866" s="10" t="s">
        <v>51</v>
      </c>
      <c r="I866" s="10" t="s">
        <v>71</v>
      </c>
      <c r="J866" s="10" t="s">
        <v>32</v>
      </c>
      <c r="K866" s="10" t="s">
        <v>25</v>
      </c>
      <c r="L866" s="10" t="s">
        <v>2790</v>
      </c>
    </row>
    <row r="867" spans="1:12" x14ac:dyDescent="0.35">
      <c r="A867" s="9">
        <v>866</v>
      </c>
      <c r="B867" s="19">
        <v>46034.392893518518</v>
      </c>
      <c r="C867" s="20">
        <v>46034</v>
      </c>
      <c r="D867" s="8" t="s">
        <v>394</v>
      </c>
      <c r="E867" s="12">
        <v>2700</v>
      </c>
      <c r="F867" s="3">
        <v>0</v>
      </c>
      <c r="G867" s="3">
        <v>306960.37</v>
      </c>
      <c r="H867" s="8" t="s">
        <v>51</v>
      </c>
      <c r="I867" s="8" t="s">
        <v>52</v>
      </c>
      <c r="J867" s="8" t="s">
        <v>32</v>
      </c>
      <c r="K867" s="8" t="s">
        <v>25</v>
      </c>
      <c r="L867" s="8" t="s">
        <v>2129</v>
      </c>
    </row>
    <row r="868" spans="1:12" x14ac:dyDescent="0.35">
      <c r="A868" s="11">
        <v>867</v>
      </c>
      <c r="B868" s="17">
        <v>46034.762037037042</v>
      </c>
      <c r="C868" s="18">
        <v>46034</v>
      </c>
      <c r="D868" s="10" t="s">
        <v>394</v>
      </c>
      <c r="E868" s="14">
        <v>4000</v>
      </c>
      <c r="F868" s="5">
        <v>0</v>
      </c>
      <c r="G868" s="5">
        <v>302960.37</v>
      </c>
      <c r="H868" s="10" t="s">
        <v>51</v>
      </c>
      <c r="I868" s="10" t="s">
        <v>52</v>
      </c>
      <c r="J868" s="10" t="s">
        <v>32</v>
      </c>
      <c r="K868" s="10" t="s">
        <v>25</v>
      </c>
      <c r="L868" s="10" t="s">
        <v>2132</v>
      </c>
    </row>
    <row r="869" spans="1:12" x14ac:dyDescent="0.35">
      <c r="A869" s="9">
        <v>868</v>
      </c>
      <c r="B869" s="19">
        <v>46034.799270833333</v>
      </c>
      <c r="C869" s="20">
        <v>46034</v>
      </c>
      <c r="D869" s="8" t="s">
        <v>394</v>
      </c>
      <c r="E869" s="12">
        <v>4100</v>
      </c>
      <c r="F869" s="3">
        <v>0</v>
      </c>
      <c r="G869" s="3">
        <v>298860.37</v>
      </c>
      <c r="H869" s="8" t="s">
        <v>51</v>
      </c>
      <c r="I869" s="8" t="s">
        <v>52</v>
      </c>
      <c r="J869" s="8" t="s">
        <v>32</v>
      </c>
      <c r="K869" s="8" t="s">
        <v>25</v>
      </c>
      <c r="L869" s="8" t="s">
        <v>2135</v>
      </c>
    </row>
    <row r="870" spans="1:12" x14ac:dyDescent="0.35">
      <c r="A870" s="11">
        <v>869</v>
      </c>
      <c r="B870" s="17">
        <v>46034.859907407408</v>
      </c>
      <c r="C870" s="18">
        <v>46034</v>
      </c>
      <c r="D870" s="10" t="s">
        <v>394</v>
      </c>
      <c r="E870" s="14">
        <v>150000</v>
      </c>
      <c r="F870" s="5">
        <v>0</v>
      </c>
      <c r="G870" s="5">
        <v>148860.37</v>
      </c>
      <c r="H870" s="10" t="s">
        <v>51</v>
      </c>
      <c r="I870" s="10" t="s">
        <v>52</v>
      </c>
      <c r="J870" s="10" t="s">
        <v>32</v>
      </c>
      <c r="K870" s="10" t="s">
        <v>25</v>
      </c>
      <c r="L870" s="10" t="s">
        <v>2138</v>
      </c>
    </row>
    <row r="871" spans="1:12" x14ac:dyDescent="0.35">
      <c r="A871" s="9">
        <v>870</v>
      </c>
      <c r="B871" s="19">
        <v>46034.859918981478</v>
      </c>
      <c r="C871" s="20">
        <v>46034</v>
      </c>
      <c r="D871" s="8" t="s">
        <v>394</v>
      </c>
      <c r="E871" s="12">
        <v>50</v>
      </c>
      <c r="F871" s="3">
        <v>0</v>
      </c>
      <c r="G871" s="3">
        <v>148810.37</v>
      </c>
      <c r="H871" s="8" t="s">
        <v>51</v>
      </c>
      <c r="I871" s="8" t="s">
        <v>52</v>
      </c>
      <c r="J871" s="8" t="s">
        <v>32</v>
      </c>
      <c r="K871" s="8" t="s">
        <v>25</v>
      </c>
      <c r="L871" s="8" t="s">
        <v>2140</v>
      </c>
    </row>
    <row r="872" spans="1:12" x14ac:dyDescent="0.35">
      <c r="A872" s="11">
        <v>871</v>
      </c>
      <c r="B872" s="17">
        <v>46035.127256944441</v>
      </c>
      <c r="C872" s="18">
        <v>46035</v>
      </c>
      <c r="D872" s="10" t="s">
        <v>2527</v>
      </c>
      <c r="E872" s="5">
        <v>0</v>
      </c>
      <c r="F872" s="15">
        <v>40.32</v>
      </c>
      <c r="G872" s="5">
        <v>148850.69</v>
      </c>
      <c r="H872" s="10" t="s">
        <v>51</v>
      </c>
      <c r="I872" s="10" t="s">
        <v>71</v>
      </c>
      <c r="J872" s="10" t="s">
        <v>32</v>
      </c>
      <c r="K872" s="10" t="s">
        <v>25</v>
      </c>
      <c r="L872" s="10" t="s">
        <v>2791</v>
      </c>
    </row>
    <row r="873" spans="1:12" x14ac:dyDescent="0.35">
      <c r="A873" s="9">
        <v>872</v>
      </c>
      <c r="B873" s="19">
        <v>46035.782106481478</v>
      </c>
      <c r="C873" s="20">
        <v>46035</v>
      </c>
      <c r="D873" s="8" t="s">
        <v>394</v>
      </c>
      <c r="E873" s="12">
        <v>883.5</v>
      </c>
      <c r="F873" s="3">
        <v>0</v>
      </c>
      <c r="G873" s="3">
        <v>147967.19</v>
      </c>
      <c r="H873" s="8" t="s">
        <v>51</v>
      </c>
      <c r="I873" s="8" t="s">
        <v>52</v>
      </c>
      <c r="J873" s="8" t="s">
        <v>32</v>
      </c>
      <c r="K873" s="8" t="s">
        <v>25</v>
      </c>
      <c r="L873" s="8" t="s">
        <v>2142</v>
      </c>
    </row>
    <row r="874" spans="1:12" x14ac:dyDescent="0.35">
      <c r="A874" s="11">
        <v>873</v>
      </c>
      <c r="B874" s="17">
        <v>46035.840150462973</v>
      </c>
      <c r="C874" s="18">
        <v>46035</v>
      </c>
      <c r="D874" s="10" t="s">
        <v>394</v>
      </c>
      <c r="E874" s="14">
        <v>3600</v>
      </c>
      <c r="F874" s="5">
        <v>0</v>
      </c>
      <c r="G874" s="5">
        <v>144367.19</v>
      </c>
      <c r="H874" s="10" t="s">
        <v>51</v>
      </c>
      <c r="I874" s="10" t="s">
        <v>52</v>
      </c>
      <c r="J874" s="10" t="s">
        <v>32</v>
      </c>
      <c r="K874" s="10" t="s">
        <v>25</v>
      </c>
      <c r="L874" s="10" t="s">
        <v>2145</v>
      </c>
    </row>
    <row r="875" spans="1:12" x14ac:dyDescent="0.35">
      <c r="A875" s="9">
        <v>874</v>
      </c>
      <c r="B875" s="19">
        <v>46036.054178240738</v>
      </c>
      <c r="C875" s="20">
        <v>46036</v>
      </c>
      <c r="D875" s="8" t="s">
        <v>2527</v>
      </c>
      <c r="E875" s="3">
        <v>0</v>
      </c>
      <c r="F875" s="13">
        <v>39.79</v>
      </c>
      <c r="G875" s="3">
        <v>144406.98000000001</v>
      </c>
      <c r="H875" s="8" t="s">
        <v>51</v>
      </c>
      <c r="I875" s="8" t="s">
        <v>71</v>
      </c>
      <c r="J875" s="8" t="s">
        <v>32</v>
      </c>
      <c r="K875" s="8" t="s">
        <v>25</v>
      </c>
      <c r="L875" s="8" t="s">
        <v>2792</v>
      </c>
    </row>
    <row r="876" spans="1:12" x14ac:dyDescent="0.35">
      <c r="A876" s="11">
        <v>875</v>
      </c>
      <c r="B876" s="17">
        <v>46036.175104166658</v>
      </c>
      <c r="C876" s="18">
        <v>46036</v>
      </c>
      <c r="D876" s="10" t="s">
        <v>394</v>
      </c>
      <c r="E876" s="14">
        <v>150</v>
      </c>
      <c r="F876" s="5">
        <v>0</v>
      </c>
      <c r="G876" s="5">
        <v>144256.98000000001</v>
      </c>
      <c r="H876" s="10" t="s">
        <v>51</v>
      </c>
      <c r="I876" s="10" t="s">
        <v>52</v>
      </c>
      <c r="J876" s="10" t="s">
        <v>32</v>
      </c>
      <c r="K876" s="10" t="s">
        <v>25</v>
      </c>
      <c r="L876" s="10" t="s">
        <v>2148</v>
      </c>
    </row>
    <row r="877" spans="1:12" x14ac:dyDescent="0.35">
      <c r="A877" s="9">
        <v>876</v>
      </c>
      <c r="B877" s="19">
        <v>46036.886307870373</v>
      </c>
      <c r="C877" s="20">
        <v>46036</v>
      </c>
      <c r="D877" s="8" t="s">
        <v>394</v>
      </c>
      <c r="E877" s="12">
        <v>4300</v>
      </c>
      <c r="F877" s="3">
        <v>0</v>
      </c>
      <c r="G877" s="3">
        <v>139956.98000000001</v>
      </c>
      <c r="H877" s="8" t="s">
        <v>51</v>
      </c>
      <c r="I877" s="8" t="s">
        <v>52</v>
      </c>
      <c r="J877" s="8" t="s">
        <v>32</v>
      </c>
      <c r="K877" s="8" t="s">
        <v>25</v>
      </c>
      <c r="L877" s="8" t="s">
        <v>2150</v>
      </c>
    </row>
    <row r="878" spans="1:12" x14ac:dyDescent="0.35">
      <c r="A878" s="11">
        <v>877</v>
      </c>
      <c r="B878" s="17">
        <v>46037.131041666667</v>
      </c>
      <c r="C878" s="18">
        <v>46037</v>
      </c>
      <c r="D878" s="10" t="s">
        <v>2527</v>
      </c>
      <c r="E878" s="5">
        <v>0</v>
      </c>
      <c r="F878" s="15">
        <v>39.26</v>
      </c>
      <c r="G878" s="5">
        <v>139996.24</v>
      </c>
      <c r="H878" s="10" t="s">
        <v>51</v>
      </c>
      <c r="I878" s="10" t="s">
        <v>71</v>
      </c>
      <c r="J878" s="10" t="s">
        <v>32</v>
      </c>
      <c r="K878" s="10" t="s">
        <v>25</v>
      </c>
      <c r="L878" s="10" t="s">
        <v>2793</v>
      </c>
    </row>
    <row r="879" spans="1:12" x14ac:dyDescent="0.35">
      <c r="A879" s="9">
        <v>878</v>
      </c>
      <c r="B879" s="19">
        <v>46037.351053240738</v>
      </c>
      <c r="C879" s="20">
        <v>46037</v>
      </c>
      <c r="D879" s="8" t="s">
        <v>394</v>
      </c>
      <c r="E879" s="12">
        <v>891</v>
      </c>
      <c r="F879" s="3">
        <v>0</v>
      </c>
      <c r="G879" s="3">
        <v>139105.24</v>
      </c>
      <c r="H879" s="8" t="s">
        <v>51</v>
      </c>
      <c r="I879" s="8" t="s">
        <v>52</v>
      </c>
      <c r="J879" s="8" t="s">
        <v>32</v>
      </c>
      <c r="K879" s="8" t="s">
        <v>25</v>
      </c>
      <c r="L879" s="8" t="s">
        <v>2152</v>
      </c>
    </row>
    <row r="880" spans="1:12" x14ac:dyDescent="0.35">
      <c r="A880" s="11">
        <v>879</v>
      </c>
      <c r="B880" s="17">
        <v>46037.421412037038</v>
      </c>
      <c r="C880" s="18">
        <v>46037</v>
      </c>
      <c r="D880" s="10" t="s">
        <v>394</v>
      </c>
      <c r="E880" s="14">
        <v>1000</v>
      </c>
      <c r="F880" s="5">
        <v>0</v>
      </c>
      <c r="G880" s="5">
        <v>138105.24</v>
      </c>
      <c r="H880" s="10" t="s">
        <v>51</v>
      </c>
      <c r="I880" s="10" t="s">
        <v>52</v>
      </c>
      <c r="J880" s="10" t="s">
        <v>32</v>
      </c>
      <c r="K880" s="10" t="s">
        <v>25</v>
      </c>
      <c r="L880" s="10" t="s">
        <v>2155</v>
      </c>
    </row>
    <row r="881" spans="1:12" x14ac:dyDescent="0.35">
      <c r="A881" s="9">
        <v>880</v>
      </c>
      <c r="B881" s="19">
        <v>46037.557569444441</v>
      </c>
      <c r="C881" s="20">
        <v>46037</v>
      </c>
      <c r="D881" s="8" t="s">
        <v>394</v>
      </c>
      <c r="E881" s="12">
        <v>6800</v>
      </c>
      <c r="F881" s="3">
        <v>0</v>
      </c>
      <c r="G881" s="3">
        <v>131305.24</v>
      </c>
      <c r="H881" s="8" t="s">
        <v>51</v>
      </c>
      <c r="I881" s="8" t="s">
        <v>52</v>
      </c>
      <c r="J881" s="8" t="s">
        <v>32</v>
      </c>
      <c r="K881" s="8" t="s">
        <v>25</v>
      </c>
      <c r="L881" s="8" t="s">
        <v>2158</v>
      </c>
    </row>
    <row r="882" spans="1:12" x14ac:dyDescent="0.35">
      <c r="A882" s="11">
        <v>881</v>
      </c>
      <c r="B882" s="17">
        <v>46037.619942129633</v>
      </c>
      <c r="C882" s="18">
        <v>46037</v>
      </c>
      <c r="D882" s="10" t="s">
        <v>394</v>
      </c>
      <c r="E882" s="14">
        <v>3700</v>
      </c>
      <c r="F882" s="5">
        <v>0</v>
      </c>
      <c r="G882" s="5">
        <v>127605.24</v>
      </c>
      <c r="H882" s="10" t="s">
        <v>51</v>
      </c>
      <c r="I882" s="10" t="s">
        <v>52</v>
      </c>
      <c r="J882" s="10" t="s">
        <v>32</v>
      </c>
      <c r="K882" s="10" t="s">
        <v>25</v>
      </c>
      <c r="L882" s="10" t="s">
        <v>2161</v>
      </c>
    </row>
    <row r="883" spans="1:12" x14ac:dyDescent="0.35">
      <c r="A883" s="9">
        <v>882</v>
      </c>
      <c r="B883" s="19">
        <v>46038.055011574077</v>
      </c>
      <c r="C883" s="20">
        <v>46038</v>
      </c>
      <c r="D883" s="8" t="s">
        <v>2527</v>
      </c>
      <c r="E883" s="3">
        <v>0</v>
      </c>
      <c r="F883" s="13">
        <v>37.78</v>
      </c>
      <c r="G883" s="3">
        <v>127643.02</v>
      </c>
      <c r="H883" s="8" t="s">
        <v>51</v>
      </c>
      <c r="I883" s="8" t="s">
        <v>71</v>
      </c>
      <c r="J883" s="8" t="s">
        <v>32</v>
      </c>
      <c r="K883" s="8" t="s">
        <v>25</v>
      </c>
      <c r="L883" s="8" t="s">
        <v>2794</v>
      </c>
    </row>
    <row r="884" spans="1:12" x14ac:dyDescent="0.35">
      <c r="A884" s="11">
        <v>883</v>
      </c>
      <c r="B884" s="17">
        <v>46038.402870370373</v>
      </c>
      <c r="C884" s="18">
        <v>46038</v>
      </c>
      <c r="D884" s="10" t="s">
        <v>394</v>
      </c>
      <c r="E884" s="14">
        <v>3100</v>
      </c>
      <c r="F884" s="5">
        <v>0</v>
      </c>
      <c r="G884" s="5">
        <v>124543.02</v>
      </c>
      <c r="H884" s="10" t="s">
        <v>51</v>
      </c>
      <c r="I884" s="10" t="s">
        <v>52</v>
      </c>
      <c r="J884" s="10" t="s">
        <v>32</v>
      </c>
      <c r="K884" s="10" t="s">
        <v>25</v>
      </c>
      <c r="L884" s="10" t="s">
        <v>2164</v>
      </c>
    </row>
    <row r="885" spans="1:12" x14ac:dyDescent="0.35">
      <c r="A885" s="9">
        <v>884</v>
      </c>
      <c r="B885" s="19">
        <v>46038.415868055563</v>
      </c>
      <c r="C885" s="20">
        <v>46038</v>
      </c>
      <c r="D885" s="8" t="s">
        <v>394</v>
      </c>
      <c r="E885" s="12">
        <v>2000</v>
      </c>
      <c r="F885" s="3">
        <v>0</v>
      </c>
      <c r="G885" s="3">
        <v>122543.02</v>
      </c>
      <c r="H885" s="8" t="s">
        <v>51</v>
      </c>
      <c r="I885" s="8" t="s">
        <v>52</v>
      </c>
      <c r="J885" s="8" t="s">
        <v>32</v>
      </c>
      <c r="K885" s="8" t="s">
        <v>25</v>
      </c>
      <c r="L885" s="8" t="s">
        <v>2167</v>
      </c>
    </row>
    <row r="886" spans="1:12" x14ac:dyDescent="0.35">
      <c r="A886" s="11">
        <v>885</v>
      </c>
      <c r="B886" s="17">
        <v>46038.439675925933</v>
      </c>
      <c r="C886" s="18">
        <v>46038</v>
      </c>
      <c r="D886" s="10" t="s">
        <v>394</v>
      </c>
      <c r="E886" s="14">
        <v>3100</v>
      </c>
      <c r="F886" s="5">
        <v>0</v>
      </c>
      <c r="G886" s="5">
        <v>119443.02</v>
      </c>
      <c r="H886" s="10" t="s">
        <v>51</v>
      </c>
      <c r="I886" s="10" t="s">
        <v>52</v>
      </c>
      <c r="J886" s="10" t="s">
        <v>32</v>
      </c>
      <c r="K886" s="10" t="s">
        <v>25</v>
      </c>
      <c r="L886" s="10" t="s">
        <v>2170</v>
      </c>
    </row>
    <row r="887" spans="1:12" x14ac:dyDescent="0.35">
      <c r="A887" s="9">
        <v>886</v>
      </c>
      <c r="B887" s="19">
        <v>46038.744212962964</v>
      </c>
      <c r="C887" s="20">
        <v>46038</v>
      </c>
      <c r="D887" s="8" t="s">
        <v>394</v>
      </c>
      <c r="E887" s="12">
        <v>4300</v>
      </c>
      <c r="F887" s="3">
        <v>0</v>
      </c>
      <c r="G887" s="3">
        <v>115143.02</v>
      </c>
      <c r="H887" s="8" t="s">
        <v>51</v>
      </c>
      <c r="I887" s="8" t="s">
        <v>52</v>
      </c>
      <c r="J887" s="8" t="s">
        <v>32</v>
      </c>
      <c r="K887" s="8" t="s">
        <v>25</v>
      </c>
      <c r="L887" s="8" t="s">
        <v>2173</v>
      </c>
    </row>
    <row r="888" spans="1:12" x14ac:dyDescent="0.35">
      <c r="A888" s="11">
        <v>887</v>
      </c>
      <c r="B888" s="17">
        <v>46038.774039351847</v>
      </c>
      <c r="C888" s="18">
        <v>46038</v>
      </c>
      <c r="D888" s="10" t="s">
        <v>394</v>
      </c>
      <c r="E888" s="14">
        <v>1000</v>
      </c>
      <c r="F888" s="5">
        <v>0</v>
      </c>
      <c r="G888" s="5">
        <v>114143.02</v>
      </c>
      <c r="H888" s="10" t="s">
        <v>51</v>
      </c>
      <c r="I888" s="10" t="s">
        <v>52</v>
      </c>
      <c r="J888" s="10" t="s">
        <v>32</v>
      </c>
      <c r="K888" s="10" t="s">
        <v>25</v>
      </c>
      <c r="L888" s="10" t="s">
        <v>2175</v>
      </c>
    </row>
    <row r="889" spans="1:12" x14ac:dyDescent="0.35">
      <c r="A889" s="9">
        <v>888</v>
      </c>
      <c r="B889" s="19">
        <v>46039.135567129633</v>
      </c>
      <c r="C889" s="20">
        <v>46039</v>
      </c>
      <c r="D889" s="8" t="s">
        <v>2527</v>
      </c>
      <c r="E889" s="3">
        <v>0</v>
      </c>
      <c r="F889" s="13">
        <v>36.159999999999997</v>
      </c>
      <c r="G889" s="3">
        <v>114179.18</v>
      </c>
      <c r="H889" s="8" t="s">
        <v>51</v>
      </c>
      <c r="I889" s="8" t="s">
        <v>71</v>
      </c>
      <c r="J889" s="8" t="s">
        <v>32</v>
      </c>
      <c r="K889" s="8" t="s">
        <v>25</v>
      </c>
      <c r="L889" s="8" t="s">
        <v>2795</v>
      </c>
    </row>
    <row r="890" spans="1:12" x14ac:dyDescent="0.35">
      <c r="A890" s="11">
        <v>889</v>
      </c>
      <c r="B890" s="17">
        <v>46040.056863425933</v>
      </c>
      <c r="C890" s="18">
        <v>46040</v>
      </c>
      <c r="D890" s="10" t="s">
        <v>2527</v>
      </c>
      <c r="E890" s="5">
        <v>0</v>
      </c>
      <c r="F890" s="15">
        <v>36.159999999999997</v>
      </c>
      <c r="G890" s="5">
        <v>114215.34</v>
      </c>
      <c r="H890" s="10" t="s">
        <v>51</v>
      </c>
      <c r="I890" s="10" t="s">
        <v>71</v>
      </c>
      <c r="J890" s="10" t="s">
        <v>32</v>
      </c>
      <c r="K890" s="10" t="s">
        <v>25</v>
      </c>
      <c r="L890" s="10" t="s">
        <v>2796</v>
      </c>
    </row>
    <row r="891" spans="1:12" x14ac:dyDescent="0.35">
      <c r="A891" s="9">
        <v>890</v>
      </c>
      <c r="B891" s="19">
        <v>46040.259699074071</v>
      </c>
      <c r="C891" s="20">
        <v>46040</v>
      </c>
      <c r="D891" s="8" t="s">
        <v>394</v>
      </c>
      <c r="E891" s="12">
        <v>891</v>
      </c>
      <c r="F891" s="3">
        <v>0</v>
      </c>
      <c r="G891" s="3">
        <v>113324.34</v>
      </c>
      <c r="H891" s="8" t="s">
        <v>51</v>
      </c>
      <c r="I891" s="8" t="s">
        <v>52</v>
      </c>
      <c r="J891" s="8" t="s">
        <v>32</v>
      </c>
      <c r="K891" s="8" t="s">
        <v>25</v>
      </c>
      <c r="L891" s="8" t="s">
        <v>2177</v>
      </c>
    </row>
    <row r="892" spans="1:12" x14ac:dyDescent="0.35">
      <c r="A892" s="11">
        <v>891</v>
      </c>
      <c r="B892" s="17">
        <v>46041.127210648148</v>
      </c>
      <c r="C892" s="18">
        <v>46041</v>
      </c>
      <c r="D892" s="10" t="s">
        <v>2527</v>
      </c>
      <c r="E892" s="5">
        <v>0</v>
      </c>
      <c r="F892" s="15">
        <v>36.06</v>
      </c>
      <c r="G892" s="5">
        <v>113360.4</v>
      </c>
      <c r="H892" s="10" t="s">
        <v>51</v>
      </c>
      <c r="I892" s="10" t="s">
        <v>71</v>
      </c>
      <c r="J892" s="10" t="s">
        <v>32</v>
      </c>
      <c r="K892" s="10" t="s">
        <v>25</v>
      </c>
      <c r="L892" s="10" t="s">
        <v>2797</v>
      </c>
    </row>
    <row r="893" spans="1:12" x14ac:dyDescent="0.35">
      <c r="A893" s="9">
        <v>892</v>
      </c>
      <c r="B893" s="19">
        <v>46041.506226851852</v>
      </c>
      <c r="C893" s="20">
        <v>46041</v>
      </c>
      <c r="D893" s="8" t="s">
        <v>394</v>
      </c>
      <c r="E893" s="12">
        <v>1000</v>
      </c>
      <c r="F893" s="3">
        <v>0</v>
      </c>
      <c r="G893" s="3">
        <v>112360.4</v>
      </c>
      <c r="H893" s="8" t="s">
        <v>51</v>
      </c>
      <c r="I893" s="8" t="s">
        <v>52</v>
      </c>
      <c r="J893" s="8" t="s">
        <v>32</v>
      </c>
      <c r="K893" s="8" t="s">
        <v>25</v>
      </c>
      <c r="L893" s="8" t="s">
        <v>2180</v>
      </c>
    </row>
    <row r="894" spans="1:12" x14ac:dyDescent="0.35">
      <c r="A894" s="11">
        <v>893</v>
      </c>
      <c r="B894" s="17">
        <v>46041.604699074072</v>
      </c>
      <c r="C894" s="18">
        <v>46041</v>
      </c>
      <c r="D894" s="10" t="s">
        <v>394</v>
      </c>
      <c r="E894" s="14">
        <v>7300</v>
      </c>
      <c r="F894" s="5">
        <v>0</v>
      </c>
      <c r="G894" s="5">
        <v>105060.4</v>
      </c>
      <c r="H894" s="10" t="s">
        <v>51</v>
      </c>
      <c r="I894" s="10" t="s">
        <v>52</v>
      </c>
      <c r="J894" s="10" t="s">
        <v>32</v>
      </c>
      <c r="K894" s="10" t="s">
        <v>25</v>
      </c>
      <c r="L894" s="10" t="s">
        <v>2183</v>
      </c>
    </row>
    <row r="895" spans="1:12" x14ac:dyDescent="0.35">
      <c r="A895" s="9">
        <v>894</v>
      </c>
      <c r="B895" s="19">
        <v>46041.635555555556</v>
      </c>
      <c r="C895" s="20">
        <v>46041</v>
      </c>
      <c r="D895" s="8" t="s">
        <v>394</v>
      </c>
      <c r="E895" s="12">
        <v>500</v>
      </c>
      <c r="F895" s="3">
        <v>0</v>
      </c>
      <c r="G895" s="3">
        <v>104560.4</v>
      </c>
      <c r="H895" s="8" t="s">
        <v>51</v>
      </c>
      <c r="I895" s="8" t="s">
        <v>52</v>
      </c>
      <c r="J895" s="8" t="s">
        <v>32</v>
      </c>
      <c r="K895" s="8" t="s">
        <v>25</v>
      </c>
      <c r="L895" s="8" t="s">
        <v>2185</v>
      </c>
    </row>
    <row r="896" spans="1:12" x14ac:dyDescent="0.35">
      <c r="A896" s="11">
        <v>895</v>
      </c>
      <c r="B896" s="17">
        <v>46041.70521990741</v>
      </c>
      <c r="C896" s="18">
        <v>46041</v>
      </c>
      <c r="D896" s="10" t="s">
        <v>394</v>
      </c>
      <c r="E896" s="14">
        <v>9520</v>
      </c>
      <c r="F896" s="5">
        <v>0</v>
      </c>
      <c r="G896" s="5">
        <v>95040.4</v>
      </c>
      <c r="H896" s="10" t="s">
        <v>51</v>
      </c>
      <c r="I896" s="10" t="s">
        <v>52</v>
      </c>
      <c r="J896" s="10" t="s">
        <v>32</v>
      </c>
      <c r="K896" s="10" t="s">
        <v>25</v>
      </c>
      <c r="L896" s="10" t="s">
        <v>2188</v>
      </c>
    </row>
    <row r="897" spans="1:12" x14ac:dyDescent="0.35">
      <c r="A897" s="9">
        <v>896</v>
      </c>
      <c r="B897" s="19">
        <v>46041.706377314818</v>
      </c>
      <c r="C897" s="20">
        <v>46041</v>
      </c>
      <c r="D897" s="8" t="s">
        <v>394</v>
      </c>
      <c r="E897" s="12">
        <v>7270</v>
      </c>
      <c r="F897" s="3">
        <v>0</v>
      </c>
      <c r="G897" s="3">
        <v>87770.4</v>
      </c>
      <c r="H897" s="8" t="s">
        <v>51</v>
      </c>
      <c r="I897" s="8" t="s">
        <v>52</v>
      </c>
      <c r="J897" s="8" t="s">
        <v>32</v>
      </c>
      <c r="K897" s="8" t="s">
        <v>25</v>
      </c>
      <c r="L897" s="8" t="s">
        <v>2191</v>
      </c>
    </row>
    <row r="898" spans="1:12" x14ac:dyDescent="0.35">
      <c r="A898" s="11">
        <v>897</v>
      </c>
      <c r="B898" s="17">
        <v>46041.710011574083</v>
      </c>
      <c r="C898" s="18">
        <v>46041</v>
      </c>
      <c r="D898" s="10" t="s">
        <v>394</v>
      </c>
      <c r="E898" s="14">
        <v>4000</v>
      </c>
      <c r="F898" s="5">
        <v>0</v>
      </c>
      <c r="G898" s="5">
        <v>83770.399999999994</v>
      </c>
      <c r="H898" s="10" t="s">
        <v>51</v>
      </c>
      <c r="I898" s="10" t="s">
        <v>52</v>
      </c>
      <c r="J898" s="10" t="s">
        <v>32</v>
      </c>
      <c r="K898" s="10" t="s">
        <v>25</v>
      </c>
      <c r="L898" s="10" t="s">
        <v>2194</v>
      </c>
    </row>
    <row r="899" spans="1:12" x14ac:dyDescent="0.35">
      <c r="A899" s="9">
        <v>898</v>
      </c>
      <c r="B899" s="19">
        <v>46042.05810185185</v>
      </c>
      <c r="C899" s="20">
        <v>46042</v>
      </c>
      <c r="D899" s="8" t="s">
        <v>2527</v>
      </c>
      <c r="E899" s="3">
        <v>0</v>
      </c>
      <c r="F899" s="13">
        <v>28.87</v>
      </c>
      <c r="G899" s="3">
        <v>83799.27</v>
      </c>
      <c r="H899" s="8" t="s">
        <v>51</v>
      </c>
      <c r="I899" s="8" t="s">
        <v>71</v>
      </c>
      <c r="J899" s="8" t="s">
        <v>32</v>
      </c>
      <c r="K899" s="8" t="s">
        <v>25</v>
      </c>
      <c r="L899" s="8" t="s">
        <v>2798</v>
      </c>
    </row>
    <row r="900" spans="1:12" x14ac:dyDescent="0.35">
      <c r="A900" s="11">
        <v>899</v>
      </c>
      <c r="B900" s="17">
        <v>46042.559317129628</v>
      </c>
      <c r="C900" s="18">
        <v>46042</v>
      </c>
      <c r="D900" s="10" t="s">
        <v>394</v>
      </c>
      <c r="E900" s="14">
        <v>5000</v>
      </c>
      <c r="F900" s="5">
        <v>0</v>
      </c>
      <c r="G900" s="5">
        <v>78799.27</v>
      </c>
      <c r="H900" s="10" t="s">
        <v>51</v>
      </c>
      <c r="I900" s="10" t="s">
        <v>52</v>
      </c>
      <c r="J900" s="10" t="s">
        <v>32</v>
      </c>
      <c r="K900" s="10" t="s">
        <v>25</v>
      </c>
      <c r="L900" s="10" t="s">
        <v>2197</v>
      </c>
    </row>
    <row r="901" spans="1:12" x14ac:dyDescent="0.35">
      <c r="A901" s="9">
        <v>900</v>
      </c>
      <c r="B901" s="19">
        <v>46042.714988425927</v>
      </c>
      <c r="C901" s="20">
        <v>46042</v>
      </c>
      <c r="D901" s="8" t="s">
        <v>394</v>
      </c>
      <c r="E901" s="12">
        <v>750</v>
      </c>
      <c r="F901" s="3">
        <v>0</v>
      </c>
      <c r="G901" s="3">
        <v>78049.27</v>
      </c>
      <c r="H901" s="8" t="s">
        <v>51</v>
      </c>
      <c r="I901" s="8" t="s">
        <v>52</v>
      </c>
      <c r="J901" s="8" t="s">
        <v>32</v>
      </c>
      <c r="K901" s="8" t="s">
        <v>25</v>
      </c>
      <c r="L901" s="8" t="s">
        <v>2199</v>
      </c>
    </row>
    <row r="902" spans="1:12" x14ac:dyDescent="0.35">
      <c r="A902" s="11">
        <v>901</v>
      </c>
      <c r="B902" s="17">
        <v>46042.729849537027</v>
      </c>
      <c r="C902" s="18">
        <v>46042</v>
      </c>
      <c r="D902" s="10" t="s">
        <v>394</v>
      </c>
      <c r="E902" s="14">
        <v>1890</v>
      </c>
      <c r="F902" s="5">
        <v>0</v>
      </c>
      <c r="G902" s="5">
        <v>76159.27</v>
      </c>
      <c r="H902" s="10" t="s">
        <v>51</v>
      </c>
      <c r="I902" s="10" t="s">
        <v>52</v>
      </c>
      <c r="J902" s="10" t="s">
        <v>32</v>
      </c>
      <c r="K902" s="10" t="s">
        <v>25</v>
      </c>
      <c r="L902" s="10" t="s">
        <v>2202</v>
      </c>
    </row>
    <row r="903" spans="1:12" x14ac:dyDescent="0.35">
      <c r="A903" s="9">
        <v>902</v>
      </c>
      <c r="B903" s="19">
        <v>46042.756909722222</v>
      </c>
      <c r="C903" s="20">
        <v>46042</v>
      </c>
      <c r="D903" s="8" t="s">
        <v>394</v>
      </c>
      <c r="E903" s="12">
        <v>4000</v>
      </c>
      <c r="F903" s="3">
        <v>0</v>
      </c>
      <c r="G903" s="3">
        <v>72159.27</v>
      </c>
      <c r="H903" s="8" t="s">
        <v>51</v>
      </c>
      <c r="I903" s="8" t="s">
        <v>52</v>
      </c>
      <c r="J903" s="8" t="s">
        <v>32</v>
      </c>
      <c r="K903" s="8" t="s">
        <v>25</v>
      </c>
      <c r="L903" s="8" t="s">
        <v>2205</v>
      </c>
    </row>
    <row r="904" spans="1:12" x14ac:dyDescent="0.35">
      <c r="A904" s="11">
        <v>903</v>
      </c>
      <c r="B904" s="17">
        <v>46043.118958333333</v>
      </c>
      <c r="C904" s="18">
        <v>46043</v>
      </c>
      <c r="D904" s="10" t="s">
        <v>2527</v>
      </c>
      <c r="E904" s="5">
        <v>0</v>
      </c>
      <c r="F904" s="15">
        <v>24.86</v>
      </c>
      <c r="G904" s="5">
        <v>72184.13</v>
      </c>
      <c r="H904" s="10" t="s">
        <v>51</v>
      </c>
      <c r="I904" s="10" t="s">
        <v>71</v>
      </c>
      <c r="J904" s="10" t="s">
        <v>32</v>
      </c>
      <c r="K904" s="10" t="s">
        <v>25</v>
      </c>
      <c r="L904" s="10" t="s">
        <v>2799</v>
      </c>
    </row>
    <row r="905" spans="1:12" x14ac:dyDescent="0.35">
      <c r="A905" s="9">
        <v>904</v>
      </c>
      <c r="B905" s="19">
        <v>46043.411817129629</v>
      </c>
      <c r="C905" s="20">
        <v>46043</v>
      </c>
      <c r="D905" s="8" t="s">
        <v>394</v>
      </c>
      <c r="E905" s="12">
        <v>983.5</v>
      </c>
      <c r="F905" s="3">
        <v>0</v>
      </c>
      <c r="G905" s="3">
        <v>71200.63</v>
      </c>
      <c r="H905" s="8" t="s">
        <v>51</v>
      </c>
      <c r="I905" s="8" t="s">
        <v>52</v>
      </c>
      <c r="J905" s="8" t="s">
        <v>32</v>
      </c>
      <c r="K905" s="8" t="s">
        <v>25</v>
      </c>
      <c r="L905" s="8" t="s">
        <v>2207</v>
      </c>
    </row>
    <row r="906" spans="1:12" x14ac:dyDescent="0.35">
      <c r="A906" s="11">
        <v>905</v>
      </c>
      <c r="B906" s="17">
        <v>46043.443692129629</v>
      </c>
      <c r="C906" s="18">
        <v>46043</v>
      </c>
      <c r="D906" s="10" t="s">
        <v>394</v>
      </c>
      <c r="E906" s="14">
        <v>5000</v>
      </c>
      <c r="F906" s="5">
        <v>0</v>
      </c>
      <c r="G906" s="5">
        <v>66200.63</v>
      </c>
      <c r="H906" s="10" t="s">
        <v>51</v>
      </c>
      <c r="I906" s="10" t="s">
        <v>52</v>
      </c>
      <c r="J906" s="10" t="s">
        <v>32</v>
      </c>
      <c r="K906" s="10" t="s">
        <v>25</v>
      </c>
      <c r="L906" s="10" t="s">
        <v>2210</v>
      </c>
    </row>
    <row r="907" spans="1:12" x14ac:dyDescent="0.35">
      <c r="A907" s="9">
        <v>906</v>
      </c>
      <c r="B907" s="19">
        <v>46044.058518518519</v>
      </c>
      <c r="C907" s="20">
        <v>46044</v>
      </c>
      <c r="D907" s="8" t="s">
        <v>2527</v>
      </c>
      <c r="E907" s="3">
        <v>0</v>
      </c>
      <c r="F907" s="13">
        <v>22.81</v>
      </c>
      <c r="G907" s="3">
        <v>66223.44</v>
      </c>
      <c r="H907" s="8" t="s">
        <v>51</v>
      </c>
      <c r="I907" s="8" t="s">
        <v>71</v>
      </c>
      <c r="J907" s="8" t="s">
        <v>32</v>
      </c>
      <c r="K907" s="8" t="s">
        <v>25</v>
      </c>
      <c r="L907" s="8" t="s">
        <v>2800</v>
      </c>
    </row>
    <row r="908" spans="1:12" x14ac:dyDescent="0.35">
      <c r="A908" s="11">
        <v>907</v>
      </c>
      <c r="B908" s="17">
        <v>46045.11310185185</v>
      </c>
      <c r="C908" s="18">
        <v>46045</v>
      </c>
      <c r="D908" s="10" t="s">
        <v>2527</v>
      </c>
      <c r="E908" s="5">
        <v>0</v>
      </c>
      <c r="F908" s="15">
        <v>22.81</v>
      </c>
      <c r="G908" s="5">
        <v>66246.25</v>
      </c>
      <c r="H908" s="10" t="s">
        <v>51</v>
      </c>
      <c r="I908" s="10" t="s">
        <v>71</v>
      </c>
      <c r="J908" s="10" t="s">
        <v>32</v>
      </c>
      <c r="K908" s="10" t="s">
        <v>25</v>
      </c>
      <c r="L908" s="10" t="s">
        <v>2801</v>
      </c>
    </row>
    <row r="909" spans="1:12" x14ac:dyDescent="0.35">
      <c r="A909" s="9">
        <v>908</v>
      </c>
      <c r="B909" s="19">
        <v>46045.55159722222</v>
      </c>
      <c r="C909" s="20">
        <v>46045</v>
      </c>
      <c r="D909" s="8" t="s">
        <v>394</v>
      </c>
      <c r="E909" s="12">
        <v>4500</v>
      </c>
      <c r="F909" s="3">
        <v>0</v>
      </c>
      <c r="G909" s="3">
        <v>61746.25</v>
      </c>
      <c r="H909" s="8" t="s">
        <v>51</v>
      </c>
      <c r="I909" s="8" t="s">
        <v>52</v>
      </c>
      <c r="J909" s="8" t="s">
        <v>32</v>
      </c>
      <c r="K909" s="8" t="s">
        <v>25</v>
      </c>
      <c r="L909" s="8" t="s">
        <v>2213</v>
      </c>
    </row>
    <row r="910" spans="1:12" x14ac:dyDescent="0.35">
      <c r="A910" s="11">
        <v>909</v>
      </c>
      <c r="B910" s="17">
        <v>46046.060300925928</v>
      </c>
      <c r="C910" s="18">
        <v>46046</v>
      </c>
      <c r="D910" s="10" t="s">
        <v>2527</v>
      </c>
      <c r="E910" s="5">
        <v>0</v>
      </c>
      <c r="F910" s="15">
        <v>21.27</v>
      </c>
      <c r="G910" s="5">
        <v>61767.519999999997</v>
      </c>
      <c r="H910" s="10" t="s">
        <v>51</v>
      </c>
      <c r="I910" s="10" t="s">
        <v>71</v>
      </c>
      <c r="J910" s="10" t="s">
        <v>32</v>
      </c>
      <c r="K910" s="10" t="s">
        <v>25</v>
      </c>
      <c r="L910" s="10" t="s">
        <v>2802</v>
      </c>
    </row>
    <row r="911" spans="1:12" x14ac:dyDescent="0.35">
      <c r="A911" s="9">
        <v>910</v>
      </c>
      <c r="B911" s="19">
        <v>46047.114189814813</v>
      </c>
      <c r="C911" s="20">
        <v>46047</v>
      </c>
      <c r="D911" s="8" t="s">
        <v>2527</v>
      </c>
      <c r="E911" s="3">
        <v>0</v>
      </c>
      <c r="F911" s="13">
        <v>21.27</v>
      </c>
      <c r="G911" s="3">
        <v>61788.79</v>
      </c>
      <c r="H911" s="8" t="s">
        <v>51</v>
      </c>
      <c r="I911" s="8" t="s">
        <v>71</v>
      </c>
      <c r="J911" s="8" t="s">
        <v>32</v>
      </c>
      <c r="K911" s="8" t="s">
        <v>25</v>
      </c>
      <c r="L911" s="8" t="s">
        <v>2803</v>
      </c>
    </row>
    <row r="912" spans="1:12" x14ac:dyDescent="0.35">
      <c r="A912" s="11">
        <v>911</v>
      </c>
      <c r="B912" s="17">
        <v>46047.285185185188</v>
      </c>
      <c r="C912" s="18">
        <v>46047</v>
      </c>
      <c r="D912" s="10" t="s">
        <v>394</v>
      </c>
      <c r="E912" s="14">
        <v>890</v>
      </c>
      <c r="F912" s="5">
        <v>0</v>
      </c>
      <c r="G912" s="5">
        <v>60898.79</v>
      </c>
      <c r="H912" s="10" t="s">
        <v>51</v>
      </c>
      <c r="I912" s="10" t="s">
        <v>52</v>
      </c>
      <c r="J912" s="10" t="s">
        <v>32</v>
      </c>
      <c r="K912" s="10" t="s">
        <v>25</v>
      </c>
      <c r="L912" s="10" t="s">
        <v>2215</v>
      </c>
    </row>
    <row r="913" spans="1:12" x14ac:dyDescent="0.35">
      <c r="A913" s="9">
        <v>912</v>
      </c>
      <c r="B913" s="19">
        <v>46047.437731481477</v>
      </c>
      <c r="C913" s="20">
        <v>46047</v>
      </c>
      <c r="D913" s="8" t="s">
        <v>394</v>
      </c>
      <c r="E913" s="12">
        <v>600</v>
      </c>
      <c r="F913" s="3">
        <v>0</v>
      </c>
      <c r="G913" s="3">
        <v>60298.79</v>
      </c>
      <c r="H913" s="8" t="s">
        <v>51</v>
      </c>
      <c r="I913" s="8" t="s">
        <v>52</v>
      </c>
      <c r="J913" s="8" t="s">
        <v>32</v>
      </c>
      <c r="K913" s="8" t="s">
        <v>25</v>
      </c>
      <c r="L913" s="8" t="s">
        <v>2218</v>
      </c>
    </row>
    <row r="914" spans="1:12" x14ac:dyDescent="0.35">
      <c r="A914" s="11">
        <v>913</v>
      </c>
      <c r="B914" s="17">
        <v>46047.562615740739</v>
      </c>
      <c r="C914" s="18">
        <v>46047</v>
      </c>
      <c r="D914" s="10" t="s">
        <v>394</v>
      </c>
      <c r="E914" s="14">
        <v>2100</v>
      </c>
      <c r="F914" s="5">
        <v>0</v>
      </c>
      <c r="G914" s="5">
        <v>58198.79</v>
      </c>
      <c r="H914" s="10" t="s">
        <v>51</v>
      </c>
      <c r="I914" s="10" t="s">
        <v>52</v>
      </c>
      <c r="J914" s="10" t="s">
        <v>32</v>
      </c>
      <c r="K914" s="10" t="s">
        <v>25</v>
      </c>
      <c r="L914" s="10" t="s">
        <v>2221</v>
      </c>
    </row>
    <row r="915" spans="1:12" x14ac:dyDescent="0.35">
      <c r="A915" s="9">
        <v>914</v>
      </c>
      <c r="B915" s="19">
        <v>46048.061284722222</v>
      </c>
      <c r="C915" s="20">
        <v>46048</v>
      </c>
      <c r="D915" s="8" t="s">
        <v>2527</v>
      </c>
      <c r="E915" s="3">
        <v>0</v>
      </c>
      <c r="F915" s="13">
        <v>20.05</v>
      </c>
      <c r="G915" s="3">
        <v>58218.84</v>
      </c>
      <c r="H915" s="8" t="s">
        <v>51</v>
      </c>
      <c r="I915" s="8" t="s">
        <v>71</v>
      </c>
      <c r="J915" s="8" t="s">
        <v>32</v>
      </c>
      <c r="K915" s="8" t="s">
        <v>25</v>
      </c>
      <c r="L915" s="8" t="s">
        <v>2804</v>
      </c>
    </row>
    <row r="916" spans="1:12" x14ac:dyDescent="0.35">
      <c r="A916" s="11">
        <v>915</v>
      </c>
      <c r="B916" s="17">
        <v>46048.333460648151</v>
      </c>
      <c r="C916" s="18">
        <v>46048</v>
      </c>
      <c r="D916" s="10" t="s">
        <v>394</v>
      </c>
      <c r="E916" s="14">
        <v>891</v>
      </c>
      <c r="F916" s="5">
        <v>0</v>
      </c>
      <c r="G916" s="5">
        <v>57327.839999999997</v>
      </c>
      <c r="H916" s="10" t="s">
        <v>51</v>
      </c>
      <c r="I916" s="10" t="s">
        <v>52</v>
      </c>
      <c r="J916" s="10" t="s">
        <v>32</v>
      </c>
      <c r="K916" s="10" t="s">
        <v>25</v>
      </c>
      <c r="L916" s="10" t="s">
        <v>2223</v>
      </c>
    </row>
    <row r="917" spans="1:12" x14ac:dyDescent="0.35">
      <c r="A917" s="9">
        <v>916</v>
      </c>
      <c r="B917" s="19">
        <v>46048.598553240743</v>
      </c>
      <c r="C917" s="20">
        <v>46048</v>
      </c>
      <c r="D917" s="8" t="s">
        <v>394</v>
      </c>
      <c r="E917" s="12">
        <v>9500</v>
      </c>
      <c r="F917" s="3">
        <v>0</v>
      </c>
      <c r="G917" s="3">
        <v>47827.839999999997</v>
      </c>
      <c r="H917" s="8" t="s">
        <v>51</v>
      </c>
      <c r="I917" s="8" t="s">
        <v>52</v>
      </c>
      <c r="J917" s="8" t="s">
        <v>32</v>
      </c>
      <c r="K917" s="8" t="s">
        <v>25</v>
      </c>
      <c r="L917" s="8" t="s">
        <v>2226</v>
      </c>
    </row>
    <row r="918" spans="1:12" x14ac:dyDescent="0.35">
      <c r="A918" s="11">
        <v>917</v>
      </c>
      <c r="B918" s="17">
        <v>46048.606562499997</v>
      </c>
      <c r="C918" s="18">
        <v>46048</v>
      </c>
      <c r="D918" s="10" t="s">
        <v>394</v>
      </c>
      <c r="E918" s="14">
        <v>1000</v>
      </c>
      <c r="F918" s="5">
        <v>0</v>
      </c>
      <c r="G918" s="5">
        <v>46827.839999999997</v>
      </c>
      <c r="H918" s="10" t="s">
        <v>51</v>
      </c>
      <c r="I918" s="10" t="s">
        <v>52</v>
      </c>
      <c r="J918" s="10" t="s">
        <v>32</v>
      </c>
      <c r="K918" s="10" t="s">
        <v>25</v>
      </c>
      <c r="L918" s="10" t="s">
        <v>2229</v>
      </c>
    </row>
    <row r="919" spans="1:12" x14ac:dyDescent="0.35">
      <c r="A919" s="9">
        <v>918</v>
      </c>
      <c r="B919" s="19">
        <v>46048.626296296286</v>
      </c>
      <c r="C919" s="20">
        <v>46048</v>
      </c>
      <c r="D919" s="8" t="s">
        <v>394</v>
      </c>
      <c r="E919" s="12">
        <v>2500</v>
      </c>
      <c r="F919" s="3">
        <v>0</v>
      </c>
      <c r="G919" s="3">
        <v>44327.839999999997</v>
      </c>
      <c r="H919" s="8" t="s">
        <v>51</v>
      </c>
      <c r="I919" s="8" t="s">
        <v>52</v>
      </c>
      <c r="J919" s="8" t="s">
        <v>32</v>
      </c>
      <c r="K919" s="8" t="s">
        <v>25</v>
      </c>
      <c r="L919" s="8" t="s">
        <v>2232</v>
      </c>
    </row>
    <row r="920" spans="1:12" x14ac:dyDescent="0.35">
      <c r="A920" s="11">
        <v>919</v>
      </c>
      <c r="B920" s="17">
        <v>46049.108912037038</v>
      </c>
      <c r="C920" s="18">
        <v>46049</v>
      </c>
      <c r="D920" s="10" t="s">
        <v>2527</v>
      </c>
      <c r="E920" s="5">
        <v>0</v>
      </c>
      <c r="F920" s="15">
        <v>15.27</v>
      </c>
      <c r="G920" s="5">
        <v>44343.11</v>
      </c>
      <c r="H920" s="10" t="s">
        <v>51</v>
      </c>
      <c r="I920" s="10" t="s">
        <v>71</v>
      </c>
      <c r="J920" s="10" t="s">
        <v>32</v>
      </c>
      <c r="K920" s="10" t="s">
        <v>25</v>
      </c>
      <c r="L920" s="10" t="s">
        <v>2805</v>
      </c>
    </row>
    <row r="921" spans="1:12" x14ac:dyDescent="0.35">
      <c r="A921" s="9">
        <v>920</v>
      </c>
      <c r="B921" s="19">
        <v>46050.06521990741</v>
      </c>
      <c r="C921" s="20">
        <v>46050</v>
      </c>
      <c r="D921" s="8" t="s">
        <v>2527</v>
      </c>
      <c r="E921" s="3">
        <v>0</v>
      </c>
      <c r="F921" s="13">
        <v>15.27</v>
      </c>
      <c r="G921" s="3">
        <v>44358.38</v>
      </c>
      <c r="H921" s="8" t="s">
        <v>51</v>
      </c>
      <c r="I921" s="8" t="s">
        <v>71</v>
      </c>
      <c r="J921" s="8" t="s">
        <v>32</v>
      </c>
      <c r="K921" s="8" t="s">
        <v>25</v>
      </c>
      <c r="L921" s="8" t="s">
        <v>2806</v>
      </c>
    </row>
    <row r="922" spans="1:12" x14ac:dyDescent="0.35">
      <c r="A922" s="11">
        <v>921</v>
      </c>
      <c r="B922" s="17">
        <v>46051.116331018522</v>
      </c>
      <c r="C922" s="18">
        <v>46051</v>
      </c>
      <c r="D922" s="10" t="s">
        <v>2527</v>
      </c>
      <c r="E922" s="5">
        <v>0</v>
      </c>
      <c r="F922" s="15">
        <v>15.28</v>
      </c>
      <c r="G922" s="5">
        <v>44373.66</v>
      </c>
      <c r="H922" s="10" t="s">
        <v>51</v>
      </c>
      <c r="I922" s="10" t="s">
        <v>71</v>
      </c>
      <c r="J922" s="10" t="s">
        <v>32</v>
      </c>
      <c r="K922" s="10" t="s">
        <v>25</v>
      </c>
      <c r="L922" s="10" t="s">
        <v>2807</v>
      </c>
    </row>
    <row r="923" spans="1:12" x14ac:dyDescent="0.35">
      <c r="A923" s="9">
        <v>922</v>
      </c>
      <c r="B923" s="19">
        <v>46051.321840277778</v>
      </c>
      <c r="C923" s="20">
        <v>46051</v>
      </c>
      <c r="D923" s="8" t="s">
        <v>394</v>
      </c>
      <c r="E923" s="12">
        <v>891</v>
      </c>
      <c r="F923" s="3">
        <v>0</v>
      </c>
      <c r="G923" s="3">
        <v>43482.66</v>
      </c>
      <c r="H923" s="8" t="s">
        <v>51</v>
      </c>
      <c r="I923" s="8" t="s">
        <v>52</v>
      </c>
      <c r="J923" s="8" t="s">
        <v>32</v>
      </c>
      <c r="K923" s="8" t="s">
        <v>25</v>
      </c>
      <c r="L923" s="8" t="s">
        <v>2234</v>
      </c>
    </row>
    <row r="924" spans="1:12" x14ac:dyDescent="0.35">
      <c r="A924" s="11">
        <v>923</v>
      </c>
      <c r="B924" s="17">
        <v>46051.386400462958</v>
      </c>
      <c r="C924" s="18">
        <v>46051</v>
      </c>
      <c r="D924" s="10" t="s">
        <v>394</v>
      </c>
      <c r="E924" s="14">
        <v>3000</v>
      </c>
      <c r="F924" s="5">
        <v>0</v>
      </c>
      <c r="G924" s="5">
        <v>40482.660000000003</v>
      </c>
      <c r="H924" s="10" t="s">
        <v>51</v>
      </c>
      <c r="I924" s="10" t="s">
        <v>52</v>
      </c>
      <c r="J924" s="10" t="s">
        <v>32</v>
      </c>
      <c r="K924" s="10" t="s">
        <v>25</v>
      </c>
      <c r="L924" s="10" t="s">
        <v>2236</v>
      </c>
    </row>
    <row r="925" spans="1:12" x14ac:dyDescent="0.35">
      <c r="A925" s="9">
        <v>924</v>
      </c>
      <c r="B925" s="19">
        <v>46051.409918981481</v>
      </c>
      <c r="C925" s="20">
        <v>46051</v>
      </c>
      <c r="D925" s="8" t="s">
        <v>394</v>
      </c>
      <c r="E925" s="12">
        <v>2000</v>
      </c>
      <c r="F925" s="3">
        <v>0</v>
      </c>
      <c r="G925" s="3">
        <v>38482.660000000003</v>
      </c>
      <c r="H925" s="8" t="s">
        <v>51</v>
      </c>
      <c r="I925" s="8" t="s">
        <v>52</v>
      </c>
      <c r="J925" s="8" t="s">
        <v>32</v>
      </c>
      <c r="K925" s="8" t="s">
        <v>25</v>
      </c>
      <c r="L925" s="8" t="s">
        <v>2238</v>
      </c>
    </row>
    <row r="926" spans="1:12" x14ac:dyDescent="0.35">
      <c r="A926" s="11">
        <v>925</v>
      </c>
      <c r="B926" s="17">
        <v>46051.688136574077</v>
      </c>
      <c r="C926" s="18">
        <v>46051</v>
      </c>
      <c r="D926" s="10" t="s">
        <v>426</v>
      </c>
      <c r="E926" s="5">
        <v>0</v>
      </c>
      <c r="F926" s="15">
        <v>13000</v>
      </c>
      <c r="G926" s="5">
        <v>51482.66</v>
      </c>
      <c r="H926" s="10" t="s">
        <v>51</v>
      </c>
      <c r="I926" s="10" t="s">
        <v>71</v>
      </c>
      <c r="J926" s="10" t="s">
        <v>32</v>
      </c>
      <c r="K926" s="10" t="s">
        <v>25</v>
      </c>
      <c r="L926" s="10" t="s">
        <v>2241</v>
      </c>
    </row>
    <row r="927" spans="1:12" x14ac:dyDescent="0.35">
      <c r="A927" s="9">
        <v>926</v>
      </c>
      <c r="B927" s="19">
        <v>46052.065717592603</v>
      </c>
      <c r="C927" s="20">
        <v>46052</v>
      </c>
      <c r="D927" s="8" t="s">
        <v>2527</v>
      </c>
      <c r="E927" s="3">
        <v>0</v>
      </c>
      <c r="F927" s="13">
        <v>13.25</v>
      </c>
      <c r="G927" s="3">
        <v>51495.91</v>
      </c>
      <c r="H927" s="8" t="s">
        <v>51</v>
      </c>
      <c r="I927" s="8" t="s">
        <v>71</v>
      </c>
      <c r="J927" s="8" t="s">
        <v>32</v>
      </c>
      <c r="K927" s="8" t="s">
        <v>25</v>
      </c>
      <c r="L927" s="8" t="s">
        <v>2808</v>
      </c>
    </row>
    <row r="928" spans="1:12" x14ac:dyDescent="0.35">
      <c r="A928" s="11">
        <v>927</v>
      </c>
      <c r="B928" s="17">
        <v>46052.539143518523</v>
      </c>
      <c r="C928" s="18">
        <v>46052</v>
      </c>
      <c r="D928" s="10" t="s">
        <v>394</v>
      </c>
      <c r="E928" s="14">
        <v>1000</v>
      </c>
      <c r="F928" s="5">
        <v>0</v>
      </c>
      <c r="G928" s="5">
        <v>50495.91</v>
      </c>
      <c r="H928" s="10" t="s">
        <v>51</v>
      </c>
      <c r="I928" s="10" t="s">
        <v>52</v>
      </c>
      <c r="J928" s="10" t="s">
        <v>32</v>
      </c>
      <c r="K928" s="10" t="s">
        <v>25</v>
      </c>
      <c r="L928" s="10" t="s">
        <v>2244</v>
      </c>
    </row>
    <row r="929" spans="1:12" x14ac:dyDescent="0.35">
      <c r="A929" s="9">
        <v>928</v>
      </c>
      <c r="B929" s="19">
        <v>46052.651064814818</v>
      </c>
      <c r="C929" s="20">
        <v>46052</v>
      </c>
      <c r="D929" s="8" t="s">
        <v>394</v>
      </c>
      <c r="E929" s="12">
        <v>2000</v>
      </c>
      <c r="F929" s="3">
        <v>0</v>
      </c>
      <c r="G929" s="3">
        <v>48495.91</v>
      </c>
      <c r="H929" s="8" t="s">
        <v>51</v>
      </c>
      <c r="I929" s="8" t="s">
        <v>52</v>
      </c>
      <c r="J929" s="8" t="s">
        <v>32</v>
      </c>
      <c r="K929" s="8" t="s">
        <v>25</v>
      </c>
      <c r="L929" s="8" t="s">
        <v>2247</v>
      </c>
    </row>
    <row r="930" spans="1:12" x14ac:dyDescent="0.35">
      <c r="A930" s="11">
        <v>929</v>
      </c>
      <c r="B930" s="17">
        <v>46052.655115740738</v>
      </c>
      <c r="C930" s="18">
        <v>46052</v>
      </c>
      <c r="D930" s="10" t="s">
        <v>394</v>
      </c>
      <c r="E930" s="14">
        <v>2500</v>
      </c>
      <c r="F930" s="5">
        <v>0</v>
      </c>
      <c r="G930" s="5">
        <v>45995.91</v>
      </c>
      <c r="H930" s="10" t="s">
        <v>51</v>
      </c>
      <c r="I930" s="10" t="s">
        <v>52</v>
      </c>
      <c r="J930" s="10" t="s">
        <v>32</v>
      </c>
      <c r="K930" s="10" t="s">
        <v>25</v>
      </c>
      <c r="L930" s="10" t="s">
        <v>2250</v>
      </c>
    </row>
    <row r="931" spans="1:12" x14ac:dyDescent="0.35">
      <c r="A931" s="9">
        <v>930</v>
      </c>
      <c r="B931" s="19">
        <v>46052.655740740738</v>
      </c>
      <c r="C931" s="20">
        <v>46052</v>
      </c>
      <c r="D931" s="8" t="s">
        <v>394</v>
      </c>
      <c r="E931" s="12">
        <v>1500</v>
      </c>
      <c r="F931" s="3">
        <v>0</v>
      </c>
      <c r="G931" s="3">
        <v>44495.91</v>
      </c>
      <c r="H931" s="8" t="s">
        <v>51</v>
      </c>
      <c r="I931" s="8" t="s">
        <v>52</v>
      </c>
      <c r="J931" s="8" t="s">
        <v>32</v>
      </c>
      <c r="K931" s="8" t="s">
        <v>25</v>
      </c>
      <c r="L931" s="8" t="s">
        <v>2253</v>
      </c>
    </row>
    <row r="932" spans="1:12" x14ac:dyDescent="0.35">
      <c r="A932" s="11">
        <v>931</v>
      </c>
      <c r="B932" s="17">
        <v>46052.796886574077</v>
      </c>
      <c r="C932" s="18">
        <v>46052</v>
      </c>
      <c r="D932" s="10" t="s">
        <v>394</v>
      </c>
      <c r="E932" s="14">
        <v>50</v>
      </c>
      <c r="F932" s="5">
        <v>0</v>
      </c>
      <c r="G932" s="5">
        <v>44445.91</v>
      </c>
      <c r="H932" s="10" t="s">
        <v>51</v>
      </c>
      <c r="I932" s="10" t="s">
        <v>52</v>
      </c>
      <c r="J932" s="10" t="s">
        <v>32</v>
      </c>
      <c r="K932" s="10" t="s">
        <v>25</v>
      </c>
      <c r="L932" s="10" t="s">
        <v>2258</v>
      </c>
    </row>
    <row r="933" spans="1:12" x14ac:dyDescent="0.35">
      <c r="A933" s="9">
        <v>932</v>
      </c>
      <c r="B933" s="19">
        <v>46053.112129629633</v>
      </c>
      <c r="C933" s="20">
        <v>46053</v>
      </c>
      <c r="D933" s="8" t="s">
        <v>2527</v>
      </c>
      <c r="E933" s="3">
        <v>0</v>
      </c>
      <c r="F933" s="13">
        <v>15.31</v>
      </c>
      <c r="G933" s="3">
        <v>44461.22</v>
      </c>
      <c r="H933" s="8" t="s">
        <v>51</v>
      </c>
      <c r="I933" s="8" t="s">
        <v>71</v>
      </c>
      <c r="J933" s="8" t="s">
        <v>32</v>
      </c>
      <c r="K933" s="8" t="s">
        <v>25</v>
      </c>
      <c r="L933" s="8" t="s">
        <v>2809</v>
      </c>
    </row>
    <row r="934" spans="1:12" x14ac:dyDescent="0.35">
      <c r="A934" s="11">
        <v>933</v>
      </c>
      <c r="B934" s="17">
        <v>46053.565636574072</v>
      </c>
      <c r="C934" s="18">
        <v>46053</v>
      </c>
      <c r="D934" s="10" t="s">
        <v>394</v>
      </c>
      <c r="E934" s="14">
        <v>3100</v>
      </c>
      <c r="F934" s="5">
        <v>0</v>
      </c>
      <c r="G934" s="5">
        <v>41361.22</v>
      </c>
      <c r="H934" s="10" t="s">
        <v>51</v>
      </c>
      <c r="I934" s="10" t="s">
        <v>52</v>
      </c>
      <c r="J934" s="10" t="s">
        <v>32</v>
      </c>
      <c r="K934" s="10" t="s">
        <v>25</v>
      </c>
      <c r="L934" s="10" t="s">
        <v>2261</v>
      </c>
    </row>
    <row r="935" spans="1:12" x14ac:dyDescent="0.35">
      <c r="A935" s="9">
        <v>934</v>
      </c>
      <c r="B935" s="19">
        <v>46053.586122685178</v>
      </c>
      <c r="C935" s="20">
        <v>46053</v>
      </c>
      <c r="D935" s="8" t="s">
        <v>394</v>
      </c>
      <c r="E935" s="12">
        <v>1600</v>
      </c>
      <c r="F935" s="3">
        <v>0</v>
      </c>
      <c r="G935" s="3">
        <v>39761.22</v>
      </c>
      <c r="H935" s="8" t="s">
        <v>51</v>
      </c>
      <c r="I935" s="8" t="s">
        <v>52</v>
      </c>
      <c r="J935" s="8" t="s">
        <v>32</v>
      </c>
      <c r="K935" s="8" t="s">
        <v>25</v>
      </c>
      <c r="L935" s="8" t="s">
        <v>2264</v>
      </c>
    </row>
    <row r="936" spans="1:12" x14ac:dyDescent="0.35">
      <c r="A936" s="11">
        <v>935</v>
      </c>
      <c r="B936" s="17">
        <v>46054.067777777767</v>
      </c>
      <c r="C936" s="18">
        <v>46054</v>
      </c>
      <c r="D936" s="10" t="s">
        <v>2527</v>
      </c>
      <c r="E936" s="5">
        <v>0</v>
      </c>
      <c r="F936" s="15">
        <v>13.69</v>
      </c>
      <c r="G936" s="5">
        <v>39774.910000000003</v>
      </c>
      <c r="H936" s="10" t="s">
        <v>51</v>
      </c>
      <c r="I936" s="10" t="s">
        <v>71</v>
      </c>
      <c r="J936" s="10" t="s">
        <v>32</v>
      </c>
      <c r="K936" s="10" t="s">
        <v>26</v>
      </c>
      <c r="L936" s="10" t="s">
        <v>2810</v>
      </c>
    </row>
    <row r="937" spans="1:12" x14ac:dyDescent="0.35">
      <c r="A937" s="9">
        <v>936</v>
      </c>
      <c r="B937" s="19">
        <v>46054.406018518523</v>
      </c>
      <c r="C937" s="20">
        <v>46054</v>
      </c>
      <c r="D937" s="8" t="s">
        <v>394</v>
      </c>
      <c r="E937" s="12">
        <v>300</v>
      </c>
      <c r="F937" s="3">
        <v>0</v>
      </c>
      <c r="G937" s="3">
        <v>39474.910000000003</v>
      </c>
      <c r="H937" s="8" t="s">
        <v>51</v>
      </c>
      <c r="I937" s="8" t="s">
        <v>52</v>
      </c>
      <c r="J937" s="8" t="s">
        <v>32</v>
      </c>
      <c r="K937" s="8" t="s">
        <v>26</v>
      </c>
      <c r="L937" s="8" t="s">
        <v>2267</v>
      </c>
    </row>
    <row r="938" spans="1:12" x14ac:dyDescent="0.35">
      <c r="A938" s="11">
        <v>937</v>
      </c>
      <c r="B938" s="17">
        <v>46054.493807870371</v>
      </c>
      <c r="C938" s="18">
        <v>46054</v>
      </c>
      <c r="D938" s="10" t="s">
        <v>394</v>
      </c>
      <c r="E938" s="14">
        <v>891</v>
      </c>
      <c r="F938" s="5">
        <v>0</v>
      </c>
      <c r="G938" s="5">
        <v>38583.910000000003</v>
      </c>
      <c r="H938" s="10" t="s">
        <v>51</v>
      </c>
      <c r="I938" s="10" t="s">
        <v>52</v>
      </c>
      <c r="J938" s="10" t="s">
        <v>32</v>
      </c>
      <c r="K938" s="10" t="s">
        <v>26</v>
      </c>
      <c r="L938" s="10" t="s">
        <v>2269</v>
      </c>
    </row>
    <row r="939" spans="1:12" x14ac:dyDescent="0.35">
      <c r="A939" s="9">
        <v>938</v>
      </c>
      <c r="B939" s="19">
        <v>46054.53087962963</v>
      </c>
      <c r="C939" s="20">
        <v>46054</v>
      </c>
      <c r="D939" s="8" t="s">
        <v>394</v>
      </c>
      <c r="E939" s="12">
        <v>2010</v>
      </c>
      <c r="F939" s="3">
        <v>0</v>
      </c>
      <c r="G939" s="3">
        <v>36573.910000000003</v>
      </c>
      <c r="H939" s="8" t="s">
        <v>51</v>
      </c>
      <c r="I939" s="8" t="s">
        <v>52</v>
      </c>
      <c r="J939" s="8" t="s">
        <v>32</v>
      </c>
      <c r="K939" s="8" t="s">
        <v>26</v>
      </c>
      <c r="L939" s="8" t="s">
        <v>2272</v>
      </c>
    </row>
    <row r="940" spans="1:12" x14ac:dyDescent="0.35">
      <c r="A940" s="11">
        <v>939</v>
      </c>
      <c r="B940" s="17">
        <v>46055.105057870373</v>
      </c>
      <c r="C940" s="18">
        <v>46055</v>
      </c>
      <c r="D940" s="10" t="s">
        <v>2527</v>
      </c>
      <c r="E940" s="5">
        <v>0</v>
      </c>
      <c r="F940" s="15">
        <v>12.6</v>
      </c>
      <c r="G940" s="5">
        <v>36586.51</v>
      </c>
      <c r="H940" s="10" t="s">
        <v>51</v>
      </c>
      <c r="I940" s="10" t="s">
        <v>71</v>
      </c>
      <c r="J940" s="10" t="s">
        <v>32</v>
      </c>
      <c r="K940" s="10" t="s">
        <v>26</v>
      </c>
      <c r="L940" s="10" t="s">
        <v>2811</v>
      </c>
    </row>
    <row r="941" spans="1:12" x14ac:dyDescent="0.35">
      <c r="A941" s="9">
        <v>940</v>
      </c>
      <c r="B941" s="19">
        <v>46055.394513888888</v>
      </c>
      <c r="C941" s="20">
        <v>46055</v>
      </c>
      <c r="D941" s="8" t="s">
        <v>394</v>
      </c>
      <c r="E941" s="12">
        <v>1500</v>
      </c>
      <c r="F941" s="3">
        <v>0</v>
      </c>
      <c r="G941" s="3">
        <v>35086.51</v>
      </c>
      <c r="H941" s="8" t="s">
        <v>51</v>
      </c>
      <c r="I941" s="8" t="s">
        <v>52</v>
      </c>
      <c r="J941" s="8" t="s">
        <v>32</v>
      </c>
      <c r="K941" s="8" t="s">
        <v>26</v>
      </c>
      <c r="L941" s="8" t="s">
        <v>2275</v>
      </c>
    </row>
    <row r="942" spans="1:12" x14ac:dyDescent="0.35">
      <c r="A942" s="11">
        <v>941</v>
      </c>
      <c r="B942" s="17">
        <v>46055.471226851849</v>
      </c>
      <c r="C942" s="18">
        <v>46055</v>
      </c>
      <c r="D942" s="10" t="s">
        <v>394</v>
      </c>
      <c r="E942" s="14">
        <v>30000</v>
      </c>
      <c r="F942" s="5">
        <v>0</v>
      </c>
      <c r="G942" s="5">
        <v>5086.51</v>
      </c>
      <c r="H942" s="10" t="s">
        <v>51</v>
      </c>
      <c r="I942" s="10" t="s">
        <v>52</v>
      </c>
      <c r="J942" s="10" t="s">
        <v>32</v>
      </c>
      <c r="K942" s="10" t="s">
        <v>26</v>
      </c>
      <c r="L942" s="10" t="s">
        <v>2277</v>
      </c>
    </row>
    <row r="943" spans="1:12" x14ac:dyDescent="0.35">
      <c r="A943" s="9">
        <v>942</v>
      </c>
      <c r="B943" s="19">
        <v>46055.471238425933</v>
      </c>
      <c r="C943" s="20">
        <v>46055</v>
      </c>
      <c r="D943" s="8" t="s">
        <v>394</v>
      </c>
      <c r="E943" s="12">
        <v>50</v>
      </c>
      <c r="F943" s="3">
        <v>0</v>
      </c>
      <c r="G943" s="3">
        <v>5036.51</v>
      </c>
      <c r="H943" s="8" t="s">
        <v>51</v>
      </c>
      <c r="I943" s="8" t="s">
        <v>52</v>
      </c>
      <c r="J943" s="8" t="s">
        <v>32</v>
      </c>
      <c r="K943" s="8" t="s">
        <v>26</v>
      </c>
      <c r="L943" s="8" t="s">
        <v>2279</v>
      </c>
    </row>
    <row r="944" spans="1:12" x14ac:dyDescent="0.35">
      <c r="A944" s="11">
        <v>943</v>
      </c>
      <c r="B944" s="17">
        <v>46055.695821759262</v>
      </c>
      <c r="C944" s="18">
        <v>46055</v>
      </c>
      <c r="D944" s="10" t="s">
        <v>426</v>
      </c>
      <c r="E944" s="5">
        <v>0</v>
      </c>
      <c r="F944" s="15">
        <v>55000</v>
      </c>
      <c r="G944" s="5">
        <v>60036.51</v>
      </c>
      <c r="H944" s="10" t="s">
        <v>51</v>
      </c>
      <c r="I944" s="10" t="s">
        <v>71</v>
      </c>
      <c r="J944" s="10" t="s">
        <v>32</v>
      </c>
      <c r="K944" s="10" t="s">
        <v>26</v>
      </c>
      <c r="L944" s="10" t="s">
        <v>2281</v>
      </c>
    </row>
    <row r="945" spans="1:12" x14ac:dyDescent="0.35">
      <c r="A945" s="9">
        <v>944</v>
      </c>
      <c r="B945" s="19">
        <v>46056.065451388888</v>
      </c>
      <c r="C945" s="20">
        <v>46056</v>
      </c>
      <c r="D945" s="8" t="s">
        <v>2527</v>
      </c>
      <c r="E945" s="3">
        <v>0</v>
      </c>
      <c r="F945" s="13">
        <v>1.72</v>
      </c>
      <c r="G945" s="3">
        <v>60038.23</v>
      </c>
      <c r="H945" s="8" t="s">
        <v>51</v>
      </c>
      <c r="I945" s="8" t="s">
        <v>71</v>
      </c>
      <c r="J945" s="8" t="s">
        <v>32</v>
      </c>
      <c r="K945" s="8" t="s">
        <v>26</v>
      </c>
      <c r="L945" s="8" t="s">
        <v>2812</v>
      </c>
    </row>
    <row r="946" spans="1:12" x14ac:dyDescent="0.35">
      <c r="A946" s="11">
        <v>945</v>
      </c>
      <c r="B946" s="17">
        <v>46056.590046296304</v>
      </c>
      <c r="C946" s="18">
        <v>46056</v>
      </c>
      <c r="D946" s="10" t="s">
        <v>394</v>
      </c>
      <c r="E946" s="14">
        <v>5000</v>
      </c>
      <c r="F946" s="5">
        <v>0</v>
      </c>
      <c r="G946" s="5">
        <v>55038.23</v>
      </c>
      <c r="H946" s="10" t="s">
        <v>51</v>
      </c>
      <c r="I946" s="10" t="s">
        <v>52</v>
      </c>
      <c r="J946" s="10" t="s">
        <v>32</v>
      </c>
      <c r="K946" s="10" t="s">
        <v>26</v>
      </c>
      <c r="L946" s="10" t="s">
        <v>2284</v>
      </c>
    </row>
    <row r="947" spans="1:12" x14ac:dyDescent="0.35">
      <c r="A947" s="9">
        <v>946</v>
      </c>
      <c r="B947" s="19">
        <v>46056.751307870371</v>
      </c>
      <c r="C947" s="20">
        <v>46056</v>
      </c>
      <c r="D947" s="8" t="s">
        <v>394</v>
      </c>
      <c r="E947" s="12">
        <v>900</v>
      </c>
      <c r="F947" s="3">
        <v>0</v>
      </c>
      <c r="G947" s="3">
        <v>54138.23</v>
      </c>
      <c r="H947" s="8" t="s">
        <v>51</v>
      </c>
      <c r="I947" s="8" t="s">
        <v>52</v>
      </c>
      <c r="J947" s="8" t="s">
        <v>32</v>
      </c>
      <c r="K947" s="8" t="s">
        <v>26</v>
      </c>
      <c r="L947" s="8" t="s">
        <v>2286</v>
      </c>
    </row>
    <row r="948" spans="1:12" x14ac:dyDescent="0.35">
      <c r="A948" s="11">
        <v>947</v>
      </c>
      <c r="B948" s="17">
        <v>46057.105497685188</v>
      </c>
      <c r="C948" s="18">
        <v>46057</v>
      </c>
      <c r="D948" s="10" t="s">
        <v>2527</v>
      </c>
      <c r="E948" s="5">
        <v>0</v>
      </c>
      <c r="F948" s="15">
        <v>18.649999999999999</v>
      </c>
      <c r="G948" s="5">
        <v>54156.88</v>
      </c>
      <c r="H948" s="10" t="s">
        <v>51</v>
      </c>
      <c r="I948" s="10" t="s">
        <v>71</v>
      </c>
      <c r="J948" s="10" t="s">
        <v>32</v>
      </c>
      <c r="K948" s="10" t="s">
        <v>26</v>
      </c>
      <c r="L948" s="10" t="s">
        <v>2813</v>
      </c>
    </row>
    <row r="949" spans="1:12" x14ac:dyDescent="0.35">
      <c r="A949" s="9">
        <v>948</v>
      </c>
      <c r="B949" s="19">
        <v>46057.427476851852</v>
      </c>
      <c r="C949" s="20">
        <v>46057</v>
      </c>
      <c r="D949" s="8" t="s">
        <v>394</v>
      </c>
      <c r="E949" s="12">
        <v>2000</v>
      </c>
      <c r="F949" s="3">
        <v>0</v>
      </c>
      <c r="G949" s="3">
        <v>52156.88</v>
      </c>
      <c r="H949" s="8" t="s">
        <v>51</v>
      </c>
      <c r="I949" s="8" t="s">
        <v>52</v>
      </c>
      <c r="J949" s="8" t="s">
        <v>32</v>
      </c>
      <c r="K949" s="8" t="s">
        <v>26</v>
      </c>
      <c r="L949" s="8" t="s">
        <v>2289</v>
      </c>
    </row>
    <row r="950" spans="1:12" x14ac:dyDescent="0.35">
      <c r="A950" s="11">
        <v>949</v>
      </c>
      <c r="B950" s="17">
        <v>46058.065335648149</v>
      </c>
      <c r="C950" s="18">
        <v>46058</v>
      </c>
      <c r="D950" s="10" t="s">
        <v>2527</v>
      </c>
      <c r="E950" s="5">
        <v>0</v>
      </c>
      <c r="F950" s="15">
        <v>17.97</v>
      </c>
      <c r="G950" s="5">
        <v>52174.85</v>
      </c>
      <c r="H950" s="10" t="s">
        <v>51</v>
      </c>
      <c r="I950" s="10" t="s">
        <v>71</v>
      </c>
      <c r="J950" s="10" t="s">
        <v>32</v>
      </c>
      <c r="K950" s="10" t="s">
        <v>26</v>
      </c>
      <c r="L950" s="10" t="s">
        <v>2814</v>
      </c>
    </row>
    <row r="951" spans="1:12" x14ac:dyDescent="0.35">
      <c r="A951" s="9">
        <v>950</v>
      </c>
      <c r="B951" s="19">
        <v>46058.377141203702</v>
      </c>
      <c r="C951" s="20">
        <v>46058</v>
      </c>
      <c r="D951" s="8" t="s">
        <v>394</v>
      </c>
      <c r="E951" s="12">
        <v>2500</v>
      </c>
      <c r="F951" s="3">
        <v>0</v>
      </c>
      <c r="G951" s="3">
        <v>49674.85</v>
      </c>
      <c r="H951" s="8" t="s">
        <v>51</v>
      </c>
      <c r="I951" s="8" t="s">
        <v>52</v>
      </c>
      <c r="J951" s="8" t="s">
        <v>32</v>
      </c>
      <c r="K951" s="8" t="s">
        <v>26</v>
      </c>
      <c r="L951" s="8" t="s">
        <v>2291</v>
      </c>
    </row>
    <row r="952" spans="1:12" x14ac:dyDescent="0.35">
      <c r="A952" s="11">
        <v>951</v>
      </c>
      <c r="B952" s="17">
        <v>46058.614976851852</v>
      </c>
      <c r="C952" s="18">
        <v>46058</v>
      </c>
      <c r="D952" s="10" t="s">
        <v>394</v>
      </c>
      <c r="E952" s="14">
        <v>2000</v>
      </c>
      <c r="F952" s="5">
        <v>0</v>
      </c>
      <c r="G952" s="5">
        <v>47674.85</v>
      </c>
      <c r="H952" s="10" t="s">
        <v>51</v>
      </c>
      <c r="I952" s="10" t="s">
        <v>52</v>
      </c>
      <c r="J952" s="10" t="s">
        <v>32</v>
      </c>
      <c r="K952" s="10" t="s">
        <v>26</v>
      </c>
      <c r="L952" s="10" t="s">
        <v>2294</v>
      </c>
    </row>
    <row r="953" spans="1:12" x14ac:dyDescent="0.35">
      <c r="A953" s="9">
        <v>952</v>
      </c>
      <c r="B953" s="19">
        <v>46058.622893518521</v>
      </c>
      <c r="C953" s="20">
        <v>46058</v>
      </c>
      <c r="D953" s="8" t="s">
        <v>426</v>
      </c>
      <c r="E953" s="3">
        <v>0</v>
      </c>
      <c r="F953" s="13">
        <v>2000</v>
      </c>
      <c r="G953" s="3">
        <v>49674.85</v>
      </c>
      <c r="H953" s="8" t="s">
        <v>51</v>
      </c>
      <c r="I953" s="8" t="s">
        <v>71</v>
      </c>
      <c r="J953" s="8" t="s">
        <v>32</v>
      </c>
      <c r="K953" s="8" t="s">
        <v>26</v>
      </c>
      <c r="L953" s="8" t="s">
        <v>2297</v>
      </c>
    </row>
    <row r="954" spans="1:12" x14ac:dyDescent="0.35">
      <c r="A954" s="11">
        <v>953</v>
      </c>
      <c r="B954" s="17">
        <v>46058.677442129629</v>
      </c>
      <c r="C954" s="18">
        <v>46058</v>
      </c>
      <c r="D954" s="10" t="s">
        <v>394</v>
      </c>
      <c r="E954" s="14">
        <v>18970</v>
      </c>
      <c r="F954" s="5">
        <v>0</v>
      </c>
      <c r="G954" s="5">
        <v>30704.85</v>
      </c>
      <c r="H954" s="10" t="s">
        <v>51</v>
      </c>
      <c r="I954" s="10" t="s">
        <v>52</v>
      </c>
      <c r="J954" s="10" t="s">
        <v>32</v>
      </c>
      <c r="K954" s="10" t="s">
        <v>26</v>
      </c>
      <c r="L954" s="10" t="s">
        <v>2301</v>
      </c>
    </row>
    <row r="955" spans="1:12" x14ac:dyDescent="0.35">
      <c r="A955" s="9">
        <v>954</v>
      </c>
      <c r="B955" s="19">
        <v>46058.677453703713</v>
      </c>
      <c r="C955" s="20">
        <v>46058</v>
      </c>
      <c r="D955" s="8" t="s">
        <v>394</v>
      </c>
      <c r="E955" s="12">
        <v>50</v>
      </c>
      <c r="F955" s="3">
        <v>0</v>
      </c>
      <c r="G955" s="3">
        <v>30654.85</v>
      </c>
      <c r="H955" s="8" t="s">
        <v>51</v>
      </c>
      <c r="I955" s="8" t="s">
        <v>52</v>
      </c>
      <c r="J955" s="8" t="s">
        <v>32</v>
      </c>
      <c r="K955" s="8" t="s">
        <v>26</v>
      </c>
      <c r="L955" s="8" t="s">
        <v>2302</v>
      </c>
    </row>
    <row r="956" spans="1:12" x14ac:dyDescent="0.35">
      <c r="A956" s="11">
        <v>955</v>
      </c>
      <c r="B956" s="17">
        <v>46058.762303240743</v>
      </c>
      <c r="C956" s="18">
        <v>46058</v>
      </c>
      <c r="D956" s="10" t="s">
        <v>394</v>
      </c>
      <c r="E956" s="14">
        <v>3000</v>
      </c>
      <c r="F956" s="5">
        <v>0</v>
      </c>
      <c r="G956" s="5">
        <v>27654.85</v>
      </c>
      <c r="H956" s="10" t="s">
        <v>51</v>
      </c>
      <c r="I956" s="10" t="s">
        <v>52</v>
      </c>
      <c r="J956" s="10" t="s">
        <v>32</v>
      </c>
      <c r="K956" s="10" t="s">
        <v>26</v>
      </c>
      <c r="L956" s="10" t="s">
        <v>2305</v>
      </c>
    </row>
    <row r="957" spans="1:12" x14ac:dyDescent="0.35">
      <c r="A957" s="9">
        <v>956</v>
      </c>
      <c r="B957" s="19">
        <v>46058.771412037036</v>
      </c>
      <c r="C957" s="20">
        <v>46058</v>
      </c>
      <c r="D957" s="8" t="s">
        <v>394</v>
      </c>
      <c r="E957" s="12">
        <v>600</v>
      </c>
      <c r="F957" s="3">
        <v>0</v>
      </c>
      <c r="G957" s="3">
        <v>27054.85</v>
      </c>
      <c r="H957" s="8" t="s">
        <v>51</v>
      </c>
      <c r="I957" s="8" t="s">
        <v>52</v>
      </c>
      <c r="J957" s="8" t="s">
        <v>32</v>
      </c>
      <c r="K957" s="8" t="s">
        <v>26</v>
      </c>
      <c r="L957" s="8" t="s">
        <v>2308</v>
      </c>
    </row>
    <row r="958" spans="1:12" x14ac:dyDescent="0.35">
      <c r="A958" s="11">
        <v>957</v>
      </c>
      <c r="B958" s="17">
        <v>46058.78701388889</v>
      </c>
      <c r="C958" s="18">
        <v>46058</v>
      </c>
      <c r="D958" s="10" t="s">
        <v>394</v>
      </c>
      <c r="E958" s="14">
        <v>1060</v>
      </c>
      <c r="F958" s="5">
        <v>0</v>
      </c>
      <c r="G958" s="5">
        <v>25994.85</v>
      </c>
      <c r="H958" s="10" t="s">
        <v>51</v>
      </c>
      <c r="I958" s="10" t="s">
        <v>52</v>
      </c>
      <c r="J958" s="10" t="s">
        <v>32</v>
      </c>
      <c r="K958" s="10" t="s">
        <v>26</v>
      </c>
      <c r="L958" s="10" t="s">
        <v>2311</v>
      </c>
    </row>
    <row r="959" spans="1:12" x14ac:dyDescent="0.35">
      <c r="A959" s="9">
        <v>958</v>
      </c>
      <c r="B959" s="19">
        <v>46059.108090277783</v>
      </c>
      <c r="C959" s="20">
        <v>46059</v>
      </c>
      <c r="D959" s="8" t="s">
        <v>2527</v>
      </c>
      <c r="E959" s="3">
        <v>0</v>
      </c>
      <c r="F959" s="13">
        <v>8.9499999999999993</v>
      </c>
      <c r="G959" s="3">
        <v>26003.8</v>
      </c>
      <c r="H959" s="8" t="s">
        <v>51</v>
      </c>
      <c r="I959" s="8" t="s">
        <v>71</v>
      </c>
      <c r="J959" s="8" t="s">
        <v>32</v>
      </c>
      <c r="K959" s="8" t="s">
        <v>26</v>
      </c>
      <c r="L959" s="8" t="s">
        <v>2815</v>
      </c>
    </row>
    <row r="960" spans="1:12" x14ac:dyDescent="0.35">
      <c r="A960" s="11">
        <v>959</v>
      </c>
      <c r="B960" s="17">
        <v>46059.366400462961</v>
      </c>
      <c r="C960" s="18">
        <v>46059</v>
      </c>
      <c r="D960" s="10" t="s">
        <v>394</v>
      </c>
      <c r="E960" s="14">
        <v>1500</v>
      </c>
      <c r="F960" s="5">
        <v>0</v>
      </c>
      <c r="G960" s="5">
        <v>24503.8</v>
      </c>
      <c r="H960" s="10" t="s">
        <v>51</v>
      </c>
      <c r="I960" s="10" t="s">
        <v>52</v>
      </c>
      <c r="J960" s="10" t="s">
        <v>32</v>
      </c>
      <c r="K960" s="10" t="s">
        <v>26</v>
      </c>
      <c r="L960" s="10" t="s">
        <v>2313</v>
      </c>
    </row>
    <row r="961" spans="1:12" x14ac:dyDescent="0.35">
      <c r="A961" s="9">
        <v>960</v>
      </c>
      <c r="B961" s="19">
        <v>46059.762361111112</v>
      </c>
      <c r="C961" s="20">
        <v>46059</v>
      </c>
      <c r="D961" s="8" t="s">
        <v>394</v>
      </c>
      <c r="E961" s="12">
        <v>2000</v>
      </c>
      <c r="F961" s="3">
        <v>0</v>
      </c>
      <c r="G961" s="3">
        <v>22503.8</v>
      </c>
      <c r="H961" s="8" t="s">
        <v>51</v>
      </c>
      <c r="I961" s="8" t="s">
        <v>52</v>
      </c>
      <c r="J961" s="8" t="s">
        <v>32</v>
      </c>
      <c r="K961" s="8" t="s">
        <v>26</v>
      </c>
      <c r="L961" s="8" t="s">
        <v>2316</v>
      </c>
    </row>
    <row r="962" spans="1:12" x14ac:dyDescent="0.35">
      <c r="A962" s="11">
        <v>961</v>
      </c>
      <c r="B962" s="17">
        <v>46059.864317129628</v>
      </c>
      <c r="C962" s="18">
        <v>46059</v>
      </c>
      <c r="D962" s="10" t="s">
        <v>394</v>
      </c>
      <c r="E962" s="14">
        <v>1964</v>
      </c>
      <c r="F962" s="5">
        <v>0</v>
      </c>
      <c r="G962" s="5">
        <v>20539.8</v>
      </c>
      <c r="H962" s="10" t="s">
        <v>51</v>
      </c>
      <c r="I962" s="10" t="s">
        <v>52</v>
      </c>
      <c r="J962" s="10" t="s">
        <v>32</v>
      </c>
      <c r="K962" s="10" t="s">
        <v>26</v>
      </c>
      <c r="L962" s="10" t="s">
        <v>2319</v>
      </c>
    </row>
    <row r="963" spans="1:12" x14ac:dyDescent="0.35">
      <c r="A963" s="9">
        <v>962</v>
      </c>
      <c r="B963" s="19">
        <v>46060.065462962957</v>
      </c>
      <c r="C963" s="20">
        <v>46060</v>
      </c>
      <c r="D963" s="8" t="s">
        <v>2527</v>
      </c>
      <c r="E963" s="3">
        <v>0</v>
      </c>
      <c r="F963" s="13">
        <v>7.07</v>
      </c>
      <c r="G963" s="3">
        <v>20546.87</v>
      </c>
      <c r="H963" s="8" t="s">
        <v>51</v>
      </c>
      <c r="I963" s="8" t="s">
        <v>71</v>
      </c>
      <c r="J963" s="8" t="s">
        <v>32</v>
      </c>
      <c r="K963" s="8" t="s">
        <v>26</v>
      </c>
      <c r="L963" s="8" t="s">
        <v>2816</v>
      </c>
    </row>
    <row r="964" spans="1:12" x14ac:dyDescent="0.35">
      <c r="A964" s="11">
        <v>963</v>
      </c>
      <c r="B964" s="17">
        <v>46060.643530092602</v>
      </c>
      <c r="C964" s="18">
        <v>46060</v>
      </c>
      <c r="D964" s="10" t="s">
        <v>394</v>
      </c>
      <c r="E964" s="14">
        <v>1500</v>
      </c>
      <c r="F964" s="5">
        <v>0</v>
      </c>
      <c r="G964" s="5">
        <v>19046.87</v>
      </c>
      <c r="H964" s="10" t="s">
        <v>51</v>
      </c>
      <c r="I964" s="10" t="s">
        <v>52</v>
      </c>
      <c r="J964" s="10" t="s">
        <v>32</v>
      </c>
      <c r="K964" s="10" t="s">
        <v>26</v>
      </c>
      <c r="L964" s="10" t="s">
        <v>2322</v>
      </c>
    </row>
    <row r="965" spans="1:12" x14ac:dyDescent="0.35">
      <c r="A965" s="9">
        <v>964</v>
      </c>
      <c r="B965" s="19">
        <v>46060.650138888886</v>
      </c>
      <c r="C965" s="20">
        <v>46060</v>
      </c>
      <c r="D965" s="8" t="s">
        <v>394</v>
      </c>
      <c r="E965" s="12">
        <v>1350</v>
      </c>
      <c r="F965" s="3">
        <v>0</v>
      </c>
      <c r="G965" s="3">
        <v>17696.87</v>
      </c>
      <c r="H965" s="8" t="s">
        <v>51</v>
      </c>
      <c r="I965" s="8" t="s">
        <v>52</v>
      </c>
      <c r="J965" s="8" t="s">
        <v>32</v>
      </c>
      <c r="K965" s="8" t="s">
        <v>26</v>
      </c>
      <c r="L965" s="8" t="s">
        <v>2325</v>
      </c>
    </row>
    <row r="966" spans="1:12" x14ac:dyDescent="0.35">
      <c r="A966" s="11">
        <v>965</v>
      </c>
      <c r="B966" s="17">
        <v>46060.703194444453</v>
      </c>
      <c r="C966" s="18">
        <v>46060</v>
      </c>
      <c r="D966" s="10" t="s">
        <v>394</v>
      </c>
      <c r="E966" s="14">
        <v>2000</v>
      </c>
      <c r="F966" s="5">
        <v>0</v>
      </c>
      <c r="G966" s="5">
        <v>15696.87</v>
      </c>
      <c r="H966" s="10" t="s">
        <v>51</v>
      </c>
      <c r="I966" s="10" t="s">
        <v>52</v>
      </c>
      <c r="J966" s="10" t="s">
        <v>32</v>
      </c>
      <c r="K966" s="10" t="s">
        <v>26</v>
      </c>
      <c r="L966" s="10" t="s">
        <v>2328</v>
      </c>
    </row>
    <row r="967" spans="1:12" x14ac:dyDescent="0.35">
      <c r="A967" s="9">
        <v>966</v>
      </c>
      <c r="B967" s="19">
        <v>46061.105046296303</v>
      </c>
      <c r="C967" s="20">
        <v>46061</v>
      </c>
      <c r="D967" s="8" t="s">
        <v>2527</v>
      </c>
      <c r="E967" s="3">
        <v>0</v>
      </c>
      <c r="F967" s="13">
        <v>5.4</v>
      </c>
      <c r="G967" s="3">
        <v>15702.27</v>
      </c>
      <c r="H967" s="8" t="s">
        <v>51</v>
      </c>
      <c r="I967" s="8" t="s">
        <v>71</v>
      </c>
      <c r="J967" s="8" t="s">
        <v>32</v>
      </c>
      <c r="K967" s="8" t="s">
        <v>26</v>
      </c>
      <c r="L967" s="8" t="s">
        <v>2817</v>
      </c>
    </row>
    <row r="968" spans="1:12" x14ac:dyDescent="0.35">
      <c r="A968" s="11">
        <v>967</v>
      </c>
      <c r="B968" s="17">
        <v>46061.49658564815</v>
      </c>
      <c r="C968" s="18">
        <v>46061</v>
      </c>
      <c r="D968" s="10" t="s">
        <v>394</v>
      </c>
      <c r="E968" s="14">
        <v>1500</v>
      </c>
      <c r="F968" s="5">
        <v>0</v>
      </c>
      <c r="G968" s="5">
        <v>14202.27</v>
      </c>
      <c r="H968" s="10" t="s">
        <v>51</v>
      </c>
      <c r="I968" s="10" t="s">
        <v>52</v>
      </c>
      <c r="J968" s="10" t="s">
        <v>32</v>
      </c>
      <c r="K968" s="10" t="s">
        <v>26</v>
      </c>
      <c r="L968" s="10" t="s">
        <v>2330</v>
      </c>
    </row>
    <row r="969" spans="1:12" x14ac:dyDescent="0.35">
      <c r="A969" s="9">
        <v>968</v>
      </c>
      <c r="B969" s="19">
        <v>46061.53162037037</v>
      </c>
      <c r="C969" s="20">
        <v>46061</v>
      </c>
      <c r="D969" s="8" t="s">
        <v>394</v>
      </c>
      <c r="E969" s="12">
        <v>860</v>
      </c>
      <c r="F969" s="3">
        <v>0</v>
      </c>
      <c r="G969" s="3">
        <v>13342.27</v>
      </c>
      <c r="H969" s="8" t="s">
        <v>51</v>
      </c>
      <c r="I969" s="8" t="s">
        <v>52</v>
      </c>
      <c r="J969" s="8" t="s">
        <v>32</v>
      </c>
      <c r="K969" s="8" t="s">
        <v>26</v>
      </c>
      <c r="L969" s="8" t="s">
        <v>2332</v>
      </c>
    </row>
    <row r="970" spans="1:12" x14ac:dyDescent="0.35">
      <c r="A970" s="11">
        <v>969</v>
      </c>
      <c r="B970" s="17">
        <v>46061.704895833333</v>
      </c>
      <c r="C970" s="18">
        <v>46061</v>
      </c>
      <c r="D970" s="10" t="s">
        <v>394</v>
      </c>
      <c r="E970" s="14">
        <v>1700</v>
      </c>
      <c r="F970" s="5">
        <v>0</v>
      </c>
      <c r="G970" s="5">
        <v>11642.27</v>
      </c>
      <c r="H970" s="10" t="s">
        <v>51</v>
      </c>
      <c r="I970" s="10" t="s">
        <v>52</v>
      </c>
      <c r="J970" s="10" t="s">
        <v>32</v>
      </c>
      <c r="K970" s="10" t="s">
        <v>26</v>
      </c>
      <c r="L970" s="10" t="s">
        <v>2334</v>
      </c>
    </row>
    <row r="971" spans="1:12" x14ac:dyDescent="0.35">
      <c r="A971" s="9">
        <v>970</v>
      </c>
      <c r="B971" s="19">
        <v>46062.065972222219</v>
      </c>
      <c r="C971" s="20">
        <v>46062</v>
      </c>
      <c r="D971" s="8" t="s">
        <v>2527</v>
      </c>
      <c r="E971" s="3">
        <v>0</v>
      </c>
      <c r="F971" s="13">
        <v>4</v>
      </c>
      <c r="G971" s="3">
        <v>11646.27</v>
      </c>
      <c r="H971" s="8" t="s">
        <v>51</v>
      </c>
      <c r="I971" s="8" t="s">
        <v>71</v>
      </c>
      <c r="J971" s="8" t="s">
        <v>32</v>
      </c>
      <c r="K971" s="8" t="s">
        <v>26</v>
      </c>
      <c r="L971" s="8" t="s">
        <v>2818</v>
      </c>
    </row>
    <row r="972" spans="1:12" x14ac:dyDescent="0.35">
      <c r="A972" s="11">
        <v>971</v>
      </c>
      <c r="B972" s="17">
        <v>46062.807962962957</v>
      </c>
      <c r="C972" s="18">
        <v>46062</v>
      </c>
      <c r="D972" s="10" t="s">
        <v>394</v>
      </c>
      <c r="E972" s="14">
        <v>2100</v>
      </c>
      <c r="F972" s="5">
        <v>0</v>
      </c>
      <c r="G972" s="5">
        <v>9546.27</v>
      </c>
      <c r="H972" s="10" t="s">
        <v>51</v>
      </c>
      <c r="I972" s="10" t="s">
        <v>52</v>
      </c>
      <c r="J972" s="10" t="s">
        <v>32</v>
      </c>
      <c r="K972" s="10" t="s">
        <v>26</v>
      </c>
      <c r="L972" s="10" t="s">
        <v>2337</v>
      </c>
    </row>
    <row r="973" spans="1:12" x14ac:dyDescent="0.35">
      <c r="A973" s="9">
        <v>972</v>
      </c>
      <c r="B973" s="19">
        <v>46063.101504629631</v>
      </c>
      <c r="C973" s="20">
        <v>46063</v>
      </c>
      <c r="D973" s="8" t="s">
        <v>2527</v>
      </c>
      <c r="E973" s="3">
        <v>0</v>
      </c>
      <c r="F973" s="13">
        <v>3.28</v>
      </c>
      <c r="G973" s="3">
        <v>9549.5499999999993</v>
      </c>
      <c r="H973" s="8" t="s">
        <v>51</v>
      </c>
      <c r="I973" s="8" t="s">
        <v>71</v>
      </c>
      <c r="J973" s="8" t="s">
        <v>32</v>
      </c>
      <c r="K973" s="8" t="s">
        <v>26</v>
      </c>
      <c r="L973" s="8" t="s">
        <v>2819</v>
      </c>
    </row>
    <row r="974" spans="1:12" x14ac:dyDescent="0.35">
      <c r="A974" s="11">
        <v>973</v>
      </c>
      <c r="B974" s="17">
        <v>46063.378368055557</v>
      </c>
      <c r="C974" s="18">
        <v>46063</v>
      </c>
      <c r="D974" s="10" t="s">
        <v>394</v>
      </c>
      <c r="E974" s="14">
        <v>2000</v>
      </c>
      <c r="F974" s="5">
        <v>0</v>
      </c>
      <c r="G974" s="5">
        <v>7549.55</v>
      </c>
      <c r="H974" s="10" t="s">
        <v>51</v>
      </c>
      <c r="I974" s="10" t="s">
        <v>52</v>
      </c>
      <c r="J974" s="10" t="s">
        <v>32</v>
      </c>
      <c r="K974" s="10" t="s">
        <v>26</v>
      </c>
      <c r="L974" s="10" t="s">
        <v>2339</v>
      </c>
    </row>
    <row r="975" spans="1:12" x14ac:dyDescent="0.35">
      <c r="A975" s="9">
        <v>974</v>
      </c>
      <c r="B975" s="19">
        <v>46063.706643518519</v>
      </c>
      <c r="C975" s="20">
        <v>46063</v>
      </c>
      <c r="D975" s="8" t="s">
        <v>394</v>
      </c>
      <c r="E975" s="12">
        <v>3000</v>
      </c>
      <c r="F975" s="3">
        <v>0</v>
      </c>
      <c r="G975" s="3">
        <v>4549.55</v>
      </c>
      <c r="H975" s="8" t="s">
        <v>51</v>
      </c>
      <c r="I975" s="8" t="s">
        <v>52</v>
      </c>
      <c r="J975" s="8" t="s">
        <v>32</v>
      </c>
      <c r="K975" s="8" t="s">
        <v>26</v>
      </c>
      <c r="L975" s="8" t="s">
        <v>2341</v>
      </c>
    </row>
    <row r="976" spans="1:12" x14ac:dyDescent="0.35">
      <c r="A976" s="11">
        <v>975</v>
      </c>
      <c r="B976" s="17">
        <v>46063.708379629628</v>
      </c>
      <c r="C976" s="18">
        <v>46063</v>
      </c>
      <c r="D976" s="10" t="s">
        <v>426</v>
      </c>
      <c r="E976" s="5">
        <v>0</v>
      </c>
      <c r="F976" s="15">
        <v>6500</v>
      </c>
      <c r="G976" s="5">
        <v>11049.55</v>
      </c>
      <c r="H976" s="10" t="s">
        <v>51</v>
      </c>
      <c r="I976" s="10" t="s">
        <v>71</v>
      </c>
      <c r="J976" s="10" t="s">
        <v>32</v>
      </c>
      <c r="K976" s="10" t="s">
        <v>26</v>
      </c>
      <c r="L976" s="10" t="s">
        <v>2344</v>
      </c>
    </row>
    <row r="977" spans="1:12" x14ac:dyDescent="0.35">
      <c r="A977" s="9">
        <v>976</v>
      </c>
      <c r="B977" s="19">
        <v>46063.80228009259</v>
      </c>
      <c r="C977" s="20">
        <v>46063</v>
      </c>
      <c r="D977" s="8" t="s">
        <v>394</v>
      </c>
      <c r="E977" s="12">
        <v>820</v>
      </c>
      <c r="F977" s="3">
        <v>0</v>
      </c>
      <c r="G977" s="3">
        <v>10229.549999999999</v>
      </c>
      <c r="H977" s="8" t="s">
        <v>51</v>
      </c>
      <c r="I977" s="8" t="s">
        <v>52</v>
      </c>
      <c r="J977" s="8" t="s">
        <v>32</v>
      </c>
      <c r="K977" s="8" t="s">
        <v>26</v>
      </c>
      <c r="L977" s="8" t="s">
        <v>2347</v>
      </c>
    </row>
    <row r="978" spans="1:12" x14ac:dyDescent="0.35">
      <c r="A978" s="11">
        <v>977</v>
      </c>
      <c r="B978" s="17">
        <v>46064.067152777781</v>
      </c>
      <c r="C978" s="18">
        <v>46064</v>
      </c>
      <c r="D978" s="10" t="s">
        <v>2527</v>
      </c>
      <c r="E978" s="5">
        <v>0</v>
      </c>
      <c r="F978" s="15">
        <v>1.56</v>
      </c>
      <c r="G978" s="5">
        <v>10231.11</v>
      </c>
      <c r="H978" s="10" t="s">
        <v>51</v>
      </c>
      <c r="I978" s="10" t="s">
        <v>71</v>
      </c>
      <c r="J978" s="10" t="s">
        <v>32</v>
      </c>
      <c r="K978" s="10" t="s">
        <v>26</v>
      </c>
      <c r="L978" s="10" t="s">
        <v>2820</v>
      </c>
    </row>
    <row r="979" spans="1:12" x14ac:dyDescent="0.35">
      <c r="A979" s="9">
        <v>978</v>
      </c>
      <c r="B979" s="19">
        <v>46064.534305555557</v>
      </c>
      <c r="C979" s="20">
        <v>46064</v>
      </c>
      <c r="D979" s="8" t="s">
        <v>394</v>
      </c>
      <c r="E979" s="12">
        <v>3000</v>
      </c>
      <c r="F979" s="3">
        <v>0</v>
      </c>
      <c r="G979" s="3">
        <v>7231.11</v>
      </c>
      <c r="H979" s="8" t="s">
        <v>51</v>
      </c>
      <c r="I979" s="8" t="s">
        <v>52</v>
      </c>
      <c r="J979" s="8" t="s">
        <v>32</v>
      </c>
      <c r="K979" s="8" t="s">
        <v>26</v>
      </c>
      <c r="L979" s="8" t="s">
        <v>2349</v>
      </c>
    </row>
    <row r="980" spans="1:12" x14ac:dyDescent="0.35">
      <c r="A980" s="11">
        <v>979</v>
      </c>
      <c r="B980" s="17">
        <v>46064.636828703697</v>
      </c>
      <c r="C980" s="18">
        <v>46064</v>
      </c>
      <c r="D980" s="10" t="s">
        <v>394</v>
      </c>
      <c r="E980" s="14">
        <v>1100</v>
      </c>
      <c r="F980" s="5">
        <v>0</v>
      </c>
      <c r="G980" s="5">
        <v>6131.11</v>
      </c>
      <c r="H980" s="10" t="s">
        <v>51</v>
      </c>
      <c r="I980" s="10" t="s">
        <v>52</v>
      </c>
      <c r="J980" s="10" t="s">
        <v>32</v>
      </c>
      <c r="K980" s="10" t="s">
        <v>26</v>
      </c>
      <c r="L980" s="10" t="s">
        <v>2352</v>
      </c>
    </row>
    <row r="981" spans="1:12" x14ac:dyDescent="0.35">
      <c r="A981" s="9">
        <v>980</v>
      </c>
      <c r="B981" s="19">
        <v>46064.830879629633</v>
      </c>
      <c r="C981" s="20">
        <v>46064</v>
      </c>
      <c r="D981" s="8" t="s">
        <v>394</v>
      </c>
      <c r="E981" s="12">
        <v>3100</v>
      </c>
      <c r="F981" s="3">
        <v>0</v>
      </c>
      <c r="G981" s="3">
        <v>3031.11</v>
      </c>
      <c r="H981" s="8" t="s">
        <v>51</v>
      </c>
      <c r="I981" s="8" t="s">
        <v>52</v>
      </c>
      <c r="J981" s="8" t="s">
        <v>32</v>
      </c>
      <c r="K981" s="8" t="s">
        <v>26</v>
      </c>
      <c r="L981" s="8" t="s">
        <v>2355</v>
      </c>
    </row>
    <row r="982" spans="1:12" x14ac:dyDescent="0.35">
      <c r="A982" s="11">
        <v>981</v>
      </c>
      <c r="B982" s="17">
        <v>46065.098668981482</v>
      </c>
      <c r="C982" s="18">
        <v>46065</v>
      </c>
      <c r="D982" s="10" t="s">
        <v>2527</v>
      </c>
      <c r="E982" s="5">
        <v>0</v>
      </c>
      <c r="F982" s="15">
        <v>1.04</v>
      </c>
      <c r="G982" s="5">
        <v>3032.15</v>
      </c>
      <c r="H982" s="10" t="s">
        <v>51</v>
      </c>
      <c r="I982" s="10" t="s">
        <v>71</v>
      </c>
      <c r="J982" s="10" t="s">
        <v>32</v>
      </c>
      <c r="K982" s="10" t="s">
        <v>26</v>
      </c>
      <c r="L982" s="10" t="s">
        <v>2821</v>
      </c>
    </row>
    <row r="983" spans="1:12" x14ac:dyDescent="0.35">
      <c r="A983" s="9">
        <v>982</v>
      </c>
      <c r="B983" s="19">
        <v>46065.554537037038</v>
      </c>
      <c r="C983" s="20">
        <v>46065</v>
      </c>
      <c r="D983" s="8" t="s">
        <v>394</v>
      </c>
      <c r="E983" s="12">
        <v>2000</v>
      </c>
      <c r="F983" s="3">
        <v>0</v>
      </c>
      <c r="G983" s="3">
        <v>1032.1500000000001</v>
      </c>
      <c r="H983" s="8" t="s">
        <v>51</v>
      </c>
      <c r="I983" s="8" t="s">
        <v>52</v>
      </c>
      <c r="J983" s="8" t="s">
        <v>32</v>
      </c>
      <c r="K983" s="8" t="s">
        <v>26</v>
      </c>
      <c r="L983" s="8" t="s">
        <v>2357</v>
      </c>
    </row>
    <row r="984" spans="1:12" x14ac:dyDescent="0.35">
      <c r="A984" s="11">
        <v>983</v>
      </c>
      <c r="B984" s="17">
        <v>46066.067453703698</v>
      </c>
      <c r="C984" s="18">
        <v>46066</v>
      </c>
      <c r="D984" s="10" t="s">
        <v>2527</v>
      </c>
      <c r="E984" s="5">
        <v>0</v>
      </c>
      <c r="F984" s="15">
        <v>0.35</v>
      </c>
      <c r="G984" s="5">
        <v>1032.5</v>
      </c>
      <c r="H984" s="10" t="s">
        <v>51</v>
      </c>
      <c r="I984" s="10" t="s">
        <v>71</v>
      </c>
      <c r="J984" s="10" t="s">
        <v>32</v>
      </c>
      <c r="K984" s="10" t="s">
        <v>26</v>
      </c>
      <c r="L984" s="10" t="s">
        <v>2822</v>
      </c>
    </row>
    <row r="985" spans="1:12" x14ac:dyDescent="0.35">
      <c r="A985" s="9">
        <v>984</v>
      </c>
      <c r="B985" s="19">
        <v>46067.100752314807</v>
      </c>
      <c r="C985" s="20">
        <v>46067</v>
      </c>
      <c r="D985" s="8" t="s">
        <v>2527</v>
      </c>
      <c r="E985" s="3">
        <v>0</v>
      </c>
      <c r="F985" s="13">
        <v>0.35</v>
      </c>
      <c r="G985" s="3">
        <v>1032.8499999999999</v>
      </c>
      <c r="H985" s="8" t="s">
        <v>51</v>
      </c>
      <c r="I985" s="8" t="s">
        <v>71</v>
      </c>
      <c r="J985" s="8" t="s">
        <v>32</v>
      </c>
      <c r="K985" s="8" t="s">
        <v>26</v>
      </c>
      <c r="L985" s="8" t="s">
        <v>2823</v>
      </c>
    </row>
    <row r="986" spans="1:12" x14ac:dyDescent="0.35">
      <c r="A986" s="11">
        <v>985</v>
      </c>
      <c r="B986" s="17">
        <v>46068.067997685182</v>
      </c>
      <c r="C986" s="18">
        <v>46068</v>
      </c>
      <c r="D986" s="10" t="s">
        <v>2527</v>
      </c>
      <c r="E986" s="5">
        <v>0</v>
      </c>
      <c r="F986" s="15">
        <v>0.35</v>
      </c>
      <c r="G986" s="5">
        <v>1033.2</v>
      </c>
      <c r="H986" s="10" t="s">
        <v>51</v>
      </c>
      <c r="I986" s="10" t="s">
        <v>71</v>
      </c>
      <c r="J986" s="10" t="s">
        <v>32</v>
      </c>
      <c r="K986" s="10" t="s">
        <v>26</v>
      </c>
      <c r="L986" s="10" t="s">
        <v>2824</v>
      </c>
    </row>
    <row r="987" spans="1:12" x14ac:dyDescent="0.35">
      <c r="A987" s="9">
        <v>986</v>
      </c>
      <c r="B987" s="19">
        <v>46069.098310185182</v>
      </c>
      <c r="C987" s="20">
        <v>46069</v>
      </c>
      <c r="D987" s="8" t="s">
        <v>2527</v>
      </c>
      <c r="E987" s="3">
        <v>0</v>
      </c>
      <c r="F987" s="13">
        <v>0.35</v>
      </c>
      <c r="G987" s="3">
        <v>1033.55</v>
      </c>
      <c r="H987" s="8" t="s">
        <v>51</v>
      </c>
      <c r="I987" s="8" t="s">
        <v>71</v>
      </c>
      <c r="J987" s="8" t="s">
        <v>32</v>
      </c>
      <c r="K987" s="8" t="s">
        <v>26</v>
      </c>
      <c r="L987" s="8" t="s">
        <v>2825</v>
      </c>
    </row>
    <row r="988" spans="1:12" x14ac:dyDescent="0.35">
      <c r="A988" s="11">
        <v>987</v>
      </c>
      <c r="B988" s="17">
        <v>46070.068784722222</v>
      </c>
      <c r="C988" s="18">
        <v>46070</v>
      </c>
      <c r="D988" s="10" t="s">
        <v>2527</v>
      </c>
      <c r="E988" s="5">
        <v>0</v>
      </c>
      <c r="F988" s="15">
        <v>0.35</v>
      </c>
      <c r="G988" s="5">
        <v>1033.9000000000001</v>
      </c>
      <c r="H988" s="10" t="s">
        <v>51</v>
      </c>
      <c r="I988" s="10" t="s">
        <v>71</v>
      </c>
      <c r="J988" s="10" t="s">
        <v>32</v>
      </c>
      <c r="K988" s="10" t="s">
        <v>26</v>
      </c>
      <c r="L988" s="10" t="s">
        <v>2826</v>
      </c>
    </row>
    <row r="989" spans="1:12" x14ac:dyDescent="0.35">
      <c r="A989" s="9">
        <v>988</v>
      </c>
      <c r="B989" s="19">
        <v>46071.098252314812</v>
      </c>
      <c r="C989" s="20">
        <v>46071</v>
      </c>
      <c r="D989" s="8" t="s">
        <v>2527</v>
      </c>
      <c r="E989" s="3">
        <v>0</v>
      </c>
      <c r="F989" s="13">
        <v>0.35</v>
      </c>
      <c r="G989" s="3">
        <v>1034.25</v>
      </c>
      <c r="H989" s="8" t="s">
        <v>51</v>
      </c>
      <c r="I989" s="8" t="s">
        <v>71</v>
      </c>
      <c r="J989" s="8" t="s">
        <v>32</v>
      </c>
      <c r="K989" s="8" t="s">
        <v>26</v>
      </c>
      <c r="L989" s="8" t="s">
        <v>2827</v>
      </c>
    </row>
    <row r="990" spans="1:12" x14ac:dyDescent="0.35">
      <c r="A990" s="11">
        <v>989</v>
      </c>
      <c r="B990" s="17">
        <v>46072.070821759262</v>
      </c>
      <c r="C990" s="18">
        <v>46072</v>
      </c>
      <c r="D990" s="10" t="s">
        <v>2527</v>
      </c>
      <c r="E990" s="5">
        <v>0</v>
      </c>
      <c r="F990" s="15">
        <v>0.35</v>
      </c>
      <c r="G990" s="5">
        <v>1034.5999999999999</v>
      </c>
      <c r="H990" s="10" t="s">
        <v>51</v>
      </c>
      <c r="I990" s="10" t="s">
        <v>71</v>
      </c>
      <c r="J990" s="10" t="s">
        <v>32</v>
      </c>
      <c r="K990" s="10" t="s">
        <v>26</v>
      </c>
      <c r="L990" s="10" t="s">
        <v>2828</v>
      </c>
    </row>
    <row r="991" spans="1:12" x14ac:dyDescent="0.35">
      <c r="A991" s="9">
        <v>990</v>
      </c>
      <c r="B991" s="19">
        <v>46072.728530092587</v>
      </c>
      <c r="C991" s="20">
        <v>46072</v>
      </c>
      <c r="D991" s="8" t="s">
        <v>426</v>
      </c>
      <c r="E991" s="3">
        <v>0</v>
      </c>
      <c r="F991" s="13">
        <v>213000</v>
      </c>
      <c r="G991" s="3">
        <v>214034.6</v>
      </c>
      <c r="H991" s="8" t="s">
        <v>51</v>
      </c>
      <c r="I991" s="8" t="s">
        <v>71</v>
      </c>
      <c r="J991" s="8" t="s">
        <v>32</v>
      </c>
      <c r="K991" s="8" t="s">
        <v>26</v>
      </c>
      <c r="L991" s="8" t="s">
        <v>2360</v>
      </c>
    </row>
    <row r="992" spans="1:12" x14ac:dyDescent="0.35">
      <c r="A992" s="11">
        <v>991</v>
      </c>
      <c r="B992" s="17">
        <v>46072.743946759263</v>
      </c>
      <c r="C992" s="18">
        <v>46072</v>
      </c>
      <c r="D992" s="10" t="s">
        <v>394</v>
      </c>
      <c r="E992" s="14">
        <v>12000</v>
      </c>
      <c r="F992" s="5">
        <v>0</v>
      </c>
      <c r="G992" s="5">
        <v>202034.6</v>
      </c>
      <c r="H992" s="10" t="s">
        <v>51</v>
      </c>
      <c r="I992" s="10" t="s">
        <v>52</v>
      </c>
      <c r="J992" s="10" t="s">
        <v>32</v>
      </c>
      <c r="K992" s="10" t="s">
        <v>26</v>
      </c>
      <c r="L992" s="10" t="s">
        <v>2363</v>
      </c>
    </row>
    <row r="993" spans="1:12" x14ac:dyDescent="0.35">
      <c r="A993" s="9">
        <v>992</v>
      </c>
      <c r="B993" s="19">
        <v>46072.743969907409</v>
      </c>
      <c r="C993" s="20">
        <v>46072</v>
      </c>
      <c r="D993" s="8" t="s">
        <v>394</v>
      </c>
      <c r="E993" s="12">
        <v>50</v>
      </c>
      <c r="F993" s="3">
        <v>0</v>
      </c>
      <c r="G993" s="3">
        <v>201984.6</v>
      </c>
      <c r="H993" s="8" t="s">
        <v>51</v>
      </c>
      <c r="I993" s="8" t="s">
        <v>52</v>
      </c>
      <c r="J993" s="8" t="s">
        <v>32</v>
      </c>
      <c r="K993" s="8" t="s">
        <v>26</v>
      </c>
      <c r="L993" s="8" t="s">
        <v>2365</v>
      </c>
    </row>
    <row r="994" spans="1:12" x14ac:dyDescent="0.35">
      <c r="A994" s="11">
        <v>993</v>
      </c>
      <c r="B994" s="17">
        <v>46072.744895833333</v>
      </c>
      <c r="C994" s="18">
        <v>46072</v>
      </c>
      <c r="D994" s="10" t="s">
        <v>394</v>
      </c>
      <c r="E994" s="14">
        <v>7000</v>
      </c>
      <c r="F994" s="5">
        <v>0</v>
      </c>
      <c r="G994" s="5">
        <v>194984.6</v>
      </c>
      <c r="H994" s="10" t="s">
        <v>51</v>
      </c>
      <c r="I994" s="10" t="s">
        <v>52</v>
      </c>
      <c r="J994" s="10" t="s">
        <v>32</v>
      </c>
      <c r="K994" s="10" t="s">
        <v>26</v>
      </c>
      <c r="L994" s="10" t="s">
        <v>2368</v>
      </c>
    </row>
    <row r="995" spans="1:12" x14ac:dyDescent="0.35">
      <c r="A995" s="9">
        <v>994</v>
      </c>
      <c r="B995" s="19">
        <v>46072.745787037027</v>
      </c>
      <c r="C995" s="20">
        <v>46072</v>
      </c>
      <c r="D995" s="8" t="s">
        <v>394</v>
      </c>
      <c r="E995" s="12">
        <v>7000</v>
      </c>
      <c r="F995" s="3">
        <v>0</v>
      </c>
      <c r="G995" s="3">
        <v>187984.6</v>
      </c>
      <c r="H995" s="8" t="s">
        <v>51</v>
      </c>
      <c r="I995" s="8" t="s">
        <v>52</v>
      </c>
      <c r="J995" s="8" t="s">
        <v>32</v>
      </c>
      <c r="K995" s="8" t="s">
        <v>26</v>
      </c>
      <c r="L995" s="8" t="s">
        <v>2371</v>
      </c>
    </row>
    <row r="996" spans="1:12" x14ac:dyDescent="0.35">
      <c r="A996" s="11">
        <v>995</v>
      </c>
      <c r="B996" s="17">
        <v>46072.746967592589</v>
      </c>
      <c r="C996" s="18">
        <v>46072</v>
      </c>
      <c r="D996" s="10" t="s">
        <v>394</v>
      </c>
      <c r="E996" s="14">
        <v>7000</v>
      </c>
      <c r="F996" s="5">
        <v>0</v>
      </c>
      <c r="G996" s="5">
        <v>180984.6</v>
      </c>
      <c r="H996" s="10" t="s">
        <v>51</v>
      </c>
      <c r="I996" s="10" t="s">
        <v>52</v>
      </c>
      <c r="J996" s="10" t="s">
        <v>32</v>
      </c>
      <c r="K996" s="10" t="s">
        <v>26</v>
      </c>
      <c r="L996" s="10" t="s">
        <v>2374</v>
      </c>
    </row>
    <row r="997" spans="1:12" x14ac:dyDescent="0.35">
      <c r="A997" s="9">
        <v>996</v>
      </c>
      <c r="B997" s="19">
        <v>46072.747997685183</v>
      </c>
      <c r="C997" s="20">
        <v>46072</v>
      </c>
      <c r="D997" s="8" t="s">
        <v>394</v>
      </c>
      <c r="E997" s="12">
        <v>7010</v>
      </c>
      <c r="F997" s="3">
        <v>0</v>
      </c>
      <c r="G997" s="3">
        <v>173974.6</v>
      </c>
      <c r="H997" s="8" t="s">
        <v>51</v>
      </c>
      <c r="I997" s="8" t="s">
        <v>52</v>
      </c>
      <c r="J997" s="8" t="s">
        <v>32</v>
      </c>
      <c r="K997" s="8" t="s">
        <v>26</v>
      </c>
      <c r="L997" s="8" t="s">
        <v>2377</v>
      </c>
    </row>
    <row r="998" spans="1:12" x14ac:dyDescent="0.35">
      <c r="A998" s="11">
        <v>997</v>
      </c>
      <c r="B998" s="17">
        <v>46072.748993055553</v>
      </c>
      <c r="C998" s="18">
        <v>46072</v>
      </c>
      <c r="D998" s="10" t="s">
        <v>394</v>
      </c>
      <c r="E998" s="14">
        <v>7002</v>
      </c>
      <c r="F998" s="5">
        <v>0</v>
      </c>
      <c r="G998" s="5">
        <v>166972.6</v>
      </c>
      <c r="H998" s="10" t="s">
        <v>51</v>
      </c>
      <c r="I998" s="10" t="s">
        <v>52</v>
      </c>
      <c r="J998" s="10" t="s">
        <v>32</v>
      </c>
      <c r="K998" s="10" t="s">
        <v>26</v>
      </c>
      <c r="L998" s="10" t="s">
        <v>2380</v>
      </c>
    </row>
    <row r="999" spans="1:12" x14ac:dyDescent="0.35">
      <c r="A999" s="9">
        <v>998</v>
      </c>
      <c r="B999" s="19">
        <v>46072.750324074077</v>
      </c>
      <c r="C999" s="20">
        <v>46072</v>
      </c>
      <c r="D999" s="8" t="s">
        <v>394</v>
      </c>
      <c r="E999" s="12">
        <v>7010</v>
      </c>
      <c r="F999" s="3">
        <v>0</v>
      </c>
      <c r="G999" s="3">
        <v>159962.6</v>
      </c>
      <c r="H999" s="8" t="s">
        <v>51</v>
      </c>
      <c r="I999" s="8" t="s">
        <v>52</v>
      </c>
      <c r="J999" s="8" t="s">
        <v>32</v>
      </c>
      <c r="K999" s="8" t="s">
        <v>26</v>
      </c>
      <c r="L999" s="8" t="s">
        <v>2383</v>
      </c>
    </row>
    <row r="1000" spans="1:12" x14ac:dyDescent="0.35">
      <c r="A1000" s="11">
        <v>999</v>
      </c>
      <c r="B1000" s="17">
        <v>46072.75105324074</v>
      </c>
      <c r="C1000" s="18">
        <v>46072</v>
      </c>
      <c r="D1000" s="10" t="s">
        <v>394</v>
      </c>
      <c r="E1000" s="14">
        <v>7010</v>
      </c>
      <c r="F1000" s="5">
        <v>0</v>
      </c>
      <c r="G1000" s="5">
        <v>152952.6</v>
      </c>
      <c r="H1000" s="10" t="s">
        <v>51</v>
      </c>
      <c r="I1000" s="10" t="s">
        <v>52</v>
      </c>
      <c r="J1000" s="10" t="s">
        <v>32</v>
      </c>
      <c r="K1000" s="10" t="s">
        <v>26</v>
      </c>
      <c r="L1000" s="10" t="s">
        <v>2386</v>
      </c>
    </row>
    <row r="1001" spans="1:12" x14ac:dyDescent="0.35">
      <c r="A1001" s="9">
        <v>1000</v>
      </c>
      <c r="B1001" s="19">
        <v>46072.752187500002</v>
      </c>
      <c r="C1001" s="20">
        <v>46072</v>
      </c>
      <c r="D1001" s="8" t="s">
        <v>394</v>
      </c>
      <c r="E1001" s="12">
        <v>7010</v>
      </c>
      <c r="F1001" s="3">
        <v>0</v>
      </c>
      <c r="G1001" s="3">
        <v>145942.6</v>
      </c>
      <c r="H1001" s="8" t="s">
        <v>51</v>
      </c>
      <c r="I1001" s="8" t="s">
        <v>52</v>
      </c>
      <c r="J1001" s="8" t="s">
        <v>32</v>
      </c>
      <c r="K1001" s="8" t="s">
        <v>26</v>
      </c>
      <c r="L1001" s="8" t="s">
        <v>2389</v>
      </c>
    </row>
    <row r="1002" spans="1:12" x14ac:dyDescent="0.35">
      <c r="A1002" s="11">
        <v>1001</v>
      </c>
      <c r="B1002" s="17">
        <v>46072.752685185187</v>
      </c>
      <c r="C1002" s="18">
        <v>46072</v>
      </c>
      <c r="D1002" s="10" t="s">
        <v>394</v>
      </c>
      <c r="E1002" s="14">
        <v>7010</v>
      </c>
      <c r="F1002" s="5">
        <v>0</v>
      </c>
      <c r="G1002" s="5">
        <v>138932.6</v>
      </c>
      <c r="H1002" s="10" t="s">
        <v>51</v>
      </c>
      <c r="I1002" s="10" t="s">
        <v>52</v>
      </c>
      <c r="J1002" s="10" t="s">
        <v>32</v>
      </c>
      <c r="K1002" s="10" t="s">
        <v>26</v>
      </c>
      <c r="L1002" s="10" t="s">
        <v>2392</v>
      </c>
    </row>
    <row r="1003" spans="1:12" x14ac:dyDescent="0.35">
      <c r="A1003" s="9">
        <v>1002</v>
      </c>
      <c r="B1003" s="19">
        <v>46072.758796296293</v>
      </c>
      <c r="C1003" s="20">
        <v>46072</v>
      </c>
      <c r="D1003" s="8" t="s">
        <v>394</v>
      </c>
      <c r="E1003" s="12">
        <v>2010</v>
      </c>
      <c r="F1003" s="3">
        <v>0</v>
      </c>
      <c r="G1003" s="3">
        <v>136922.6</v>
      </c>
      <c r="H1003" s="8" t="s">
        <v>51</v>
      </c>
      <c r="I1003" s="8" t="s">
        <v>52</v>
      </c>
      <c r="J1003" s="8" t="s">
        <v>32</v>
      </c>
      <c r="K1003" s="8" t="s">
        <v>26</v>
      </c>
      <c r="L1003" s="8" t="s">
        <v>2395</v>
      </c>
    </row>
    <row r="1004" spans="1:12" x14ac:dyDescent="0.35">
      <c r="A1004" s="11">
        <v>1003</v>
      </c>
      <c r="B1004" s="17">
        <v>46072.759421296287</v>
      </c>
      <c r="C1004" s="18">
        <v>46072</v>
      </c>
      <c r="D1004" s="10" t="s">
        <v>394</v>
      </c>
      <c r="E1004" s="14">
        <v>2010</v>
      </c>
      <c r="F1004" s="5">
        <v>0</v>
      </c>
      <c r="G1004" s="5">
        <v>134912.6</v>
      </c>
      <c r="H1004" s="10" t="s">
        <v>51</v>
      </c>
      <c r="I1004" s="10" t="s">
        <v>52</v>
      </c>
      <c r="J1004" s="10" t="s">
        <v>32</v>
      </c>
      <c r="K1004" s="10" t="s">
        <v>26</v>
      </c>
      <c r="L1004" s="10" t="s">
        <v>2398</v>
      </c>
    </row>
    <row r="1005" spans="1:12" x14ac:dyDescent="0.35">
      <c r="A1005" s="9">
        <v>1004</v>
      </c>
      <c r="B1005" s="19">
        <v>46072.760277777779</v>
      </c>
      <c r="C1005" s="20">
        <v>46072</v>
      </c>
      <c r="D1005" s="8" t="s">
        <v>394</v>
      </c>
      <c r="E1005" s="12">
        <v>2010</v>
      </c>
      <c r="F1005" s="3">
        <v>0</v>
      </c>
      <c r="G1005" s="3">
        <v>132902.6</v>
      </c>
      <c r="H1005" s="8" t="s">
        <v>51</v>
      </c>
      <c r="I1005" s="8" t="s">
        <v>52</v>
      </c>
      <c r="J1005" s="8" t="s">
        <v>32</v>
      </c>
      <c r="K1005" s="8" t="s">
        <v>26</v>
      </c>
      <c r="L1005" s="8" t="s">
        <v>2401</v>
      </c>
    </row>
    <row r="1006" spans="1:12" x14ac:dyDescent="0.35">
      <c r="A1006" s="11">
        <v>1005</v>
      </c>
      <c r="B1006" s="17">
        <v>46072.760740740741</v>
      </c>
      <c r="C1006" s="18">
        <v>46072</v>
      </c>
      <c r="D1006" s="10" t="s">
        <v>394</v>
      </c>
      <c r="E1006" s="14">
        <v>2010</v>
      </c>
      <c r="F1006" s="5">
        <v>0</v>
      </c>
      <c r="G1006" s="5">
        <v>130892.6</v>
      </c>
      <c r="H1006" s="10" t="s">
        <v>51</v>
      </c>
      <c r="I1006" s="10" t="s">
        <v>52</v>
      </c>
      <c r="J1006" s="10" t="s">
        <v>32</v>
      </c>
      <c r="K1006" s="10" t="s">
        <v>26</v>
      </c>
      <c r="L1006" s="10" t="s">
        <v>2404</v>
      </c>
    </row>
    <row r="1007" spans="1:12" x14ac:dyDescent="0.35">
      <c r="A1007" s="9">
        <v>1006</v>
      </c>
      <c r="B1007" s="19">
        <v>46072.761273148149</v>
      </c>
      <c r="C1007" s="20">
        <v>46072</v>
      </c>
      <c r="D1007" s="8" t="s">
        <v>394</v>
      </c>
      <c r="E1007" s="12">
        <v>2010</v>
      </c>
      <c r="F1007" s="3">
        <v>0</v>
      </c>
      <c r="G1007" s="3">
        <v>128882.6</v>
      </c>
      <c r="H1007" s="8" t="s">
        <v>51</v>
      </c>
      <c r="I1007" s="8" t="s">
        <v>52</v>
      </c>
      <c r="J1007" s="8" t="s">
        <v>32</v>
      </c>
      <c r="K1007" s="8" t="s">
        <v>26</v>
      </c>
      <c r="L1007" s="8" t="s">
        <v>2407</v>
      </c>
    </row>
    <row r="1008" spans="1:12" x14ac:dyDescent="0.35">
      <c r="A1008" s="11">
        <v>1007</v>
      </c>
      <c r="B1008" s="17">
        <v>46072.761793981481</v>
      </c>
      <c r="C1008" s="18">
        <v>46072</v>
      </c>
      <c r="D1008" s="10" t="s">
        <v>394</v>
      </c>
      <c r="E1008" s="14">
        <v>2010</v>
      </c>
      <c r="F1008" s="5">
        <v>0</v>
      </c>
      <c r="G1008" s="5">
        <v>126872.6</v>
      </c>
      <c r="H1008" s="10" t="s">
        <v>51</v>
      </c>
      <c r="I1008" s="10" t="s">
        <v>52</v>
      </c>
      <c r="J1008" s="10" t="s">
        <v>32</v>
      </c>
      <c r="K1008" s="10" t="s">
        <v>26</v>
      </c>
      <c r="L1008" s="10" t="s">
        <v>2410</v>
      </c>
    </row>
    <row r="1009" spans="1:12" x14ac:dyDescent="0.35">
      <c r="A1009" s="9">
        <v>1008</v>
      </c>
      <c r="B1009" s="19">
        <v>46072.762418981481</v>
      </c>
      <c r="C1009" s="20">
        <v>46072</v>
      </c>
      <c r="D1009" s="8" t="s">
        <v>394</v>
      </c>
      <c r="E1009" s="12">
        <v>2010</v>
      </c>
      <c r="F1009" s="3">
        <v>0</v>
      </c>
      <c r="G1009" s="3">
        <v>124862.6</v>
      </c>
      <c r="H1009" s="8" t="s">
        <v>51</v>
      </c>
      <c r="I1009" s="8" t="s">
        <v>52</v>
      </c>
      <c r="J1009" s="8" t="s">
        <v>32</v>
      </c>
      <c r="K1009" s="8" t="s">
        <v>26</v>
      </c>
      <c r="L1009" s="8" t="s">
        <v>2413</v>
      </c>
    </row>
    <row r="1010" spans="1:12" x14ac:dyDescent="0.35">
      <c r="A1010" s="11">
        <v>1009</v>
      </c>
      <c r="B1010" s="17">
        <v>46072.763113425928</v>
      </c>
      <c r="C1010" s="18">
        <v>46072</v>
      </c>
      <c r="D1010" s="10" t="s">
        <v>394</v>
      </c>
      <c r="E1010" s="14">
        <v>2010</v>
      </c>
      <c r="F1010" s="5">
        <v>0</v>
      </c>
      <c r="G1010" s="5">
        <v>122852.6</v>
      </c>
      <c r="H1010" s="10" t="s">
        <v>51</v>
      </c>
      <c r="I1010" s="10" t="s">
        <v>52</v>
      </c>
      <c r="J1010" s="10" t="s">
        <v>32</v>
      </c>
      <c r="K1010" s="10" t="s">
        <v>26</v>
      </c>
      <c r="L1010" s="10" t="s">
        <v>2416</v>
      </c>
    </row>
    <row r="1011" spans="1:12" x14ac:dyDescent="0.35">
      <c r="A1011" s="9">
        <v>1010</v>
      </c>
      <c r="B1011" s="19">
        <v>46072.763715277782</v>
      </c>
      <c r="C1011" s="20">
        <v>46072</v>
      </c>
      <c r="D1011" s="8" t="s">
        <v>394</v>
      </c>
      <c r="E1011" s="12">
        <v>2010</v>
      </c>
      <c r="F1011" s="3">
        <v>0</v>
      </c>
      <c r="G1011" s="3">
        <v>120842.6</v>
      </c>
      <c r="H1011" s="8" t="s">
        <v>51</v>
      </c>
      <c r="I1011" s="8" t="s">
        <v>52</v>
      </c>
      <c r="J1011" s="8" t="s">
        <v>32</v>
      </c>
      <c r="K1011" s="8" t="s">
        <v>26</v>
      </c>
      <c r="L1011" s="8" t="s">
        <v>2419</v>
      </c>
    </row>
    <row r="1012" spans="1:12" x14ac:dyDescent="0.35">
      <c r="A1012" s="11">
        <v>1011</v>
      </c>
      <c r="B1012" s="17">
        <v>46072.764062499999</v>
      </c>
      <c r="C1012" s="18">
        <v>46072</v>
      </c>
      <c r="D1012" s="10" t="s">
        <v>394</v>
      </c>
      <c r="E1012" s="14">
        <v>2010</v>
      </c>
      <c r="F1012" s="5">
        <v>0</v>
      </c>
      <c r="G1012" s="5">
        <v>118832.6</v>
      </c>
      <c r="H1012" s="10" t="s">
        <v>51</v>
      </c>
      <c r="I1012" s="10" t="s">
        <v>52</v>
      </c>
      <c r="J1012" s="10" t="s">
        <v>32</v>
      </c>
      <c r="K1012" s="10" t="s">
        <v>26</v>
      </c>
      <c r="L1012" s="10" t="s">
        <v>2422</v>
      </c>
    </row>
    <row r="1013" spans="1:12" x14ac:dyDescent="0.35">
      <c r="A1013" s="9">
        <v>1012</v>
      </c>
      <c r="B1013" s="19">
        <v>46072.946284722217</v>
      </c>
      <c r="C1013" s="20">
        <v>46072</v>
      </c>
      <c r="D1013" s="8" t="s">
        <v>394</v>
      </c>
      <c r="E1013" s="12">
        <v>30010</v>
      </c>
      <c r="F1013" s="3">
        <v>0</v>
      </c>
      <c r="G1013" s="3">
        <v>88822.6</v>
      </c>
      <c r="H1013" s="8" t="s">
        <v>51</v>
      </c>
      <c r="I1013" s="8" t="s">
        <v>52</v>
      </c>
      <c r="J1013" s="8" t="s">
        <v>32</v>
      </c>
      <c r="K1013" s="8" t="s">
        <v>26</v>
      </c>
      <c r="L1013" s="8" t="s">
        <v>2425</v>
      </c>
    </row>
    <row r="1014" spans="1:12" x14ac:dyDescent="0.35">
      <c r="A1014" s="11">
        <v>1013</v>
      </c>
      <c r="B1014" s="17">
        <v>46072.946296296293</v>
      </c>
      <c r="C1014" s="18">
        <v>46072</v>
      </c>
      <c r="D1014" s="10" t="s">
        <v>394</v>
      </c>
      <c r="E1014" s="14">
        <v>50</v>
      </c>
      <c r="F1014" s="5">
        <v>0</v>
      </c>
      <c r="G1014" s="5">
        <v>88772.6</v>
      </c>
      <c r="H1014" s="10" t="s">
        <v>51</v>
      </c>
      <c r="I1014" s="10" t="s">
        <v>52</v>
      </c>
      <c r="J1014" s="10" t="s">
        <v>32</v>
      </c>
      <c r="K1014" s="10" t="s">
        <v>26</v>
      </c>
      <c r="L1014" s="10" t="s">
        <v>2427</v>
      </c>
    </row>
    <row r="1015" spans="1:12" x14ac:dyDescent="0.35">
      <c r="A1015" s="9">
        <v>1014</v>
      </c>
      <c r="B1015" s="19">
        <v>46073.101053240738</v>
      </c>
      <c r="C1015" s="20">
        <v>46073</v>
      </c>
      <c r="D1015" s="8" t="s">
        <v>2527</v>
      </c>
      <c r="E1015" s="3">
        <v>0</v>
      </c>
      <c r="F1015" s="13">
        <v>0.35</v>
      </c>
      <c r="G1015" s="3">
        <v>88772.95</v>
      </c>
      <c r="H1015" s="8" t="s">
        <v>51</v>
      </c>
      <c r="I1015" s="8" t="s">
        <v>71</v>
      </c>
      <c r="J1015" s="8" t="s">
        <v>32</v>
      </c>
      <c r="K1015" s="8" t="s">
        <v>26</v>
      </c>
      <c r="L1015" s="8" t="s">
        <v>2829</v>
      </c>
    </row>
    <row r="1016" spans="1:12" x14ac:dyDescent="0.35">
      <c r="A1016" s="11">
        <v>1015</v>
      </c>
      <c r="B1016" s="17">
        <v>46073.601585648154</v>
      </c>
      <c r="C1016" s="18">
        <v>46073</v>
      </c>
      <c r="D1016" s="10" t="s">
        <v>394</v>
      </c>
      <c r="E1016" s="14">
        <v>3100</v>
      </c>
      <c r="F1016" s="5">
        <v>0</v>
      </c>
      <c r="G1016" s="5">
        <v>85672.95</v>
      </c>
      <c r="H1016" s="10" t="s">
        <v>51</v>
      </c>
      <c r="I1016" s="10" t="s">
        <v>52</v>
      </c>
      <c r="J1016" s="10" t="s">
        <v>32</v>
      </c>
      <c r="K1016" s="10" t="s">
        <v>26</v>
      </c>
      <c r="L1016" s="10" t="s">
        <v>2430</v>
      </c>
    </row>
    <row r="1017" spans="1:12" x14ac:dyDescent="0.35">
      <c r="A1017" s="9">
        <v>1016</v>
      </c>
      <c r="B1017" s="19">
        <v>46073.674560185187</v>
      </c>
      <c r="C1017" s="20">
        <v>46073</v>
      </c>
      <c r="D1017" s="8" t="s">
        <v>394</v>
      </c>
      <c r="E1017" s="12">
        <v>3000</v>
      </c>
      <c r="F1017" s="3">
        <v>0</v>
      </c>
      <c r="G1017" s="3">
        <v>82672.95</v>
      </c>
      <c r="H1017" s="8" t="s">
        <v>51</v>
      </c>
      <c r="I1017" s="8" t="s">
        <v>52</v>
      </c>
      <c r="J1017" s="8" t="s">
        <v>32</v>
      </c>
      <c r="K1017" s="8" t="s">
        <v>26</v>
      </c>
      <c r="L1017" s="8" t="s">
        <v>2433</v>
      </c>
    </row>
    <row r="1018" spans="1:12" x14ac:dyDescent="0.35">
      <c r="A1018" s="11">
        <v>1017</v>
      </c>
      <c r="B1018" s="17">
        <v>46073.762754629628</v>
      </c>
      <c r="C1018" s="18">
        <v>46073</v>
      </c>
      <c r="D1018" s="10" t="s">
        <v>394</v>
      </c>
      <c r="E1018" s="14">
        <v>3000</v>
      </c>
      <c r="F1018" s="5">
        <v>0</v>
      </c>
      <c r="G1018" s="5">
        <v>79672.95</v>
      </c>
      <c r="H1018" s="10" t="s">
        <v>51</v>
      </c>
      <c r="I1018" s="10" t="s">
        <v>52</v>
      </c>
      <c r="J1018" s="10" t="s">
        <v>32</v>
      </c>
      <c r="K1018" s="10" t="s">
        <v>26</v>
      </c>
      <c r="L1018" s="10" t="s">
        <v>2436</v>
      </c>
    </row>
    <row r="1019" spans="1:12" x14ac:dyDescent="0.35">
      <c r="A1019" s="9">
        <v>1018</v>
      </c>
      <c r="B1019" s="19">
        <v>46073.796585648153</v>
      </c>
      <c r="C1019" s="20">
        <v>46073</v>
      </c>
      <c r="D1019" s="8" t="s">
        <v>394</v>
      </c>
      <c r="E1019" s="12">
        <v>2300</v>
      </c>
      <c r="F1019" s="3">
        <v>0</v>
      </c>
      <c r="G1019" s="3">
        <v>77372.95</v>
      </c>
      <c r="H1019" s="8" t="s">
        <v>51</v>
      </c>
      <c r="I1019" s="8" t="s">
        <v>52</v>
      </c>
      <c r="J1019" s="8" t="s">
        <v>32</v>
      </c>
      <c r="K1019" s="8" t="s">
        <v>26</v>
      </c>
      <c r="L1019" s="8" t="s">
        <v>2439</v>
      </c>
    </row>
    <row r="1020" spans="1:12" x14ac:dyDescent="0.35">
      <c r="A1020" s="11">
        <v>1019</v>
      </c>
      <c r="B1020" s="17">
        <v>46074.072256944448</v>
      </c>
      <c r="C1020" s="18">
        <v>46074</v>
      </c>
      <c r="D1020" s="10" t="s">
        <v>2527</v>
      </c>
      <c r="E1020" s="5">
        <v>0</v>
      </c>
      <c r="F1020" s="15">
        <v>26.66</v>
      </c>
      <c r="G1020" s="5">
        <v>77399.61</v>
      </c>
      <c r="H1020" s="10" t="s">
        <v>51</v>
      </c>
      <c r="I1020" s="10" t="s">
        <v>71</v>
      </c>
      <c r="J1020" s="10" t="s">
        <v>32</v>
      </c>
      <c r="K1020" s="10" t="s">
        <v>26</v>
      </c>
      <c r="L1020" s="10" t="s">
        <v>2830</v>
      </c>
    </row>
    <row r="1021" spans="1:12" x14ac:dyDescent="0.35">
      <c r="A1021" s="9">
        <v>1020</v>
      </c>
      <c r="B1021" s="19">
        <v>46074.866365740738</v>
      </c>
      <c r="C1021" s="20">
        <v>46074</v>
      </c>
      <c r="D1021" s="8" t="s">
        <v>394</v>
      </c>
      <c r="E1021" s="12">
        <v>12000</v>
      </c>
      <c r="F1021" s="3">
        <v>0</v>
      </c>
      <c r="G1021" s="3">
        <v>65399.61</v>
      </c>
      <c r="H1021" s="8" t="s">
        <v>51</v>
      </c>
      <c r="I1021" s="8" t="s">
        <v>52</v>
      </c>
      <c r="J1021" s="8" t="s">
        <v>32</v>
      </c>
      <c r="K1021" s="8" t="s">
        <v>26</v>
      </c>
      <c r="L1021" s="8" t="s">
        <v>2442</v>
      </c>
    </row>
    <row r="1022" spans="1:12" x14ac:dyDescent="0.35">
      <c r="A1022" s="11">
        <v>1021</v>
      </c>
      <c r="B1022" s="17">
        <v>46074.866377314807</v>
      </c>
      <c r="C1022" s="18">
        <v>46074</v>
      </c>
      <c r="D1022" s="10" t="s">
        <v>394</v>
      </c>
      <c r="E1022" s="14">
        <v>50</v>
      </c>
      <c r="F1022" s="5">
        <v>0</v>
      </c>
      <c r="G1022" s="5">
        <v>65349.61</v>
      </c>
      <c r="H1022" s="10" t="s">
        <v>51</v>
      </c>
      <c r="I1022" s="10" t="s">
        <v>52</v>
      </c>
      <c r="J1022" s="10" t="s">
        <v>32</v>
      </c>
      <c r="K1022" s="10" t="s">
        <v>26</v>
      </c>
      <c r="L1022" s="10" t="s">
        <v>2444</v>
      </c>
    </row>
    <row r="1023" spans="1:12" x14ac:dyDescent="0.35">
      <c r="A1023" s="9">
        <v>1022</v>
      </c>
      <c r="B1023" s="19">
        <v>46075.098796296297</v>
      </c>
      <c r="C1023" s="20">
        <v>46075</v>
      </c>
      <c r="D1023" s="8" t="s">
        <v>2527</v>
      </c>
      <c r="E1023" s="3">
        <v>0</v>
      </c>
      <c r="F1023" s="13">
        <v>22.51</v>
      </c>
      <c r="G1023" s="3">
        <v>65372.12</v>
      </c>
      <c r="H1023" s="8" t="s">
        <v>51</v>
      </c>
      <c r="I1023" s="8" t="s">
        <v>71</v>
      </c>
      <c r="J1023" s="8" t="s">
        <v>32</v>
      </c>
      <c r="K1023" s="8" t="s">
        <v>26</v>
      </c>
      <c r="L1023" s="8" t="s">
        <v>2831</v>
      </c>
    </row>
    <row r="1024" spans="1:12" x14ac:dyDescent="0.35">
      <c r="A1024" s="11">
        <v>1023</v>
      </c>
      <c r="B1024" s="17">
        <v>46075.639189814807</v>
      </c>
      <c r="C1024" s="18">
        <v>46075</v>
      </c>
      <c r="D1024" s="10" t="s">
        <v>426</v>
      </c>
      <c r="E1024" s="5">
        <v>0</v>
      </c>
      <c r="F1024" s="15">
        <v>1600</v>
      </c>
      <c r="G1024" s="5">
        <v>66972.12</v>
      </c>
      <c r="H1024" s="10" t="s">
        <v>51</v>
      </c>
      <c r="I1024" s="10" t="s">
        <v>71</v>
      </c>
      <c r="J1024" s="10" t="s">
        <v>32</v>
      </c>
      <c r="K1024" s="10" t="s">
        <v>26</v>
      </c>
      <c r="L1024" s="10" t="s">
        <v>2447</v>
      </c>
    </row>
    <row r="1025" spans="1:12" x14ac:dyDescent="0.35">
      <c r="A1025" s="9">
        <v>1024</v>
      </c>
      <c r="B1025" s="19">
        <v>46075.645902777767</v>
      </c>
      <c r="C1025" s="20">
        <v>46075</v>
      </c>
      <c r="D1025" s="8" t="s">
        <v>394</v>
      </c>
      <c r="E1025" s="12">
        <v>4100</v>
      </c>
      <c r="F1025" s="3">
        <v>0</v>
      </c>
      <c r="G1025" s="3">
        <v>62872.12</v>
      </c>
      <c r="H1025" s="8" t="s">
        <v>51</v>
      </c>
      <c r="I1025" s="8" t="s">
        <v>52</v>
      </c>
      <c r="J1025" s="8" t="s">
        <v>32</v>
      </c>
      <c r="K1025" s="8" t="s">
        <v>26</v>
      </c>
      <c r="L1025" s="8" t="s">
        <v>2450</v>
      </c>
    </row>
    <row r="1026" spans="1:12" x14ac:dyDescent="0.35">
      <c r="A1026" s="11">
        <v>1025</v>
      </c>
      <c r="B1026" s="17">
        <v>46076.071979166663</v>
      </c>
      <c r="C1026" s="18">
        <v>46076</v>
      </c>
      <c r="D1026" s="10" t="s">
        <v>2527</v>
      </c>
      <c r="E1026" s="5">
        <v>0</v>
      </c>
      <c r="F1026" s="15">
        <v>21.66</v>
      </c>
      <c r="G1026" s="5">
        <v>62893.78</v>
      </c>
      <c r="H1026" s="10" t="s">
        <v>51</v>
      </c>
      <c r="I1026" s="10" t="s">
        <v>71</v>
      </c>
      <c r="J1026" s="10" t="s">
        <v>32</v>
      </c>
      <c r="K1026" s="10" t="s">
        <v>26</v>
      </c>
      <c r="L1026" s="10" t="s">
        <v>2832</v>
      </c>
    </row>
    <row r="1027" spans="1:12" x14ac:dyDescent="0.35">
      <c r="A1027" s="9">
        <v>1026</v>
      </c>
      <c r="B1027" s="19">
        <v>46076.326863425929</v>
      </c>
      <c r="C1027" s="20">
        <v>46076</v>
      </c>
      <c r="D1027" s="8" t="s">
        <v>394</v>
      </c>
      <c r="E1027" s="12">
        <v>3000</v>
      </c>
      <c r="F1027" s="3">
        <v>0</v>
      </c>
      <c r="G1027" s="3">
        <v>59893.78</v>
      </c>
      <c r="H1027" s="8" t="s">
        <v>51</v>
      </c>
      <c r="I1027" s="8" t="s">
        <v>52</v>
      </c>
      <c r="J1027" s="8" t="s">
        <v>32</v>
      </c>
      <c r="K1027" s="8" t="s">
        <v>26</v>
      </c>
      <c r="L1027" s="8" t="s">
        <v>2452</v>
      </c>
    </row>
    <row r="1028" spans="1:12" x14ac:dyDescent="0.35">
      <c r="A1028" s="11">
        <v>1027</v>
      </c>
      <c r="B1028" s="17">
        <v>46076.35533564815</v>
      </c>
      <c r="C1028" s="18">
        <v>46076</v>
      </c>
      <c r="D1028" s="10" t="s">
        <v>394</v>
      </c>
      <c r="E1028" s="14">
        <v>4000</v>
      </c>
      <c r="F1028" s="5">
        <v>0</v>
      </c>
      <c r="G1028" s="5">
        <v>55893.78</v>
      </c>
      <c r="H1028" s="10" t="s">
        <v>51</v>
      </c>
      <c r="I1028" s="10" t="s">
        <v>52</v>
      </c>
      <c r="J1028" s="10" t="s">
        <v>32</v>
      </c>
      <c r="K1028" s="10" t="s">
        <v>26</v>
      </c>
      <c r="L1028" s="10" t="s">
        <v>2454</v>
      </c>
    </row>
    <row r="1029" spans="1:12" x14ac:dyDescent="0.35">
      <c r="A1029" s="9">
        <v>1028</v>
      </c>
      <c r="B1029" s="19">
        <v>46076.763460648152</v>
      </c>
      <c r="C1029" s="20">
        <v>46076</v>
      </c>
      <c r="D1029" s="8" t="s">
        <v>394</v>
      </c>
      <c r="E1029" s="12">
        <v>1640</v>
      </c>
      <c r="F1029" s="3">
        <v>0</v>
      </c>
      <c r="G1029" s="3">
        <v>54253.78</v>
      </c>
      <c r="H1029" s="8" t="s">
        <v>51</v>
      </c>
      <c r="I1029" s="8" t="s">
        <v>52</v>
      </c>
      <c r="J1029" s="8" t="s">
        <v>32</v>
      </c>
      <c r="K1029" s="8" t="s">
        <v>26</v>
      </c>
      <c r="L1029" s="8" t="s">
        <v>2457</v>
      </c>
    </row>
    <row r="1030" spans="1:12" x14ac:dyDescent="0.35">
      <c r="A1030" s="11">
        <v>1029</v>
      </c>
      <c r="B1030" s="17">
        <v>46076.765914351847</v>
      </c>
      <c r="C1030" s="18">
        <v>46076</v>
      </c>
      <c r="D1030" s="10" t="s">
        <v>394</v>
      </c>
      <c r="E1030" s="14">
        <v>1100</v>
      </c>
      <c r="F1030" s="5">
        <v>0</v>
      </c>
      <c r="G1030" s="5">
        <v>53153.78</v>
      </c>
      <c r="H1030" s="10" t="s">
        <v>51</v>
      </c>
      <c r="I1030" s="10" t="s">
        <v>52</v>
      </c>
      <c r="J1030" s="10" t="s">
        <v>32</v>
      </c>
      <c r="K1030" s="10" t="s">
        <v>26</v>
      </c>
      <c r="L1030" s="10" t="s">
        <v>2460</v>
      </c>
    </row>
    <row r="1031" spans="1:12" x14ac:dyDescent="0.35">
      <c r="A1031" s="9">
        <v>1030</v>
      </c>
      <c r="B1031" s="19">
        <v>46077.101168981477</v>
      </c>
      <c r="C1031" s="20">
        <v>46077</v>
      </c>
      <c r="D1031" s="8" t="s">
        <v>2527</v>
      </c>
      <c r="E1031" s="3">
        <v>0</v>
      </c>
      <c r="F1031" s="13">
        <v>18.309999999999999</v>
      </c>
      <c r="G1031" s="3">
        <v>53172.09</v>
      </c>
      <c r="H1031" s="8" t="s">
        <v>51</v>
      </c>
      <c r="I1031" s="8" t="s">
        <v>71</v>
      </c>
      <c r="J1031" s="8" t="s">
        <v>32</v>
      </c>
      <c r="K1031" s="8" t="s">
        <v>26</v>
      </c>
      <c r="L1031" s="8" t="s">
        <v>2833</v>
      </c>
    </row>
    <row r="1032" spans="1:12" x14ac:dyDescent="0.35">
      <c r="A1032" s="11">
        <v>1031</v>
      </c>
      <c r="B1032" s="17">
        <v>46077.551238425927</v>
      </c>
      <c r="C1032" s="18">
        <v>46077</v>
      </c>
      <c r="D1032" s="10" t="s">
        <v>394</v>
      </c>
      <c r="E1032" s="14">
        <v>3000</v>
      </c>
      <c r="F1032" s="5">
        <v>0</v>
      </c>
      <c r="G1032" s="5">
        <v>50172.09</v>
      </c>
      <c r="H1032" s="10" t="s">
        <v>51</v>
      </c>
      <c r="I1032" s="10" t="s">
        <v>52</v>
      </c>
      <c r="J1032" s="10" t="s">
        <v>32</v>
      </c>
      <c r="K1032" s="10" t="s">
        <v>26</v>
      </c>
      <c r="L1032" s="10" t="s">
        <v>2463</v>
      </c>
    </row>
    <row r="1033" spans="1:12" x14ac:dyDescent="0.35">
      <c r="A1033" s="9">
        <v>1032</v>
      </c>
      <c r="B1033" s="19">
        <v>46077.555173611108</v>
      </c>
      <c r="C1033" s="20">
        <v>46077</v>
      </c>
      <c r="D1033" s="8" t="s">
        <v>426</v>
      </c>
      <c r="E1033" s="3">
        <v>0</v>
      </c>
      <c r="F1033" s="13">
        <v>3000</v>
      </c>
      <c r="G1033" s="3">
        <v>53172.09</v>
      </c>
      <c r="H1033" s="8" t="s">
        <v>51</v>
      </c>
      <c r="I1033" s="8" t="s">
        <v>71</v>
      </c>
      <c r="J1033" s="8" t="s">
        <v>32</v>
      </c>
      <c r="K1033" s="8" t="s">
        <v>26</v>
      </c>
      <c r="L1033" s="8" t="s">
        <v>2466</v>
      </c>
    </row>
    <row r="1034" spans="1:12" x14ac:dyDescent="0.35">
      <c r="A1034" s="11">
        <v>1033</v>
      </c>
      <c r="B1034" s="17">
        <v>46078.073414351849</v>
      </c>
      <c r="C1034" s="18">
        <v>46078</v>
      </c>
      <c r="D1034" s="10" t="s">
        <v>2527</v>
      </c>
      <c r="E1034" s="5">
        <v>0</v>
      </c>
      <c r="F1034" s="15">
        <v>17.28</v>
      </c>
      <c r="G1034" s="5">
        <v>53189.37</v>
      </c>
      <c r="H1034" s="10" t="s">
        <v>51</v>
      </c>
      <c r="I1034" s="10" t="s">
        <v>71</v>
      </c>
      <c r="J1034" s="10" t="s">
        <v>32</v>
      </c>
      <c r="K1034" s="10" t="s">
        <v>26</v>
      </c>
      <c r="L1034" s="10" t="s">
        <v>2834</v>
      </c>
    </row>
    <row r="1035" spans="1:12" x14ac:dyDescent="0.35">
      <c r="A1035" s="9">
        <v>1034</v>
      </c>
      <c r="B1035" s="19">
        <v>46078.33357638889</v>
      </c>
      <c r="C1035" s="20">
        <v>46078</v>
      </c>
      <c r="D1035" s="8" t="s">
        <v>394</v>
      </c>
      <c r="E1035" s="12">
        <v>2000</v>
      </c>
      <c r="F1035" s="3">
        <v>0</v>
      </c>
      <c r="G1035" s="3">
        <v>51189.37</v>
      </c>
      <c r="H1035" s="8" t="s">
        <v>51</v>
      </c>
      <c r="I1035" s="8" t="s">
        <v>52</v>
      </c>
      <c r="J1035" s="8" t="s">
        <v>32</v>
      </c>
      <c r="K1035" s="8" t="s">
        <v>26</v>
      </c>
      <c r="L1035" s="8" t="s">
        <v>2468</v>
      </c>
    </row>
    <row r="1036" spans="1:12" x14ac:dyDescent="0.35">
      <c r="A1036" s="11">
        <v>1035</v>
      </c>
      <c r="B1036" s="17">
        <v>46078.58084490741</v>
      </c>
      <c r="C1036" s="18">
        <v>46078</v>
      </c>
      <c r="D1036" s="10" t="s">
        <v>394</v>
      </c>
      <c r="E1036" s="14">
        <v>4000</v>
      </c>
      <c r="F1036" s="5">
        <v>0</v>
      </c>
      <c r="G1036" s="5">
        <v>47189.37</v>
      </c>
      <c r="H1036" s="10" t="s">
        <v>51</v>
      </c>
      <c r="I1036" s="10" t="s">
        <v>52</v>
      </c>
      <c r="J1036" s="10" t="s">
        <v>32</v>
      </c>
      <c r="K1036" s="10" t="s">
        <v>26</v>
      </c>
      <c r="L1036" s="10" t="s">
        <v>2471</v>
      </c>
    </row>
    <row r="1037" spans="1:12" x14ac:dyDescent="0.35">
      <c r="A1037" s="9">
        <v>1036</v>
      </c>
      <c r="B1037" s="19">
        <v>46078.768171296288</v>
      </c>
      <c r="C1037" s="20">
        <v>46078</v>
      </c>
      <c r="D1037" s="8" t="s">
        <v>394</v>
      </c>
      <c r="E1037" s="12">
        <v>1000</v>
      </c>
      <c r="F1037" s="3">
        <v>0</v>
      </c>
      <c r="G1037" s="3">
        <v>46189.37</v>
      </c>
      <c r="H1037" s="8" t="s">
        <v>51</v>
      </c>
      <c r="I1037" s="8" t="s">
        <v>52</v>
      </c>
      <c r="J1037" s="8" t="s">
        <v>32</v>
      </c>
      <c r="K1037" s="8" t="s">
        <v>26</v>
      </c>
      <c r="L1037" s="8" t="s">
        <v>2473</v>
      </c>
    </row>
    <row r="1038" spans="1:12" x14ac:dyDescent="0.35">
      <c r="A1038" s="11">
        <v>1037</v>
      </c>
      <c r="B1038" s="17">
        <v>46078.897731481477</v>
      </c>
      <c r="C1038" s="18">
        <v>46078</v>
      </c>
      <c r="D1038" s="10" t="s">
        <v>394</v>
      </c>
      <c r="E1038" s="14">
        <v>10000</v>
      </c>
      <c r="F1038" s="5">
        <v>0</v>
      </c>
      <c r="G1038" s="5">
        <v>36189.370000000003</v>
      </c>
      <c r="H1038" s="10" t="s">
        <v>51</v>
      </c>
      <c r="I1038" s="10" t="s">
        <v>52</v>
      </c>
      <c r="J1038" s="10" t="s">
        <v>32</v>
      </c>
      <c r="K1038" s="10" t="s">
        <v>26</v>
      </c>
      <c r="L1038" s="10" t="s">
        <v>2476</v>
      </c>
    </row>
    <row r="1039" spans="1:12" x14ac:dyDescent="0.35">
      <c r="A1039" s="9">
        <v>1038</v>
      </c>
      <c r="B1039" s="19">
        <v>46078.897743055553</v>
      </c>
      <c r="C1039" s="20">
        <v>46078</v>
      </c>
      <c r="D1039" s="8" t="s">
        <v>394</v>
      </c>
      <c r="E1039" s="12">
        <v>50</v>
      </c>
      <c r="F1039" s="3">
        <v>0</v>
      </c>
      <c r="G1039" s="3">
        <v>36139.370000000003</v>
      </c>
      <c r="H1039" s="8" t="s">
        <v>51</v>
      </c>
      <c r="I1039" s="8" t="s">
        <v>52</v>
      </c>
      <c r="J1039" s="8" t="s">
        <v>32</v>
      </c>
      <c r="K1039" s="8" t="s">
        <v>26</v>
      </c>
      <c r="L1039" s="8" t="s">
        <v>2478</v>
      </c>
    </row>
    <row r="1040" spans="1:12" x14ac:dyDescent="0.35">
      <c r="A1040" s="11">
        <v>1039</v>
      </c>
      <c r="B1040" s="17">
        <v>46079.098668981482</v>
      </c>
      <c r="C1040" s="18">
        <v>46079</v>
      </c>
      <c r="D1040" s="10" t="s">
        <v>2527</v>
      </c>
      <c r="E1040" s="5">
        <v>0</v>
      </c>
      <c r="F1040" s="15">
        <v>12.45</v>
      </c>
      <c r="G1040" s="5">
        <v>36151.82</v>
      </c>
      <c r="H1040" s="10" t="s">
        <v>51</v>
      </c>
      <c r="I1040" s="10" t="s">
        <v>71</v>
      </c>
      <c r="J1040" s="10" t="s">
        <v>32</v>
      </c>
      <c r="K1040" s="10" t="s">
        <v>26</v>
      </c>
      <c r="L1040" s="10" t="s">
        <v>2835</v>
      </c>
    </row>
    <row r="1041" spans="1:12" x14ac:dyDescent="0.35">
      <c r="A1041" s="9">
        <v>1040</v>
      </c>
      <c r="B1041" s="19">
        <v>46079.58394675926</v>
      </c>
      <c r="C1041" s="20">
        <v>46079</v>
      </c>
      <c r="D1041" s="8" t="s">
        <v>394</v>
      </c>
      <c r="E1041" s="12">
        <v>3500</v>
      </c>
      <c r="F1041" s="3">
        <v>0</v>
      </c>
      <c r="G1041" s="3">
        <v>32651.82</v>
      </c>
      <c r="H1041" s="8" t="s">
        <v>51</v>
      </c>
      <c r="I1041" s="8" t="s">
        <v>52</v>
      </c>
      <c r="J1041" s="8" t="s">
        <v>32</v>
      </c>
      <c r="K1041" s="8" t="s">
        <v>26</v>
      </c>
      <c r="L1041" s="8" t="s">
        <v>2481</v>
      </c>
    </row>
    <row r="1042" spans="1:12" x14ac:dyDescent="0.35">
      <c r="A1042" s="11">
        <v>1041</v>
      </c>
      <c r="B1042" s="17">
        <v>46079.834027777782</v>
      </c>
      <c r="C1042" s="18">
        <v>46079</v>
      </c>
      <c r="D1042" s="10" t="s">
        <v>394</v>
      </c>
      <c r="E1042" s="14">
        <v>7370</v>
      </c>
      <c r="F1042" s="5">
        <v>0</v>
      </c>
      <c r="G1042" s="5">
        <v>25281.82</v>
      </c>
      <c r="H1042" s="10" t="s">
        <v>51</v>
      </c>
      <c r="I1042" s="10" t="s">
        <v>52</v>
      </c>
      <c r="J1042" s="10" t="s">
        <v>32</v>
      </c>
      <c r="K1042" s="10" t="s">
        <v>26</v>
      </c>
      <c r="L1042" s="10" t="s">
        <v>2484</v>
      </c>
    </row>
    <row r="1043" spans="1:12" x14ac:dyDescent="0.35">
      <c r="A1043" s="9">
        <v>1042</v>
      </c>
      <c r="B1043" s="19">
        <v>46080.072337962964</v>
      </c>
      <c r="C1043" s="20">
        <v>46080</v>
      </c>
      <c r="D1043" s="8" t="s">
        <v>2527</v>
      </c>
      <c r="E1043" s="3">
        <v>0</v>
      </c>
      <c r="F1043" s="13">
        <v>8.7100000000000009</v>
      </c>
      <c r="G1043" s="3">
        <v>25290.53</v>
      </c>
      <c r="H1043" s="8" t="s">
        <v>51</v>
      </c>
      <c r="I1043" s="8" t="s">
        <v>71</v>
      </c>
      <c r="J1043" s="8" t="s">
        <v>32</v>
      </c>
      <c r="K1043" s="8" t="s">
        <v>26</v>
      </c>
      <c r="L1043" s="8" t="s">
        <v>2836</v>
      </c>
    </row>
    <row r="1044" spans="1:12" x14ac:dyDescent="0.35">
      <c r="A1044" s="11">
        <v>1043</v>
      </c>
      <c r="B1044" s="17">
        <v>46080.815335648149</v>
      </c>
      <c r="C1044" s="18">
        <v>46080</v>
      </c>
      <c r="D1044" s="10" t="s">
        <v>394</v>
      </c>
      <c r="E1044" s="14">
        <v>2100</v>
      </c>
      <c r="F1044" s="5">
        <v>0</v>
      </c>
      <c r="G1044" s="5">
        <v>23190.53</v>
      </c>
      <c r="H1044" s="10" t="s">
        <v>51</v>
      </c>
      <c r="I1044" s="10" t="s">
        <v>52</v>
      </c>
      <c r="J1044" s="10" t="s">
        <v>32</v>
      </c>
      <c r="K1044" s="10" t="s">
        <v>26</v>
      </c>
      <c r="L1044" s="10" t="s">
        <v>2487</v>
      </c>
    </row>
    <row r="1045" spans="1:12" x14ac:dyDescent="0.35">
      <c r="A1045" s="9">
        <v>1044</v>
      </c>
      <c r="B1045" s="19">
        <v>46081.10015046296</v>
      </c>
      <c r="C1045" s="20">
        <v>46081</v>
      </c>
      <c r="D1045" s="8" t="s">
        <v>2527</v>
      </c>
      <c r="E1045" s="3">
        <v>0</v>
      </c>
      <c r="F1045" s="13">
        <v>7.99</v>
      </c>
      <c r="G1045" s="3">
        <v>23198.52</v>
      </c>
      <c r="H1045" s="8" t="s">
        <v>51</v>
      </c>
      <c r="I1045" s="8" t="s">
        <v>71</v>
      </c>
      <c r="J1045" s="8" t="s">
        <v>32</v>
      </c>
      <c r="K1045" s="8" t="s">
        <v>26</v>
      </c>
      <c r="L1045" s="8" t="s">
        <v>2837</v>
      </c>
    </row>
    <row r="1046" spans="1:12" x14ac:dyDescent="0.35">
      <c r="A1046" s="11">
        <v>1045</v>
      </c>
      <c r="B1046" s="17">
        <v>46081.382337962961</v>
      </c>
      <c r="C1046" s="18">
        <v>46081</v>
      </c>
      <c r="D1046" s="10" t="s">
        <v>394</v>
      </c>
      <c r="E1046" s="14">
        <v>900</v>
      </c>
      <c r="F1046" s="5">
        <v>0</v>
      </c>
      <c r="G1046" s="5">
        <v>22298.52</v>
      </c>
      <c r="H1046" s="10" t="s">
        <v>51</v>
      </c>
      <c r="I1046" s="10" t="s">
        <v>52</v>
      </c>
      <c r="J1046" s="10" t="s">
        <v>32</v>
      </c>
      <c r="K1046" s="10" t="s">
        <v>26</v>
      </c>
      <c r="L1046" s="10" t="s">
        <v>2489</v>
      </c>
    </row>
    <row r="1047" spans="1:12" x14ac:dyDescent="0.35">
      <c r="A1047" s="9">
        <v>1046</v>
      </c>
      <c r="B1047" s="19">
        <v>46081.452256944453</v>
      </c>
      <c r="C1047" s="20">
        <v>46081</v>
      </c>
      <c r="D1047" s="8" t="s">
        <v>394</v>
      </c>
      <c r="E1047" s="12">
        <v>700</v>
      </c>
      <c r="F1047" s="3">
        <v>0</v>
      </c>
      <c r="G1047" s="3">
        <v>21598.52</v>
      </c>
      <c r="H1047" s="8" t="s">
        <v>51</v>
      </c>
      <c r="I1047" s="8" t="s">
        <v>52</v>
      </c>
      <c r="J1047" s="8" t="s">
        <v>32</v>
      </c>
      <c r="K1047" s="8" t="s">
        <v>26</v>
      </c>
      <c r="L1047" s="8" t="s">
        <v>2491</v>
      </c>
    </row>
    <row r="1048" spans="1:12" x14ac:dyDescent="0.35">
      <c r="A1048" s="11">
        <v>1047</v>
      </c>
      <c r="B1048" s="17">
        <v>46082.07372685185</v>
      </c>
      <c r="C1048" s="18">
        <v>46082</v>
      </c>
      <c r="D1048" s="10" t="s">
        <v>2527</v>
      </c>
      <c r="E1048" s="5">
        <v>0</v>
      </c>
      <c r="F1048" s="15">
        <v>7.44</v>
      </c>
      <c r="G1048" s="5">
        <v>21605.96</v>
      </c>
      <c r="H1048" s="10" t="s">
        <v>51</v>
      </c>
      <c r="I1048" s="10" t="s">
        <v>71</v>
      </c>
      <c r="J1048" s="10" t="s">
        <v>32</v>
      </c>
      <c r="K1048" s="10" t="s">
        <v>27</v>
      </c>
      <c r="L1048" s="10" t="s">
        <v>2838</v>
      </c>
    </row>
    <row r="1049" spans="1:12" x14ac:dyDescent="0.35">
      <c r="A1049" s="9">
        <v>1048</v>
      </c>
      <c r="B1049" s="19">
        <v>46082.811539351853</v>
      </c>
      <c r="C1049" s="20">
        <v>46082</v>
      </c>
      <c r="D1049" s="8" t="s">
        <v>394</v>
      </c>
      <c r="E1049" s="12">
        <v>1982</v>
      </c>
      <c r="F1049" s="3">
        <v>0</v>
      </c>
      <c r="G1049" s="3">
        <v>19623.96</v>
      </c>
      <c r="H1049" s="8" t="s">
        <v>51</v>
      </c>
      <c r="I1049" s="8" t="s">
        <v>52</v>
      </c>
      <c r="J1049" s="8" t="s">
        <v>32</v>
      </c>
      <c r="K1049" s="8" t="s">
        <v>27</v>
      </c>
      <c r="L1049" s="8" t="s">
        <v>2493</v>
      </c>
    </row>
    <row r="1050" spans="1:12" x14ac:dyDescent="0.35">
      <c r="A1050" s="11">
        <v>1049</v>
      </c>
      <c r="B1050" s="17">
        <v>46083.097384259258</v>
      </c>
      <c r="C1050" s="18">
        <v>46083</v>
      </c>
      <c r="D1050" s="10" t="s">
        <v>2527</v>
      </c>
      <c r="E1050" s="5">
        <v>0</v>
      </c>
      <c r="F1050" s="15">
        <v>6.75</v>
      </c>
      <c r="G1050" s="5">
        <v>19630.71</v>
      </c>
      <c r="H1050" s="10" t="s">
        <v>51</v>
      </c>
      <c r="I1050" s="10" t="s">
        <v>71</v>
      </c>
      <c r="J1050" s="10" t="s">
        <v>32</v>
      </c>
      <c r="K1050" s="10" t="s">
        <v>27</v>
      </c>
      <c r="L1050" s="10" t="s">
        <v>2839</v>
      </c>
    </row>
    <row r="1051" spans="1:12" x14ac:dyDescent="0.35">
      <c r="A1051" s="9">
        <v>1050</v>
      </c>
      <c r="B1051" s="19">
        <v>46083.548946759263</v>
      </c>
      <c r="C1051" s="20">
        <v>46083</v>
      </c>
      <c r="D1051" s="8" t="s">
        <v>394</v>
      </c>
      <c r="E1051" s="12">
        <v>4500</v>
      </c>
      <c r="F1051" s="3">
        <v>0</v>
      </c>
      <c r="G1051" s="3">
        <v>15130.71</v>
      </c>
      <c r="H1051" s="8" t="s">
        <v>51</v>
      </c>
      <c r="I1051" s="8" t="s">
        <v>52</v>
      </c>
      <c r="J1051" s="8" t="s">
        <v>32</v>
      </c>
      <c r="K1051" s="8" t="s">
        <v>27</v>
      </c>
      <c r="L1051" s="8" t="s">
        <v>2496</v>
      </c>
    </row>
    <row r="1052" spans="1:12" x14ac:dyDescent="0.35">
      <c r="A1052" s="11">
        <v>1051</v>
      </c>
      <c r="B1052" s="17">
        <v>46083.72515046296</v>
      </c>
      <c r="C1052" s="18">
        <v>46083</v>
      </c>
      <c r="D1052" s="10" t="s">
        <v>394</v>
      </c>
      <c r="E1052" s="14">
        <v>2460</v>
      </c>
      <c r="F1052" s="5">
        <v>0</v>
      </c>
      <c r="G1052" s="5">
        <v>12670.71</v>
      </c>
      <c r="H1052" s="10" t="s">
        <v>51</v>
      </c>
      <c r="I1052" s="10" t="s">
        <v>52</v>
      </c>
      <c r="J1052" s="10" t="s">
        <v>32</v>
      </c>
      <c r="K1052" s="10" t="s">
        <v>27</v>
      </c>
      <c r="L1052" s="10" t="s">
        <v>2498</v>
      </c>
    </row>
    <row r="1053" spans="1:12" x14ac:dyDescent="0.35">
      <c r="A1053" s="9">
        <v>1052</v>
      </c>
      <c r="B1053" s="19">
        <v>46083.725462962961</v>
      </c>
      <c r="C1053" s="20">
        <v>46083</v>
      </c>
      <c r="D1053" s="8" t="s">
        <v>394</v>
      </c>
      <c r="E1053" s="12">
        <v>475</v>
      </c>
      <c r="F1053" s="3">
        <v>0</v>
      </c>
      <c r="G1053" s="3">
        <v>12195.71</v>
      </c>
      <c r="H1053" s="8" t="s">
        <v>51</v>
      </c>
      <c r="I1053" s="8" t="s">
        <v>52</v>
      </c>
      <c r="J1053" s="8" t="s">
        <v>32</v>
      </c>
      <c r="K1053" s="8" t="s">
        <v>27</v>
      </c>
      <c r="L1053" s="8" t="s">
        <v>2500</v>
      </c>
    </row>
    <row r="1054" spans="1:12" x14ac:dyDescent="0.35">
      <c r="A1054" s="11">
        <v>1053</v>
      </c>
      <c r="B1054" s="17">
        <v>46084.073483796303</v>
      </c>
      <c r="C1054" s="18">
        <v>46084</v>
      </c>
      <c r="D1054" s="10" t="s">
        <v>2527</v>
      </c>
      <c r="E1054" s="5">
        <v>0</v>
      </c>
      <c r="F1054" s="15">
        <v>4.2</v>
      </c>
      <c r="G1054" s="5">
        <v>12199.91</v>
      </c>
      <c r="H1054" s="10" t="s">
        <v>51</v>
      </c>
      <c r="I1054" s="10" t="s">
        <v>71</v>
      </c>
      <c r="J1054" s="10" t="s">
        <v>32</v>
      </c>
      <c r="K1054" s="10" t="s">
        <v>27</v>
      </c>
      <c r="L1054" s="10" t="s">
        <v>2840</v>
      </c>
    </row>
    <row r="1055" spans="1:12" x14ac:dyDescent="0.35">
      <c r="A1055" s="9">
        <v>1054</v>
      </c>
      <c r="B1055" s="19">
        <v>46085.093391203707</v>
      </c>
      <c r="C1055" s="20">
        <v>46085</v>
      </c>
      <c r="D1055" s="8" t="s">
        <v>2527</v>
      </c>
      <c r="E1055" s="3">
        <v>0</v>
      </c>
      <c r="F1055" s="13">
        <v>4.2</v>
      </c>
      <c r="G1055" s="3">
        <v>12204.11</v>
      </c>
      <c r="H1055" s="8" t="s">
        <v>51</v>
      </c>
      <c r="I1055" s="8" t="s">
        <v>71</v>
      </c>
      <c r="J1055" s="8" t="s">
        <v>32</v>
      </c>
      <c r="K1055" s="8" t="s">
        <v>27</v>
      </c>
      <c r="L1055" s="8" t="s">
        <v>2841</v>
      </c>
    </row>
    <row r="1056" spans="1:12" x14ac:dyDescent="0.35">
      <c r="A1056" s="11">
        <v>1055</v>
      </c>
      <c r="B1056" s="17">
        <v>46085.356307870366</v>
      </c>
      <c r="C1056" s="18">
        <v>46085</v>
      </c>
      <c r="D1056" s="10" t="s">
        <v>394</v>
      </c>
      <c r="E1056" s="14">
        <v>2500</v>
      </c>
      <c r="F1056" s="5">
        <v>0</v>
      </c>
      <c r="G1056" s="5">
        <v>9704.11</v>
      </c>
      <c r="H1056" s="10" t="s">
        <v>51</v>
      </c>
      <c r="I1056" s="10" t="s">
        <v>52</v>
      </c>
      <c r="J1056" s="10" t="s">
        <v>32</v>
      </c>
      <c r="K1056" s="10" t="s">
        <v>27</v>
      </c>
      <c r="L1056" s="10" t="s">
        <v>2502</v>
      </c>
    </row>
    <row r="1057" spans="1:12" x14ac:dyDescent="0.35">
      <c r="A1057" s="9">
        <v>1056</v>
      </c>
      <c r="B1057" s="19">
        <v>46086.072777777779</v>
      </c>
      <c r="C1057" s="20">
        <v>46086</v>
      </c>
      <c r="D1057" s="8" t="s">
        <v>2527</v>
      </c>
      <c r="E1057" s="3">
        <v>0</v>
      </c>
      <c r="F1057" s="13">
        <v>3.33</v>
      </c>
      <c r="G1057" s="3">
        <v>9707.44</v>
      </c>
      <c r="H1057" s="8" t="s">
        <v>51</v>
      </c>
      <c r="I1057" s="8" t="s">
        <v>71</v>
      </c>
      <c r="J1057" s="8" t="s">
        <v>32</v>
      </c>
      <c r="K1057" s="8" t="s">
        <v>27</v>
      </c>
      <c r="L1057" s="8" t="s">
        <v>2842</v>
      </c>
    </row>
    <row r="1058" spans="1:12" x14ac:dyDescent="0.35">
      <c r="A1058" s="11">
        <v>1057</v>
      </c>
      <c r="B1058" s="17">
        <v>46086.582256944443</v>
      </c>
      <c r="C1058" s="18">
        <v>46086</v>
      </c>
      <c r="D1058" s="10" t="s">
        <v>394</v>
      </c>
      <c r="E1058" s="14">
        <v>895</v>
      </c>
      <c r="F1058" s="5">
        <v>0</v>
      </c>
      <c r="G1058" s="5">
        <v>8812.44</v>
      </c>
      <c r="H1058" s="10" t="s">
        <v>51</v>
      </c>
      <c r="I1058" s="10" t="s">
        <v>52</v>
      </c>
      <c r="J1058" s="10" t="s">
        <v>32</v>
      </c>
      <c r="K1058" s="10" t="s">
        <v>27</v>
      </c>
      <c r="L1058" s="10" t="s">
        <v>2504</v>
      </c>
    </row>
    <row r="1059" spans="1:12" x14ac:dyDescent="0.35">
      <c r="A1059" s="9">
        <v>1058</v>
      </c>
      <c r="B1059" s="19">
        <v>46086.60738425926</v>
      </c>
      <c r="C1059" s="20">
        <v>46086</v>
      </c>
      <c r="D1059" s="8" t="s">
        <v>394</v>
      </c>
      <c r="E1059" s="12">
        <v>4300</v>
      </c>
      <c r="F1059" s="3">
        <v>0</v>
      </c>
      <c r="G1059" s="3">
        <v>4512.4399999999996</v>
      </c>
      <c r="H1059" s="8" t="s">
        <v>51</v>
      </c>
      <c r="I1059" s="8" t="s">
        <v>52</v>
      </c>
      <c r="J1059" s="8" t="s">
        <v>32</v>
      </c>
      <c r="K1059" s="8" t="s">
        <v>27</v>
      </c>
      <c r="L1059" s="8" t="s">
        <v>2506</v>
      </c>
    </row>
    <row r="1060" spans="1:12" x14ac:dyDescent="0.35">
      <c r="A1060" s="11">
        <v>1059</v>
      </c>
      <c r="B1060" s="17">
        <v>46086.796840277777</v>
      </c>
      <c r="C1060" s="18">
        <v>46086</v>
      </c>
      <c r="D1060" s="10" t="s">
        <v>394</v>
      </c>
      <c r="E1060" s="14">
        <v>1000</v>
      </c>
      <c r="F1060" s="5">
        <v>0</v>
      </c>
      <c r="G1060" s="5">
        <v>3512.44</v>
      </c>
      <c r="H1060" s="10" t="s">
        <v>51</v>
      </c>
      <c r="I1060" s="10" t="s">
        <v>52</v>
      </c>
      <c r="J1060" s="10" t="s">
        <v>32</v>
      </c>
      <c r="K1060" s="10" t="s">
        <v>27</v>
      </c>
      <c r="L1060" s="10" t="s">
        <v>2508</v>
      </c>
    </row>
    <row r="1061" spans="1:12" x14ac:dyDescent="0.35">
      <c r="A1061" s="9">
        <v>1060</v>
      </c>
      <c r="B1061" s="19">
        <v>46087.089363425926</v>
      </c>
      <c r="C1061" s="20">
        <v>46087</v>
      </c>
      <c r="D1061" s="8" t="s">
        <v>2527</v>
      </c>
      <c r="E1061" s="3">
        <v>0</v>
      </c>
      <c r="F1061" s="13">
        <v>1.2</v>
      </c>
      <c r="G1061" s="3">
        <v>3513.64</v>
      </c>
      <c r="H1061" s="8" t="s">
        <v>51</v>
      </c>
      <c r="I1061" s="8" t="s">
        <v>71</v>
      </c>
      <c r="J1061" s="8" t="s">
        <v>32</v>
      </c>
      <c r="K1061" s="8" t="s">
        <v>27</v>
      </c>
      <c r="L1061" s="8" t="s">
        <v>2843</v>
      </c>
    </row>
    <row r="1062" spans="1:12" x14ac:dyDescent="0.35">
      <c r="A1062" s="11">
        <v>1061</v>
      </c>
      <c r="B1062" s="17">
        <v>46087.909039351849</v>
      </c>
      <c r="C1062" s="18">
        <v>46087</v>
      </c>
      <c r="D1062" s="10" t="s">
        <v>426</v>
      </c>
      <c r="E1062" s="5">
        <v>0</v>
      </c>
      <c r="F1062" s="15">
        <v>15000</v>
      </c>
      <c r="G1062" s="5">
        <v>18513.64</v>
      </c>
      <c r="H1062" s="10" t="s">
        <v>51</v>
      </c>
      <c r="I1062" s="10" t="s">
        <v>71</v>
      </c>
      <c r="J1062" s="10" t="s">
        <v>32</v>
      </c>
      <c r="K1062" s="10" t="s">
        <v>27</v>
      </c>
      <c r="L1062" s="10" t="s">
        <v>2513</v>
      </c>
    </row>
    <row r="1063" spans="1:12" x14ac:dyDescent="0.35">
      <c r="A1063" s="9">
        <v>1062</v>
      </c>
      <c r="B1063" s="19">
        <v>46087.910844907397</v>
      </c>
      <c r="C1063" s="20">
        <v>46087</v>
      </c>
      <c r="D1063" s="8" t="s">
        <v>426</v>
      </c>
      <c r="E1063" s="3">
        <v>0</v>
      </c>
      <c r="F1063" s="13">
        <v>20000</v>
      </c>
      <c r="G1063" s="3">
        <v>38513.64</v>
      </c>
      <c r="H1063" s="8" t="s">
        <v>51</v>
      </c>
      <c r="I1063" s="8" t="s">
        <v>71</v>
      </c>
      <c r="J1063" s="8" t="s">
        <v>32</v>
      </c>
      <c r="K1063" s="8" t="s">
        <v>27</v>
      </c>
      <c r="L1063" s="8" t="s">
        <v>2515</v>
      </c>
    </row>
    <row r="1064" spans="1:12" x14ac:dyDescent="0.35">
      <c r="A1064" s="11">
        <v>1063</v>
      </c>
      <c r="B1064" s="17">
        <v>46088.066134259258</v>
      </c>
      <c r="C1064" s="18">
        <v>46088</v>
      </c>
      <c r="D1064" s="10" t="s">
        <v>2527</v>
      </c>
      <c r="E1064" s="5">
        <v>0</v>
      </c>
      <c r="F1064" s="15">
        <v>1.2</v>
      </c>
      <c r="G1064" s="5">
        <v>38514.839999999997</v>
      </c>
      <c r="H1064" s="10" t="s">
        <v>51</v>
      </c>
      <c r="I1064" s="10" t="s">
        <v>71</v>
      </c>
      <c r="J1064" s="10" t="s">
        <v>32</v>
      </c>
      <c r="K1064" s="10" t="s">
        <v>27</v>
      </c>
      <c r="L1064" s="10" t="s">
        <v>2844</v>
      </c>
    </row>
    <row r="1065" spans="1:12" x14ac:dyDescent="0.35">
      <c r="A1065" s="9">
        <v>1064</v>
      </c>
      <c r="B1065" s="19">
        <v>46088.347199074073</v>
      </c>
      <c r="C1065" s="20">
        <v>46088</v>
      </c>
      <c r="D1065" s="8" t="s">
        <v>394</v>
      </c>
      <c r="E1065" s="12">
        <v>1500</v>
      </c>
      <c r="F1065" s="3">
        <v>0</v>
      </c>
      <c r="G1065" s="3">
        <v>37014.839999999997</v>
      </c>
      <c r="H1065" s="8" t="s">
        <v>51</v>
      </c>
      <c r="I1065" s="8" t="s">
        <v>52</v>
      </c>
      <c r="J1065" s="8" t="s">
        <v>32</v>
      </c>
      <c r="K1065" s="8" t="s">
        <v>27</v>
      </c>
      <c r="L1065" s="8" t="s">
        <v>2518</v>
      </c>
    </row>
    <row r="1066" spans="1:12" x14ac:dyDescent="0.35">
      <c r="A1066" s="11">
        <v>1065</v>
      </c>
      <c r="B1066" s="17">
        <v>46088.451377314806</v>
      </c>
      <c r="C1066" s="18">
        <v>46088</v>
      </c>
      <c r="D1066" s="10" t="s">
        <v>394</v>
      </c>
      <c r="E1066" s="14">
        <v>1500</v>
      </c>
      <c r="F1066" s="5">
        <v>0</v>
      </c>
      <c r="G1066" s="5">
        <v>35514.839999999997</v>
      </c>
      <c r="H1066" s="10" t="s">
        <v>51</v>
      </c>
      <c r="I1066" s="10" t="s">
        <v>52</v>
      </c>
      <c r="J1066" s="10" t="s">
        <v>32</v>
      </c>
      <c r="K1066" s="10" t="s">
        <v>27</v>
      </c>
      <c r="L1066" s="10" t="s">
        <v>2521</v>
      </c>
    </row>
    <row r="1067" spans="1:12" x14ac:dyDescent="0.35">
      <c r="A1067" s="9">
        <v>1066</v>
      </c>
      <c r="B1067" s="19">
        <v>46088.718206018522</v>
      </c>
      <c r="C1067" s="20">
        <v>46088</v>
      </c>
      <c r="D1067" s="8" t="s">
        <v>394</v>
      </c>
      <c r="E1067" s="12">
        <v>4000</v>
      </c>
      <c r="F1067" s="3">
        <v>0</v>
      </c>
      <c r="G1067" s="3">
        <v>31514.84</v>
      </c>
      <c r="H1067" s="8" t="s">
        <v>51</v>
      </c>
      <c r="I1067" s="8" t="s">
        <v>52</v>
      </c>
      <c r="J1067" s="8" t="s">
        <v>32</v>
      </c>
      <c r="K1067" s="8" t="s">
        <v>27</v>
      </c>
      <c r="L1067" s="8" t="s">
        <v>2522</v>
      </c>
    </row>
  </sheetData>
  <autoFilter ref="A1:L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28F4-BE6F-45C8-A948-B97D64810FE6}">
  <dimension ref="A1:B101"/>
  <sheetViews>
    <sheetView showGridLines="0" zoomScale="78" workbookViewId="0">
      <selection activeCell="B102" sqref="B102"/>
    </sheetView>
  </sheetViews>
  <sheetFormatPr defaultRowHeight="14.5" x14ac:dyDescent="0.35"/>
  <cols>
    <col min="1" max="1" width="16.36328125" customWidth="1"/>
    <col min="2" max="2" width="27.08984375" customWidth="1"/>
  </cols>
  <sheetData>
    <row r="1" spans="1:1" x14ac:dyDescent="0.35">
      <c r="A1" s="49" t="s">
        <v>2891</v>
      </c>
    </row>
    <row r="5" spans="1:1" x14ac:dyDescent="0.35">
      <c r="A5" s="49" t="s">
        <v>2892</v>
      </c>
    </row>
    <row r="7" spans="1:1" x14ac:dyDescent="0.35">
      <c r="A7" t="s">
        <v>2893</v>
      </c>
    </row>
    <row r="9" spans="1:1" x14ac:dyDescent="0.35">
      <c r="A9" t="s">
        <v>2894</v>
      </c>
    </row>
    <row r="13" spans="1:1" x14ac:dyDescent="0.35">
      <c r="A13" s="49" t="s">
        <v>2895</v>
      </c>
    </row>
    <row r="15" spans="1:1" x14ac:dyDescent="0.35">
      <c r="A15" t="s">
        <v>2896</v>
      </c>
    </row>
    <row r="19" spans="1:1" x14ac:dyDescent="0.35">
      <c r="A19" s="49" t="s">
        <v>2897</v>
      </c>
    </row>
    <row r="21" spans="1:1" x14ac:dyDescent="0.35">
      <c r="A21" t="s">
        <v>2898</v>
      </c>
    </row>
    <row r="22" spans="1:1" x14ac:dyDescent="0.35">
      <c r="A22" s="50"/>
    </row>
    <row r="23" spans="1:1" x14ac:dyDescent="0.35">
      <c r="A23" s="50" t="s">
        <v>2899</v>
      </c>
    </row>
    <row r="24" spans="1:1" x14ac:dyDescent="0.35">
      <c r="A24" s="50" t="s">
        <v>2900</v>
      </c>
    </row>
    <row r="26" spans="1:1" x14ac:dyDescent="0.35">
      <c r="A26" t="s">
        <v>2901</v>
      </c>
    </row>
    <row r="30" spans="1:1" x14ac:dyDescent="0.35">
      <c r="A30" s="49" t="s">
        <v>2902</v>
      </c>
    </row>
    <row r="32" spans="1:1" x14ac:dyDescent="0.35">
      <c r="A32" t="s">
        <v>2903</v>
      </c>
    </row>
    <row r="33" spans="1:2" x14ac:dyDescent="0.35">
      <c r="A33" s="50"/>
    </row>
    <row r="34" spans="1:2" x14ac:dyDescent="0.35">
      <c r="A34" s="50" t="s">
        <v>2904</v>
      </c>
    </row>
    <row r="35" spans="1:2" x14ac:dyDescent="0.35">
      <c r="A35" s="50" t="s">
        <v>2905</v>
      </c>
    </row>
    <row r="36" spans="1:2" x14ac:dyDescent="0.35">
      <c r="A36" s="50" t="s">
        <v>2906</v>
      </c>
    </row>
    <row r="37" spans="1:2" x14ac:dyDescent="0.35">
      <c r="A37" s="50" t="s">
        <v>2907</v>
      </c>
    </row>
    <row r="38" spans="1:2" x14ac:dyDescent="0.35">
      <c r="A38" s="50" t="s">
        <v>2908</v>
      </c>
    </row>
    <row r="42" spans="1:2" x14ac:dyDescent="0.35">
      <c r="A42" s="49" t="s">
        <v>2909</v>
      </c>
    </row>
    <row r="44" spans="1:2" ht="29" x14ac:dyDescent="0.35">
      <c r="A44" s="51" t="s">
        <v>2910</v>
      </c>
      <c r="B44" s="51" t="s">
        <v>41</v>
      </c>
    </row>
    <row r="45" spans="1:2" ht="58" x14ac:dyDescent="0.35">
      <c r="A45" s="52" t="s">
        <v>2911</v>
      </c>
      <c r="B45" s="52" t="s">
        <v>2912</v>
      </c>
    </row>
    <row r="46" spans="1:2" ht="43.5" x14ac:dyDescent="0.35">
      <c r="A46" s="52" t="s">
        <v>2913</v>
      </c>
      <c r="B46" s="52" t="s">
        <v>2914</v>
      </c>
    </row>
    <row r="47" spans="1:2" ht="43.5" x14ac:dyDescent="0.35">
      <c r="A47" s="52" t="s">
        <v>2915</v>
      </c>
      <c r="B47" s="52" t="s">
        <v>2916</v>
      </c>
    </row>
    <row r="48" spans="1:2" ht="43.5" x14ac:dyDescent="0.35">
      <c r="A48" s="52" t="s">
        <v>2917</v>
      </c>
      <c r="B48" s="52" t="s">
        <v>2918</v>
      </c>
    </row>
    <row r="49" spans="1:2" ht="29" x14ac:dyDescent="0.35">
      <c r="A49" s="52" t="s">
        <v>2919</v>
      </c>
      <c r="B49" s="52" t="s">
        <v>2920</v>
      </c>
    </row>
    <row r="52" spans="1:2" x14ac:dyDescent="0.35">
      <c r="A52" s="49" t="s">
        <v>2921</v>
      </c>
    </row>
    <row r="54" spans="1:2" x14ac:dyDescent="0.35">
      <c r="A54" s="51" t="s">
        <v>1</v>
      </c>
      <c r="B54" s="51" t="s">
        <v>2922</v>
      </c>
    </row>
    <row r="55" spans="1:2" ht="29" x14ac:dyDescent="0.35">
      <c r="A55" s="52" t="s">
        <v>2923</v>
      </c>
      <c r="B55" s="52" t="s">
        <v>2924</v>
      </c>
    </row>
    <row r="56" spans="1:2" ht="29" x14ac:dyDescent="0.35">
      <c r="A56" s="52" t="s">
        <v>10</v>
      </c>
      <c r="B56" s="53">
        <v>3003</v>
      </c>
    </row>
    <row r="57" spans="1:2" ht="43.5" x14ac:dyDescent="0.35">
      <c r="A57" s="52" t="s">
        <v>2925</v>
      </c>
      <c r="B57" s="52" t="s">
        <v>2926</v>
      </c>
    </row>
    <row r="58" spans="1:2" ht="43.5" x14ac:dyDescent="0.35">
      <c r="A58" s="52" t="s">
        <v>2927</v>
      </c>
      <c r="B58" s="52" t="s">
        <v>2928</v>
      </c>
    </row>
    <row r="59" spans="1:2" ht="43.5" x14ac:dyDescent="0.35">
      <c r="A59" s="52" t="s">
        <v>2929</v>
      </c>
      <c r="B59" s="52" t="s">
        <v>2930</v>
      </c>
    </row>
    <row r="60" spans="1:2" ht="43.5" x14ac:dyDescent="0.35">
      <c r="A60" s="52" t="s">
        <v>2931</v>
      </c>
      <c r="B60" s="52" t="s">
        <v>2932</v>
      </c>
    </row>
    <row r="61" spans="1:2" ht="43.5" x14ac:dyDescent="0.35">
      <c r="A61" s="52" t="s">
        <v>2933</v>
      </c>
      <c r="B61" s="52" t="s">
        <v>2934</v>
      </c>
    </row>
    <row r="62" spans="1:2" ht="58" x14ac:dyDescent="0.35">
      <c r="A62" s="52" t="s">
        <v>2935</v>
      </c>
      <c r="B62" s="52" t="s">
        <v>2936</v>
      </c>
    </row>
    <row r="63" spans="1:2" ht="43.5" x14ac:dyDescent="0.35">
      <c r="A63" s="52" t="s">
        <v>2937</v>
      </c>
      <c r="B63" s="52" t="s">
        <v>2938</v>
      </c>
    </row>
    <row r="64" spans="1:2" ht="58" x14ac:dyDescent="0.35">
      <c r="A64" s="52" t="s">
        <v>2939</v>
      </c>
      <c r="B64" s="52" t="s">
        <v>2940</v>
      </c>
    </row>
    <row r="67" spans="1:1" x14ac:dyDescent="0.35">
      <c r="A67" s="49" t="s">
        <v>2941</v>
      </c>
    </row>
    <row r="69" spans="1:1" x14ac:dyDescent="0.35">
      <c r="A69" t="s">
        <v>2942</v>
      </c>
    </row>
    <row r="71" spans="1:1" x14ac:dyDescent="0.35">
      <c r="A71" t="s">
        <v>2943</v>
      </c>
    </row>
    <row r="73" spans="1:1" x14ac:dyDescent="0.35">
      <c r="A73" t="s">
        <v>2944</v>
      </c>
    </row>
    <row r="77" spans="1:1" x14ac:dyDescent="0.35">
      <c r="A77" s="49" t="s">
        <v>2945</v>
      </c>
    </row>
    <row r="78" spans="1:1" x14ac:dyDescent="0.35">
      <c r="A78" s="50"/>
    </row>
    <row r="79" spans="1:1" x14ac:dyDescent="0.35">
      <c r="A79" s="50" t="s">
        <v>2946</v>
      </c>
    </row>
    <row r="80" spans="1:1" x14ac:dyDescent="0.35">
      <c r="A80" s="50"/>
    </row>
    <row r="81" spans="1:1" x14ac:dyDescent="0.35">
      <c r="A81" s="50" t="s">
        <v>2947</v>
      </c>
    </row>
    <row r="82" spans="1:1" x14ac:dyDescent="0.35">
      <c r="A82" s="50"/>
    </row>
    <row r="83" spans="1:1" x14ac:dyDescent="0.35">
      <c r="A83" s="50" t="s">
        <v>2948</v>
      </c>
    </row>
    <row r="84" spans="1:1" x14ac:dyDescent="0.35">
      <c r="A84" s="50"/>
    </row>
    <row r="85" spans="1:1" x14ac:dyDescent="0.35">
      <c r="A85" s="50" t="s">
        <v>2949</v>
      </c>
    </row>
    <row r="86" spans="1:1" x14ac:dyDescent="0.35">
      <c r="A86" s="50"/>
    </row>
    <row r="87" spans="1:1" x14ac:dyDescent="0.35">
      <c r="A87" s="50" t="s">
        <v>2950</v>
      </c>
    </row>
    <row r="91" spans="1:1" x14ac:dyDescent="0.35">
      <c r="A91" s="49" t="s">
        <v>2951</v>
      </c>
    </row>
    <row r="93" spans="1:1" x14ac:dyDescent="0.35">
      <c r="A93" t="s">
        <v>2952</v>
      </c>
    </row>
    <row r="95" spans="1:1" x14ac:dyDescent="0.35">
      <c r="A95" t="s">
        <v>2953</v>
      </c>
    </row>
    <row r="99" spans="1:1" x14ac:dyDescent="0.35">
      <c r="A99" s="49" t="s">
        <v>2954</v>
      </c>
    </row>
    <row r="101" spans="1:1" x14ac:dyDescent="0.35">
      <c r="A101" t="s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Summary</vt:lpstr>
      <vt:lpstr>Wallet Transactions</vt:lpstr>
      <vt:lpstr>Savings Transactions</vt:lpstr>
      <vt:lpstr>Explanation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Tobechukwu</cp:lastModifiedBy>
  <cp:lastPrinted>2026-04-01T13:40:56Z</cp:lastPrinted>
  <dcterms:created xsi:type="dcterms:W3CDTF">2026-03-11T11:50:15Z</dcterms:created>
  <dcterms:modified xsi:type="dcterms:W3CDTF">2026-04-02T11:56:57Z</dcterms:modified>
</cp:coreProperties>
</file>